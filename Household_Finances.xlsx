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Dashboard" sheetId="2" state="visible" r:id="rId4"/>
    <sheet name="Where to Save" sheetId="3" state="visible" r:id="rId5"/>
    <sheet name="Settings" sheetId="4" state="visible" r:id="rId6"/>
    <sheet name="Transactions" sheetId="5" state="visible" r:id="rId7"/>
    <sheet name="Regular Bills" sheetId="6" state="visible" r:id="rId8"/>
    <sheet name="Savings" sheetId="7" state="visible" r:id="rId9"/>
    <sheet name="Savings Log" sheetId="8" state="visible" r:id="rId10"/>
  </sheets>
  <definedNames>
    <definedName function="false" hidden="true" localSheetId="4" name="_xlnm._FilterDatabase" vbProcedure="false">Transactions!$A$4:$L$2004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Type any date in the month you want, e.g. 01/11/2026.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What-if lever: try 10%, 20%, 30%...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4" authorId="0">
      <text>
        <r>
          <rPr>
            <sz val="10"/>
            <rFont val="Arial"/>
            <family val="2"/>
          </rPr>
          <t xml:space="preserve">Example budgets - replace with your own monthly targets.</t>
        </r>
      </text>
    </comment>
    <comment ref="K14" authorId="0">
      <text>
        <r>
          <rPr>
            <sz val="10"/>
            <rFont val="Arial"/>
            <family val="2"/>
          </rPr>
          <t xml:space="preserve">Essential = must-pay. 'No' marks discretionary spending - the 'Where to Save' tab focuses on these.</t>
        </r>
      </text>
    </comment>
  </commentList>
</comments>
</file>

<file path=xl/sharedStrings.xml><?xml version="1.0" encoding="utf-8"?>
<sst xmlns="http://schemas.openxmlformats.org/spreadsheetml/2006/main" count="405" uniqueCount="191">
  <si>
    <t xml:space="preserve">Household Finances - how to use</t>
  </si>
  <si>
    <t xml:space="preserve">Couples' budget, spending and savings tracker</t>
  </si>
  <si>
    <t xml:space="preserve">Colour key</t>
  </si>
  <si>
    <t xml:space="preserve">  Yellow cells</t>
  </si>
  <si>
    <t xml:space="preserve">Type here - these are your inputs.</t>
  </si>
  <si>
    <t xml:space="preserve">  Grey cells</t>
  </si>
  <si>
    <t xml:space="preserve">Calculated automatically - don't type over them.</t>
  </si>
  <si>
    <t xml:space="preserve">  Blue text / green text</t>
  </si>
  <si>
    <t xml:space="preserve">Blue = something you entered, green = pulled from another tab.</t>
  </si>
  <si>
    <t xml:space="preserve">1. Settings</t>
  </si>
  <si>
    <t xml:space="preserve">Put in both names, your accounts (each one owned by you, your partner or Joint), your categories and a monthly budget for each. Mark each expense Essential Yes/No.</t>
  </si>
  <si>
    <t xml:space="preserve">2. Regular Bills</t>
  </si>
  <si>
    <t xml:space="preserve">List everything that repeats - salaries, rent, bills, subscriptions. Shows your committed monthly/yearly cost and flags things worth reviewing.</t>
  </si>
  <si>
    <t xml:space="preserve">3. Transactions</t>
  </si>
  <si>
    <t xml:space="preserve">Log each incoming/outgoing as it happens (or paste from a bank export). Pick account, type and category from the drop-downs; amounts are positive.</t>
  </si>
  <si>
    <t xml:space="preserve">Moving money between your own accounts (e.g. your pot into Joint)? Use Type = Transfer and fill 'To account' - it won't be counted as spending.</t>
  </si>
  <si>
    <t xml:space="preserve">4. Savings / Savings Log</t>
  </si>
  <si>
    <t xml:space="preserve">Set goals with targets and dates; log every deposit. See % done and how much you need to put away each month.</t>
  </si>
  <si>
    <t xml:space="preserve">5. Dashboard</t>
  </si>
  <si>
    <t xml:space="preserve">Pick a month. See income, spending, savings and what's left over for each of you, Joint and the household - plus every category against its budget.</t>
  </si>
  <si>
    <t xml:space="preserve">6. Where to Save</t>
  </si>
  <si>
    <t xml:space="preserve">Your biggest discretionary categories, where you're over budget, the yearly cost of subscriptions and what a % cut would save over a year.</t>
  </si>
  <si>
    <t xml:space="preserve">Example data</t>
  </si>
  <si>
    <t xml:space="preserve">Rows marked 'Example - delete' show the format. Clear the yellow cells on Transactions, Regular Bills, Savings and Savings Log when you start for real (don't delete whole rows - just clear the contents).</t>
  </si>
  <si>
    <t xml:space="preserve">Room</t>
  </si>
  <si>
    <t xml:space="preserve">Transactions: 2000 rows, Savings Log: 1000, Regular Bills: 60. Start a new copy each year.</t>
  </si>
  <si>
    <t xml:space="preserve">Monthly dashboard</t>
  </si>
  <si>
    <t xml:space="preserve">Change the month in the yellow cell. Everything below recalculates from Transactions, Savings Log and Regular Bills.</t>
  </si>
  <si>
    <t xml:space="preserve">Month to show</t>
  </si>
  <si>
    <t xml:space="preserve">Who earned, spent and saved</t>
  </si>
  <si>
    <t xml:space="preserve">Joint</t>
  </si>
  <si>
    <t xml:space="preserve">Household</t>
  </si>
  <si>
    <t xml:space="preserve">Income</t>
  </si>
  <si>
    <t xml:space="preserve">Spending</t>
  </si>
  <si>
    <t xml:space="preserve">Transfers in</t>
  </si>
  <si>
    <t xml:space="preserve">Transfers out</t>
  </si>
  <si>
    <t xml:space="preserve">Saved</t>
  </si>
  <si>
    <t xml:space="preserve">Left over</t>
  </si>
  <si>
    <t xml:space="preserve">Savings rate</t>
  </si>
  <si>
    <t xml:space="preserve">Regular bills (planned / month)</t>
  </si>
  <si>
    <t xml:space="preserve">Transfers = money moved between your own accounts (e.g. into Joint); they cancel out in the Household column. Left over = income - spending + transfers in - out - saved.</t>
  </si>
  <si>
    <t xml:space="preserve">Spending by category vs budget</t>
  </si>
  <si>
    <t xml:space="preserve">Category</t>
  </si>
  <si>
    <t xml:space="preserve">Budget</t>
  </si>
  <si>
    <t xml:space="preserve">Total spent</t>
  </si>
  <si>
    <t xml:space="preserve">Left in budget</t>
  </si>
  <si>
    <t xml:space="preserve">% of budget used</t>
  </si>
  <si>
    <t xml:space="preserve">3-month average</t>
  </si>
  <si>
    <t xml:space="preserve">Total</t>
  </si>
  <si>
    <t xml:space="preserve">Red = over budget, amber = 85%+ used. 3-month average covers the selected month and the two before it.</t>
  </si>
  <si>
    <t xml:space="preserve">Year at a glance (household)</t>
  </si>
  <si>
    <t xml:space="preserve">Month</t>
  </si>
  <si>
    <t xml:space="preserve">Year total</t>
  </si>
  <si>
    <t xml:space="preserve">Where can we save?</t>
  </si>
  <si>
    <t xml:space="preserve">Uses the month picked on the Dashboard and your last 3 months of spending. Adjust the yellow cut % to see what trimming discretionary spending is worth.</t>
  </si>
  <si>
    <t xml:space="preserve">Month analysed</t>
  </si>
  <si>
    <t xml:space="preserve">Cut discretionary spending by</t>
  </si>
  <si>
    <t xml:space="preserve">Quick stats</t>
  </si>
  <si>
    <t xml:space="preserve">Value</t>
  </si>
  <si>
    <t xml:space="preserve">Biggest discretionary categories (3-month avg)</t>
  </si>
  <si>
    <t xml:space="preserve">Avg / month</t>
  </si>
  <si>
    <t xml:space="preserve">Discretionary ('non-essential') spend this month</t>
  </si>
  <si>
    <t xml:space="preserve">...as % of all spending this month</t>
  </si>
  <si>
    <t xml:space="preserve">Categories over budget this month</t>
  </si>
  <si>
    <t xml:space="preserve">Subscriptions - yearly cost</t>
  </si>
  <si>
    <t xml:space="preserve">All non-essential regular bills - yearly cost</t>
  </si>
  <si>
    <t xml:space="preserve">Spending with no category (fix these!)</t>
  </si>
  <si>
    <t xml:space="preserve">Start here: these are the easiest places to cut back.</t>
  </si>
  <si>
    <t xml:space="preserve">Potential yearly saving at the cut % above</t>
  </si>
  <si>
    <t xml:space="preserve">Budget / month</t>
  </si>
  <si>
    <t xml:space="preserve">3-month avg</t>
  </si>
  <si>
    <t xml:space="preserve">Essential?</t>
  </si>
  <si>
    <t xml:space="preserve">Avg vs budget</t>
  </si>
  <si>
    <t xml:space="preserve">Avg x 12 (yearly)</t>
  </si>
  <si>
    <t xml:space="preserve">Saving / year at cut %</t>
  </si>
  <si>
    <t xml:space="preserve">Rank helper</t>
  </si>
  <si>
    <t xml:space="preserve">Pink 'Avg vs budget' = you're regularly spending more than planned there.</t>
  </si>
  <si>
    <t xml:space="preserve">Settings</t>
  </si>
  <si>
    <t xml:space="preserve">Set up names, accounts, categories and monthly budgets here. Yellow cells are yours to edit; everything else in the workbook updates automatically.</t>
  </si>
  <si>
    <t xml:space="preserve">Your name</t>
  </si>
  <si>
    <t xml:space="preserve">Me</t>
  </si>
  <si>
    <t xml:space="preserve">Partner's name</t>
  </si>
  <si>
    <t xml:space="preserve">Partner</t>
  </si>
  <si>
    <t xml:space="preserve">Account</t>
  </si>
  <si>
    <t xml:space="preserve">Owner</t>
  </si>
  <si>
    <t xml:space="preserve">Owners</t>
  </si>
  <si>
    <t xml:space="preserve">Type</t>
  </si>
  <si>
    <t xml:space="preserve">Monthly budget (£)</t>
  </si>
  <si>
    <t xml:space="preserve">Frequency</t>
  </si>
  <si>
    <t xml:space="preserve">Times / month</t>
  </si>
  <si>
    <t xml:space="preserve">Transaction types</t>
  </si>
  <si>
    <t xml:space="preserve">Me - Current</t>
  </si>
  <si>
    <t xml:space="preserve">Salary</t>
  </si>
  <si>
    <t xml:space="preserve">Weekly</t>
  </si>
  <si>
    <t xml:space="preserve">Partner - Current</t>
  </si>
  <si>
    <t xml:space="preserve">Bonus</t>
  </si>
  <si>
    <t xml:space="preserve">Fortnightly</t>
  </si>
  <si>
    <t xml:space="preserve">Expense</t>
  </si>
  <si>
    <t xml:space="preserve">Joint Account</t>
  </si>
  <si>
    <t xml:space="preserve">Side Income</t>
  </si>
  <si>
    <t xml:space="preserve">Monthly</t>
  </si>
  <si>
    <t xml:space="preserve">Transfer</t>
  </si>
  <si>
    <t xml:space="preserve">Me - Credit Card</t>
  </si>
  <si>
    <t xml:space="preserve">Benefits</t>
  </si>
  <si>
    <t xml:space="preserve">Quarterly</t>
  </si>
  <si>
    <t xml:space="preserve">Partner - Credit Card</t>
  </si>
  <si>
    <t xml:space="preserve">Refunds</t>
  </si>
  <si>
    <t xml:space="preserve">Every 6 months</t>
  </si>
  <si>
    <t xml:space="preserve">Transfer = moving money between your own accounts (e.g. into Joint).</t>
  </si>
  <si>
    <t xml:space="preserve">Cash</t>
  </si>
  <si>
    <t xml:space="preserve">Other Income</t>
  </si>
  <si>
    <t xml:space="preserve">Yearly</t>
  </si>
  <si>
    <t xml:space="preserve">Rent / Mortgage</t>
  </si>
  <si>
    <t xml:space="preserve">Yes</t>
  </si>
  <si>
    <t xml:space="preserve">Council Tax</t>
  </si>
  <si>
    <t xml:space="preserve">Energy</t>
  </si>
  <si>
    <t xml:space="preserve">Water</t>
  </si>
  <si>
    <t xml:space="preserve">Broadband &amp; Phone</t>
  </si>
  <si>
    <t xml:space="preserve">Insurance</t>
  </si>
  <si>
    <t xml:space="preserve">Groceries</t>
  </si>
  <si>
    <t xml:space="preserve">Owner decides whose column the account's money appears in. Rename accounts freely - drop-downs update.</t>
  </si>
  <si>
    <t xml:space="preserve">Transport &amp; Fuel</t>
  </si>
  <si>
    <t xml:space="preserve">Health</t>
  </si>
  <si>
    <t xml:space="preserve">Childcare &amp; Kids</t>
  </si>
  <si>
    <t xml:space="preserve">Debt Repayments</t>
  </si>
  <si>
    <t xml:space="preserve">Eating Out</t>
  </si>
  <si>
    <t xml:space="preserve">No</t>
  </si>
  <si>
    <t xml:space="preserve">Takeaways</t>
  </si>
  <si>
    <t xml:space="preserve">Subscriptions</t>
  </si>
  <si>
    <t xml:space="preserve">Entertainment</t>
  </si>
  <si>
    <t xml:space="preserve">Shopping &amp; Clothes</t>
  </si>
  <si>
    <t xml:space="preserve">Personal Care</t>
  </si>
  <si>
    <t xml:space="preserve">Gifts</t>
  </si>
  <si>
    <t xml:space="preserve">Holidays</t>
  </si>
  <si>
    <t xml:space="preserve">Home &amp; Garden</t>
  </si>
  <si>
    <t xml:space="preserve">Hobbies</t>
  </si>
  <si>
    <t xml:space="preserve">Other</t>
  </si>
  <si>
    <t xml:space="preserve">Rows 8-13 are income categories, rows 14-38 expense categories. Fill blank rows to add more.</t>
  </si>
  <si>
    <t xml:space="preserve">Transactions - every incoming &amp; outgoing</t>
  </si>
  <si>
    <t xml:space="preserve">One row per payment. Fill the yellow columns (A-H); grey columns fill themselves. Amounts are always positive - Type says which way the money went.</t>
  </si>
  <si>
    <t xml:space="preserve">Date</t>
  </si>
  <si>
    <t xml:space="preserve">Description</t>
  </si>
  <si>
    <t xml:space="preserve">Amount (£)</t>
  </si>
  <si>
    <t xml:space="preserve">To account (transfers only)</t>
  </si>
  <si>
    <t xml:space="preserve">Notes</t>
  </si>
  <si>
    <t xml:space="preserve">To owner</t>
  </si>
  <si>
    <t xml:space="preserve">Example - delete</t>
  </si>
  <si>
    <t xml:space="preserve">Rent</t>
  </si>
  <si>
    <t xml:space="preserve">Sainsbury's</t>
  </si>
  <si>
    <t xml:space="preserve">Deliveroo</t>
  </si>
  <si>
    <t xml:space="preserve">Restaurant</t>
  </si>
  <si>
    <t xml:space="preserve">Monthly pot to joint</t>
  </si>
  <si>
    <t xml:space="preserve">Aldi big shop</t>
  </si>
  <si>
    <t xml:space="preserve">Netflix</t>
  </si>
  <si>
    <t xml:space="preserve">Train to work</t>
  </si>
  <si>
    <t xml:space="preserve">Dinner out</t>
  </si>
  <si>
    <t xml:space="preserve">New trainers</t>
  </si>
  <si>
    <t xml:space="preserve">Regular bills, subscriptions &amp; income</t>
  </si>
  <si>
    <t xml:space="preserve">List anything that repeats (salary, rent, phone, gym, Netflix...). It is converted to a monthly &amp; yearly cost so you can see what you're committed to - and what you could cancel.</t>
  </si>
  <si>
    <t xml:space="preserve">Item</t>
  </si>
  <si>
    <t xml:space="preserve">Per month</t>
  </si>
  <si>
    <t xml:space="preserve">Per year</t>
  </si>
  <si>
    <t xml:space="preserve">Review notes</t>
  </si>
  <si>
    <t xml:space="preserve">Council tax</t>
  </si>
  <si>
    <t xml:space="preserve">Gas &amp; electric</t>
  </si>
  <si>
    <t xml:space="preserve">Compare tariffs at renewal</t>
  </si>
  <si>
    <t xml:space="preserve">Broadband</t>
  </si>
  <si>
    <t xml:space="preserve">Contract ends Mar - haggle</t>
  </si>
  <si>
    <t xml:space="preserve">Still watching?</t>
  </si>
  <si>
    <t xml:space="preserve">Gym</t>
  </si>
  <si>
    <t xml:space="preserve">Car insurance</t>
  </si>
  <si>
    <t xml:space="preserve">Amazon Prime</t>
  </si>
  <si>
    <t xml:space="preserve">Savings goals</t>
  </si>
  <si>
    <t xml:space="preserve">Set a goal, target and date. Log every deposit/withdrawal on the 'Savings Log' tab - progress and the monthly amount needed update automatically.</t>
  </si>
  <si>
    <t xml:space="preserve">Today</t>
  </si>
  <si>
    <t xml:space="preserve">Goal</t>
  </si>
  <si>
    <t xml:space="preserve">Target (£)</t>
  </si>
  <si>
    <t xml:space="preserve">Target date</t>
  </si>
  <si>
    <t xml:space="preserve">Starting balance (£)</t>
  </si>
  <si>
    <t xml:space="preserve">Added since (£)</t>
  </si>
  <si>
    <t xml:space="preserve">Current balance (£)</t>
  </si>
  <si>
    <t xml:space="preserve">Still to save (£)</t>
  </si>
  <si>
    <t xml:space="preserve">% complete</t>
  </si>
  <si>
    <t xml:space="preserve">Months left</t>
  </si>
  <si>
    <t xml:space="preserve">Needed per month (£)</t>
  </si>
  <si>
    <t xml:space="preserve">Emergency fund</t>
  </si>
  <si>
    <t xml:space="preserve">Holiday 2027</t>
  </si>
  <si>
    <t xml:space="preserve">New car</t>
  </si>
  <si>
    <t xml:space="preserve">Savings log</t>
  </si>
  <si>
    <t xml:space="preserve">Every time you put money into (or take it out of) savings, add a row. Use a negative amount for a withdrawal.</t>
  </si>
  <si>
    <t xml:space="preserve">From account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</si>
</sst>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mm\ yyyy"/>
    <numFmt numFmtId="166" formatCode="\£#,##0.00;[RED]&quot;-£&quot;#,##0.00;\-"/>
    <numFmt numFmtId="167" formatCode="0.0%;[RED]\-0.0%;\-"/>
    <numFmt numFmtId="168" formatCode="\£#,##0"/>
    <numFmt numFmtId="169" formatCode="0%"/>
    <numFmt numFmtId="170" formatCode="0"/>
    <numFmt numFmtId="171" formatCode="General"/>
    <numFmt numFmtId="172" formatCode="0.000"/>
    <numFmt numFmtId="173" formatCode="\£#,##0;[RED]&quot;-£&quot;#,##0;\-"/>
    <numFmt numFmtId="174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A6A6A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C0504D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EB9C"/>
      <rgbColor rgb="FF99CCFF"/>
      <rgbColor rgb="FFFF99CC"/>
      <rgbColor rgb="FFCC99FF"/>
      <rgbColor rgb="FFF8CBAD"/>
      <rgbColor rgb="FF4F81BD"/>
      <rgbColor rgb="FF33CCCC"/>
      <rgbColor rgb="FF9BBB59"/>
      <rgbColor rgb="FFFFC0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spent (selected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Dashboard!$B$19:$B$40</c:f>
              <c:strCache>
                <c:ptCount val="22"/>
                <c:pt idx="0">
                  <c:v>Rent / Mortgage</c:v>
                </c:pt>
                <c:pt idx="1">
                  <c:v>Council Tax</c:v>
                </c:pt>
                <c:pt idx="2">
                  <c:v>Energy</c:v>
                </c:pt>
                <c:pt idx="3">
                  <c:v>Water</c:v>
                </c:pt>
                <c:pt idx="4">
                  <c:v>Broadband &amp; Phone</c:v>
                </c:pt>
                <c:pt idx="5">
                  <c:v>Insurance</c:v>
                </c:pt>
                <c:pt idx="6">
                  <c:v>Groceries</c:v>
                </c:pt>
                <c:pt idx="7">
                  <c:v>Transport &amp; Fuel</c:v>
                </c:pt>
                <c:pt idx="8">
                  <c:v>Health</c:v>
                </c:pt>
                <c:pt idx="9">
                  <c:v>Childcare &amp; Kids</c:v>
                </c:pt>
                <c:pt idx="10">
                  <c:v>Debt Repayments</c:v>
                </c:pt>
                <c:pt idx="11">
                  <c:v>Eating Out</c:v>
                </c:pt>
                <c:pt idx="12">
                  <c:v>Takeaways</c:v>
                </c:pt>
                <c:pt idx="13">
                  <c:v>Subscriptions</c:v>
                </c:pt>
                <c:pt idx="14">
                  <c:v>Entertainment</c:v>
                </c:pt>
                <c:pt idx="15">
                  <c:v>Shopping &amp; Clothes</c:v>
                </c:pt>
                <c:pt idx="16">
                  <c:v>Personal Care</c:v>
                </c:pt>
                <c:pt idx="17">
                  <c:v>Gifts</c:v>
                </c:pt>
                <c:pt idx="18">
                  <c:v>Holidays</c:v>
                </c:pt>
                <c:pt idx="19">
                  <c:v>Home &amp; Garden</c:v>
                </c:pt>
                <c:pt idx="20">
                  <c:v>Hobbies</c:v>
                </c:pt>
                <c:pt idx="21">
                  <c:v>Other</c:v>
                </c:pt>
              </c:strCache>
            </c:strRef>
          </c:cat>
          <c:val>
            <c:numRef>
              <c:f>Dashboard!$C$19:$C$40</c:f>
              <c:numCache>
                <c:formatCode>\£#,##0.00;[RED]"-£"#,##0.00;\-</c:formatCode>
                <c:ptCount val="22"/>
                <c:pt idx="0">
                  <c:v>1200</c:v>
                </c:pt>
                <c:pt idx="1">
                  <c:v>160</c:v>
                </c:pt>
                <c:pt idx="2">
                  <c:v>140</c:v>
                </c:pt>
                <c:pt idx="3">
                  <c:v>40</c:v>
                </c:pt>
                <c:pt idx="4">
                  <c:v>70</c:v>
                </c:pt>
                <c:pt idx="5">
                  <c:v>60</c:v>
                </c:pt>
                <c:pt idx="6">
                  <c:v>450</c:v>
                </c:pt>
                <c:pt idx="7">
                  <c:v>180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150</c:v>
                </c:pt>
                <c:pt idx="12">
                  <c:v>60</c:v>
                </c:pt>
                <c:pt idx="13">
                  <c:v>45</c:v>
                </c:pt>
                <c:pt idx="14">
                  <c:v>80</c:v>
                </c:pt>
                <c:pt idx="15">
                  <c:v>120</c:v>
                </c:pt>
                <c:pt idx="16">
                  <c:v>40</c:v>
                </c:pt>
                <c:pt idx="17">
                  <c:v>40</c:v>
                </c:pt>
                <c:pt idx="18">
                  <c:v>100</c:v>
                </c:pt>
                <c:pt idx="19">
                  <c:v>50</c:v>
                </c:pt>
                <c:pt idx="20">
                  <c:v>40</c:v>
                </c:pt>
                <c:pt idx="21">
                  <c:v>50</c:v>
                </c:pt>
              </c:numCache>
            </c:numRef>
          </c:val>
        </c:ser>
        <c:ser>
          <c:idx val="1"/>
          <c:order val="1"/>
          <c:tx>
            <c:strRef>
              <c:f>Dashboard!G18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Dashboard!$B$19:$B$40</c:f>
              <c:strCache>
                <c:ptCount val="22"/>
                <c:pt idx="0">
                  <c:v>Rent / Mortgage</c:v>
                </c:pt>
                <c:pt idx="1">
                  <c:v>Council Tax</c:v>
                </c:pt>
                <c:pt idx="2">
                  <c:v>Energy</c:v>
                </c:pt>
                <c:pt idx="3">
                  <c:v>Water</c:v>
                </c:pt>
                <c:pt idx="4">
                  <c:v>Broadband &amp; Phone</c:v>
                </c:pt>
                <c:pt idx="5">
                  <c:v>Insurance</c:v>
                </c:pt>
                <c:pt idx="6">
                  <c:v>Groceries</c:v>
                </c:pt>
                <c:pt idx="7">
                  <c:v>Transport &amp; Fuel</c:v>
                </c:pt>
                <c:pt idx="8">
                  <c:v>Health</c:v>
                </c:pt>
                <c:pt idx="9">
                  <c:v>Childcare &amp; Kids</c:v>
                </c:pt>
                <c:pt idx="10">
                  <c:v>Debt Repayments</c:v>
                </c:pt>
                <c:pt idx="11">
                  <c:v>Eating Out</c:v>
                </c:pt>
                <c:pt idx="12">
                  <c:v>Takeaways</c:v>
                </c:pt>
                <c:pt idx="13">
                  <c:v>Subscriptions</c:v>
                </c:pt>
                <c:pt idx="14">
                  <c:v>Entertainment</c:v>
                </c:pt>
                <c:pt idx="15">
                  <c:v>Shopping &amp; Clothes</c:v>
                </c:pt>
                <c:pt idx="16">
                  <c:v>Personal Care</c:v>
                </c:pt>
                <c:pt idx="17">
                  <c:v>Gifts</c:v>
                </c:pt>
                <c:pt idx="18">
                  <c:v>Holidays</c:v>
                </c:pt>
                <c:pt idx="19">
                  <c:v>Home &amp; Garden</c:v>
                </c:pt>
                <c:pt idx="20">
                  <c:v>Hobbies</c:v>
                </c:pt>
                <c:pt idx="21">
                  <c:v>Other</c:v>
                </c:pt>
              </c:strCache>
            </c:strRef>
          </c:cat>
          <c:val>
            <c:numRef>
              <c:f>Dashboard!$G$19:$G$40</c:f>
              <c:numCache>
                <c:formatCode>\£#,##0.00;[RED]"-£"#,##0.00;\-</c:formatCode>
                <c:ptCount val="22"/>
                <c:pt idx="0">
                  <c:v>1200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118.45</c:v>
                </c:pt>
                <c:pt idx="7">
                  <c:v>64.2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86.5</c:v>
                </c:pt>
                <c:pt idx="12">
                  <c:v>0</c:v>
                </c:pt>
                <c:pt idx="13">
                  <c:v>12.99</c:v>
                </c:pt>
                <c:pt idx="14">
                  <c:v>0</c:v>
                </c:pt>
                <c:pt idx="15">
                  <c:v>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gapWidth val="150"/>
        <c:overlap val="0"/>
        <c:axId val="54475858"/>
        <c:axId val="14675322"/>
      </c:barChart>
      <c:catAx>
        <c:axId val="544758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75322"/>
        <c:crosses val="autoZero"/>
        <c:auto val="1"/>
        <c:lblAlgn val="ctr"/>
        <c:lblOffset val="100"/>
        <c:noMultiLvlLbl val="0"/>
      </c:catAx>
      <c:valAx>
        <c:axId val="14675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758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spending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Dashboard!C48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Dashboard!$B$49:$B$60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Dashboard!$C$49:$C$60</c:f>
              <c:numCache>
                <c:formatCode>\£#,##0.00;[RED]"-£"#,##0.00;\-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5050</c:v>
                </c:pt>
                <c:pt idx="9">
                  <c:v>5050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Dashboard!D48</c:f>
              <c:strCache>
                <c:ptCount val="1"/>
                <c:pt idx="0">
                  <c:v>Spending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Dashboard!$B$49:$B$60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Dashboard!$D$49:$D$60</c:f>
              <c:numCache>
                <c:formatCode>\£#,##0.00;[RED]"-£"#,##0.00;\-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1975</c:v>
                </c:pt>
                <c:pt idx="9">
                  <c:v>1557.14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Dashboard!E48</c:f>
              <c:strCache>
                <c:ptCount val="1"/>
                <c:pt idx="0">
                  <c:v>Saved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Dashboard!$B$49:$B$60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Dashboard!$E$49:$E$60</c:f>
              <c:numCache>
                <c:formatCode>\£#,##0.00;[RED]"-£"#,##0.00;\-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300</c:v>
                </c:pt>
                <c:pt idx="8">
                  <c:v>300</c:v>
                </c:pt>
                <c:pt idx="9">
                  <c:v>500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5867276"/>
        <c:axId val="95945452"/>
      </c:barChart>
      <c:catAx>
        <c:axId val="25867276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45452"/>
        <c:crosses val="autoZero"/>
        <c:auto val="1"/>
        <c:lblAlgn val="ctr"/>
        <c:lblOffset val="100"/>
        <c:noMultiLvlLbl val="0"/>
      </c:catAx>
      <c:valAx>
        <c:axId val="95945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672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15</xdr:row>
      <xdr:rowOff>131040</xdr:rowOff>
    </xdr:from>
    <xdr:to>
      <xdr:col>20</xdr:col>
      <xdr:colOff>255960</xdr:colOff>
      <xdr:row>41</xdr:row>
      <xdr:rowOff>27000</xdr:rowOff>
    </xdr:to>
    <xdr:graphicFrame>
      <xdr:nvGraphicFramePr>
        <xdr:cNvPr id="0" name="Chart 1"/>
        <xdr:cNvGraphicFramePr/>
      </xdr:nvGraphicFramePr>
      <xdr:xfrm>
        <a:off x="10267920" y="323856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45</xdr:row>
      <xdr:rowOff>130680</xdr:rowOff>
    </xdr:from>
    <xdr:to>
      <xdr:col>14</xdr:col>
      <xdr:colOff>494280</xdr:colOff>
      <xdr:row>61</xdr:row>
      <xdr:rowOff>132120</xdr:rowOff>
    </xdr:to>
    <xdr:graphicFrame>
      <xdr:nvGraphicFramePr>
        <xdr:cNvPr id="1" name="Chart 2"/>
        <xdr:cNvGraphicFramePr/>
      </xdr:nvGraphicFramePr>
      <xdr:xfrm>
        <a:off x="6837120" y="9144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4" t="s">
        <v>4</v>
      </c>
    </row>
    <row r="6" customFormat="false" ht="15" hidden="false" customHeight="false" outlineLevel="0" collapsed="false">
      <c r="B6" s="6" t="s">
        <v>5</v>
      </c>
      <c r="C6" s="4" t="s">
        <v>6</v>
      </c>
    </row>
    <row r="7" customFormat="false" ht="15" hidden="false" customHeight="false" outlineLevel="0" collapsed="false">
      <c r="B7" s="7" t="s">
        <v>7</v>
      </c>
      <c r="C7" s="4" t="s">
        <v>8</v>
      </c>
    </row>
    <row r="8" customFormat="false" ht="15" hidden="false" customHeight="false" outlineLevel="0" collapsed="false">
      <c r="B8" s="3"/>
      <c r="C8" s="4"/>
    </row>
    <row r="9" customFormat="false" ht="23.85" hidden="false" customHeight="false" outlineLevel="0" collapsed="false">
      <c r="B9" s="3" t="s">
        <v>9</v>
      </c>
      <c r="C9" s="4" t="s">
        <v>10</v>
      </c>
    </row>
    <row r="10" customFormat="false" ht="23.85" hidden="false" customHeight="false" outlineLevel="0" collapsed="false">
      <c r="B10" s="3" t="s">
        <v>11</v>
      </c>
      <c r="C10" s="4" t="s">
        <v>12</v>
      </c>
    </row>
    <row r="11" customFormat="false" ht="23.85" hidden="false" customHeight="false" outlineLevel="0" collapsed="false">
      <c r="B11" s="3" t="s">
        <v>13</v>
      </c>
      <c r="C11" s="4" t="s">
        <v>14</v>
      </c>
    </row>
    <row r="12" customFormat="false" ht="23.85" hidden="false" customHeight="false" outlineLevel="0" collapsed="false">
      <c r="B12" s="3"/>
      <c r="C12" s="4" t="s">
        <v>15</v>
      </c>
    </row>
    <row r="13" customFormat="false" ht="15" hidden="false" customHeight="false" outlineLevel="0" collapsed="false">
      <c r="B13" s="3" t="s">
        <v>16</v>
      </c>
      <c r="C13" s="4" t="s">
        <v>17</v>
      </c>
    </row>
    <row r="14" customFormat="false" ht="23.85" hidden="false" customHeight="false" outlineLevel="0" collapsed="false">
      <c r="B14" s="3" t="s">
        <v>18</v>
      </c>
      <c r="C14" s="4" t="s">
        <v>19</v>
      </c>
    </row>
    <row r="15" customFormat="false" ht="23.85" hidden="false" customHeight="false" outlineLevel="0" collapsed="false">
      <c r="B15" s="3" t="s">
        <v>20</v>
      </c>
      <c r="C15" s="4" t="s">
        <v>21</v>
      </c>
    </row>
    <row r="16" customFormat="false" ht="15" hidden="false" customHeight="false" outlineLevel="0" collapsed="false">
      <c r="B16" s="3"/>
      <c r="C16" s="4"/>
    </row>
    <row r="17" customFormat="false" ht="23.85" hidden="false" customHeight="false" outlineLevel="0" collapsed="false">
      <c r="B17" s="3" t="s">
        <v>22</v>
      </c>
      <c r="C17" s="4" t="s">
        <v>23</v>
      </c>
    </row>
    <row r="18" customFormat="false" ht="15" hidden="false" customHeight="false" outlineLevel="0" collapsed="false">
      <c r="B18" s="3" t="s">
        <v>24</v>
      </c>
      <c r="C18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B3" s="8" t="s">
        <v>28</v>
      </c>
      <c r="C3" s="9" t="n">
        <v>46296</v>
      </c>
      <c r="D3" s="10" t="n">
        <f aca="false">DATE(YEAR(C3),MONTH(C3),1)</f>
        <v>46296</v>
      </c>
    </row>
    <row r="5" customFormat="false" ht="15" hidden="false" customHeight="false" outlineLevel="0" collapsed="false">
      <c r="B5" s="11" t="s">
        <v>29</v>
      </c>
    </row>
    <row r="6" customFormat="false" ht="30" hidden="false" customHeight="true" outlineLevel="0" collapsed="false">
      <c r="B6" s="12"/>
      <c r="C6" s="12" t="str">
        <f aca="false">Settings!C3</f>
        <v>Me</v>
      </c>
      <c r="D6" s="12" t="str">
        <f aca="false">Settings!C4</f>
        <v>Partner</v>
      </c>
      <c r="E6" s="12" t="s">
        <v>30</v>
      </c>
      <c r="F6" s="12" t="s">
        <v>31</v>
      </c>
    </row>
    <row r="7" customFormat="false" ht="15" hidden="false" customHeight="false" outlineLevel="0" collapsed="false">
      <c r="B7" s="13" t="s">
        <v>32</v>
      </c>
      <c r="C7" s="14" t="n">
        <f aca="false">SUMIFS(Transactions!$F$5:$F$2004,Transactions!$I$5:$I$2004,C$6,Transactions!$D$5:$D$2004,"Income",Transactions!$K$5:$K$2004,$D$3)</f>
        <v>2650</v>
      </c>
      <c r="D7" s="14" t="n">
        <f aca="false">SUMIFS(Transactions!$F$5:$F$2004,Transactions!$I$5:$I$2004,D$6,Transactions!$D$5:$D$2004,"Income",Transactions!$K$5:$K$2004,$D$3)</f>
        <v>2400</v>
      </c>
      <c r="E7" s="14" t="n">
        <f aca="false">SUMIFS(Transactions!$F$5:$F$2004,Transactions!$I$5:$I$2004,E$6,Transactions!$D$5:$D$2004,"Income",Transactions!$K$5:$K$2004,$D$3)</f>
        <v>0</v>
      </c>
      <c r="F7" s="14" t="n">
        <f aca="false">SUM(C7:E7)</f>
        <v>5050</v>
      </c>
    </row>
    <row r="8" customFormat="false" ht="15" hidden="false" customHeight="false" outlineLevel="0" collapsed="false">
      <c r="B8" s="13" t="s">
        <v>33</v>
      </c>
      <c r="C8" s="14" t="n">
        <f aca="false">SUMIFS(Transactions!$F$5:$F$2004,Transactions!$I$5:$I$2004,C$6,Transactions!$D$5:$D$2004,"Expense",Transactions!$K$5:$K$2004,$D$3)</f>
        <v>99.49</v>
      </c>
      <c r="D8" s="14" t="n">
        <f aca="false">SUMIFS(Transactions!$F$5:$F$2004,Transactions!$I$5:$I$2004,D$6,Transactions!$D$5:$D$2004,"Expense",Transactions!$K$5:$K$2004,$D$3)</f>
        <v>139.2</v>
      </c>
      <c r="E8" s="14" t="n">
        <f aca="false">SUMIFS(Transactions!$F$5:$F$2004,Transactions!$I$5:$I$2004,E$6,Transactions!$D$5:$D$2004,"Expense",Transactions!$K$5:$K$2004,$D$3)</f>
        <v>1318.45</v>
      </c>
      <c r="F8" s="14" t="n">
        <f aca="false">SUM(C8:E8)</f>
        <v>1557.14</v>
      </c>
    </row>
    <row r="9" customFormat="false" ht="15" hidden="false" customHeight="false" outlineLevel="0" collapsed="false">
      <c r="B9" s="13" t="s">
        <v>34</v>
      </c>
      <c r="C9" s="14" t="n">
        <f aca="false">SUMIFS(Transactions!$F$5:$F$2004,Transactions!$J$5:$J$2004,C$6,Transactions!$D$5:$D$2004,"Transfer",Transactions!$K$5:$K$2004,$D$3)</f>
        <v>0</v>
      </c>
      <c r="D9" s="14" t="n">
        <f aca="false">SUMIFS(Transactions!$F$5:$F$2004,Transactions!$J$5:$J$2004,D$6,Transactions!$D$5:$D$2004,"Transfer",Transactions!$K$5:$K$2004,$D$3)</f>
        <v>0</v>
      </c>
      <c r="E9" s="14" t="n">
        <f aca="false">SUMIFS(Transactions!$F$5:$F$2004,Transactions!$J$5:$J$2004,E$6,Transactions!$D$5:$D$2004,"Transfer",Transactions!$K$5:$K$2004,$D$3)</f>
        <v>2100</v>
      </c>
      <c r="F9" s="14" t="n">
        <f aca="false">SUM(C9:E9)</f>
        <v>2100</v>
      </c>
    </row>
    <row r="10" customFormat="false" ht="15" hidden="false" customHeight="false" outlineLevel="0" collapsed="false">
      <c r="B10" s="13" t="s">
        <v>35</v>
      </c>
      <c r="C10" s="14" t="n">
        <f aca="false">SUMIFS(Transactions!$F$5:$F$2004,Transactions!$I$5:$I$2004,C$6,Transactions!$D$5:$D$2004,"Transfer",Transactions!$K$5:$K$2004,$D$3)</f>
        <v>1100</v>
      </c>
      <c r="D10" s="14" t="n">
        <f aca="false">SUMIFS(Transactions!$F$5:$F$2004,Transactions!$I$5:$I$2004,D$6,Transactions!$D$5:$D$2004,"Transfer",Transactions!$K$5:$K$2004,$D$3)</f>
        <v>1000</v>
      </c>
      <c r="E10" s="14" t="n">
        <f aca="false">SUMIFS(Transactions!$F$5:$F$2004,Transactions!$I$5:$I$2004,E$6,Transactions!$D$5:$D$2004,"Transfer",Transactions!$K$5:$K$2004,$D$3)</f>
        <v>0</v>
      </c>
      <c r="F10" s="14" t="n">
        <f aca="false">SUM(C10:E10)</f>
        <v>2100</v>
      </c>
    </row>
    <row r="11" customFormat="false" ht="15" hidden="false" customHeight="false" outlineLevel="0" collapsed="false">
      <c r="B11" s="13" t="s">
        <v>36</v>
      </c>
      <c r="C11" s="14" t="n">
        <f aca="false">SUMIFS('Savings Log'!$D$5:$D$1004,'Savings Log'!$F$5:$F$1004,C$6,'Savings Log'!$G$5:$G$1004,$D$3)</f>
        <v>350</v>
      </c>
      <c r="D11" s="14" t="n">
        <f aca="false">SUMIFS('Savings Log'!$D$5:$D$1004,'Savings Log'!$F$5:$F$1004,D$6,'Savings Log'!$G$5:$G$1004,$D$3)</f>
        <v>150</v>
      </c>
      <c r="E11" s="14" t="n">
        <f aca="false">SUMIFS('Savings Log'!$D$5:$D$1004,'Savings Log'!$F$5:$F$1004,E$6,'Savings Log'!$G$5:$G$1004,$D$3)</f>
        <v>0</v>
      </c>
      <c r="F11" s="14" t="n">
        <f aca="false">SUM(C11:E11)</f>
        <v>500</v>
      </c>
    </row>
    <row r="12" customFormat="false" ht="15" hidden="false" customHeight="false" outlineLevel="0" collapsed="false">
      <c r="B12" s="15" t="s">
        <v>37</v>
      </c>
      <c r="C12" s="16" t="n">
        <f aca="false">C7-C8+C9-C10-C11</f>
        <v>1100.51</v>
      </c>
      <c r="D12" s="16" t="n">
        <f aca="false">D7-D8+D9-D10-D11</f>
        <v>1110.8</v>
      </c>
      <c r="E12" s="16" t="n">
        <f aca="false">E7-E8+E9-E10-E11</f>
        <v>781.55</v>
      </c>
      <c r="F12" s="16" t="n">
        <f aca="false">SUM(C12:E12)</f>
        <v>2992.86</v>
      </c>
    </row>
    <row r="13" customFormat="false" ht="15" hidden="false" customHeight="false" outlineLevel="0" collapsed="false">
      <c r="B13" s="13" t="s">
        <v>38</v>
      </c>
      <c r="C13" s="17" t="n">
        <f aca="false">IF(C7&gt;0,C11/C7,"")</f>
        <v>0.132075471698113</v>
      </c>
      <c r="D13" s="17" t="n">
        <f aca="false">IF(D7&gt;0,D11/D7,"")</f>
        <v>0.0625</v>
      </c>
      <c r="E13" s="17" t="str">
        <f aca="false">IF(E7&gt;0,E11/E7,"")</f>
        <v/>
      </c>
      <c r="F13" s="17" t="n">
        <f aca="false">IF(F7&gt;0,F11/F7,"")</f>
        <v>0.099009900990099</v>
      </c>
    </row>
    <row r="14" customFormat="false" ht="15" hidden="false" customHeight="false" outlineLevel="0" collapsed="false">
      <c r="B14" s="13" t="s">
        <v>39</v>
      </c>
      <c r="C14" s="14" t="n">
        <f aca="false">SUMIFS('Regular Bills'!$G$5:$G$64,'Regular Bills'!$I$5:$I$64,C$6,'Regular Bills'!$C$5:$C$64,"Expense")</f>
        <v>20.9066666666667</v>
      </c>
      <c r="D14" s="14" t="n">
        <f aca="false">SUMIFS('Regular Bills'!$G$5:$G$64,'Regular Bills'!$I$5:$I$64,D$6,'Regular Bills'!$C$5:$C$64,"Expense")</f>
        <v>40.0833333333333</v>
      </c>
      <c r="E14" s="14" t="n">
        <f aca="false">SUMIFS('Regular Bills'!$G$5:$G$64,'Regular Bills'!$I$5:$I$64,E$6,'Regular Bills'!$C$5:$C$64,"Expense")</f>
        <v>1580</v>
      </c>
      <c r="F14" s="14" t="n">
        <f aca="false">SUM(C14:E14)</f>
        <v>1640.99</v>
      </c>
    </row>
    <row r="15" customFormat="false" ht="15" hidden="false" customHeight="false" outlineLevel="0" collapsed="false">
      <c r="B15" s="2" t="s">
        <v>40</v>
      </c>
    </row>
    <row r="17" customFormat="false" ht="15" hidden="false" customHeight="false" outlineLevel="0" collapsed="false">
      <c r="B17" s="11" t="s">
        <v>41</v>
      </c>
    </row>
    <row r="18" customFormat="false" ht="30" hidden="false" customHeight="true" outlineLevel="0" collapsed="false">
      <c r="B18" s="12" t="s">
        <v>42</v>
      </c>
      <c r="C18" s="12" t="s">
        <v>43</v>
      </c>
      <c r="D18" s="12" t="str">
        <f aca="false">Settings!C3</f>
        <v>Me</v>
      </c>
      <c r="E18" s="12" t="str">
        <f aca="false">Settings!C4</f>
        <v>Partner</v>
      </c>
      <c r="F18" s="12" t="s">
        <v>30</v>
      </c>
      <c r="G18" s="12" t="s">
        <v>44</v>
      </c>
      <c r="H18" s="12" t="s">
        <v>45</v>
      </c>
      <c r="I18" s="12" t="s">
        <v>46</v>
      </c>
      <c r="J18" s="12" t="s">
        <v>47</v>
      </c>
    </row>
    <row r="19" customFormat="false" ht="15" hidden="false" customHeight="false" outlineLevel="0" collapsed="false">
      <c r="B19" s="13" t="str">
        <f aca="false">IF(Settings!H14="","",Settings!H14)</f>
        <v>Rent / Mortgage</v>
      </c>
      <c r="C19" s="14" t="n">
        <f aca="false">IF(B19="","",N(Settings!J14))</f>
        <v>1200</v>
      </c>
      <c r="D19" s="14" t="n">
        <f aca="false">IF($B19="","",SUMIFS(Transactions!$F$5:$F$2004,Transactions!$E$5:$E$2004,$B19,Transactions!$D$5:$D$2004,"Expense",Transactions!$I$5:$I$2004,D$18,Transactions!$K$5:$K$2004,$D$3))</f>
        <v>0</v>
      </c>
      <c r="E19" s="14" t="n">
        <f aca="false">IF($B19="","",SUMIFS(Transactions!$F$5:$F$2004,Transactions!$E$5:$E$2004,$B19,Transactions!$D$5:$D$2004,"Expense",Transactions!$I$5:$I$2004,E$18,Transactions!$K$5:$K$2004,$D$3))</f>
        <v>0</v>
      </c>
      <c r="F19" s="14" t="n">
        <f aca="false">IF($B19="","",SUMIFS(Transactions!$F$5:$F$2004,Transactions!$E$5:$E$2004,$B19,Transactions!$D$5:$D$2004,"Expense",Transactions!$I$5:$I$2004,F$18,Transactions!$K$5:$K$2004,$D$3))</f>
        <v>1200</v>
      </c>
      <c r="G19" s="14" t="n">
        <f aca="false">IF(B19="","",SUM(D19:F19))</f>
        <v>1200</v>
      </c>
      <c r="H19" s="14" t="n">
        <f aca="false">IF(B19="","",C19-G19)</f>
        <v>0</v>
      </c>
      <c r="I19" s="17" t="n">
        <f aca="false">IF(OR(B19="",N(C19)=0),"",G19/C19)</f>
        <v>1</v>
      </c>
      <c r="J19" s="14" t="n">
        <f aca="false">IF(B19="","",SUMIFS(Transactions!$F$5:$F$2004,Transactions!$E$5:$E$2004,$B19,Transactions!$D$5:$D$2004,"Expense",Transactions!$K$5:$K$2004,"&gt;="&amp;EDATE($D$3,-2),Transactions!$K$5:$K$2004,"&lt;="&amp;$D$3)/3)</f>
        <v>800</v>
      </c>
    </row>
    <row r="20" customFormat="false" ht="15" hidden="false" customHeight="false" outlineLevel="0" collapsed="false">
      <c r="B20" s="13" t="str">
        <f aca="false">IF(Settings!H15="","",Settings!H15)</f>
        <v>Council Tax</v>
      </c>
      <c r="C20" s="14" t="n">
        <f aca="false">IF(B20="","",N(Settings!J15))</f>
        <v>160</v>
      </c>
      <c r="D20" s="14" t="n">
        <f aca="false">IF($B20="","",SUMIFS(Transactions!$F$5:$F$2004,Transactions!$E$5:$E$2004,$B20,Transactions!$D$5:$D$2004,"Expense",Transactions!$I$5:$I$2004,D$18,Transactions!$K$5:$K$2004,$D$3))</f>
        <v>0</v>
      </c>
      <c r="E20" s="14" t="n">
        <f aca="false">IF($B20="","",SUMIFS(Transactions!$F$5:$F$2004,Transactions!$E$5:$E$2004,$B20,Transactions!$D$5:$D$2004,"Expense",Transactions!$I$5:$I$2004,E$18,Transactions!$K$5:$K$2004,$D$3))</f>
        <v>0</v>
      </c>
      <c r="F20" s="14" t="n">
        <f aca="false">IF($B20="","",SUMIFS(Transactions!$F$5:$F$2004,Transactions!$E$5:$E$2004,$B20,Transactions!$D$5:$D$2004,"Expense",Transactions!$I$5:$I$2004,F$18,Transactions!$K$5:$K$2004,$D$3))</f>
        <v>0</v>
      </c>
      <c r="G20" s="14" t="n">
        <f aca="false">IF(B20="","",SUM(D20:F20))</f>
        <v>0</v>
      </c>
      <c r="H20" s="14" t="n">
        <f aca="false">IF(B20="","",C20-G20)</f>
        <v>160</v>
      </c>
      <c r="I20" s="17" t="n">
        <f aca="false">IF(OR(B20="",N(C20)=0),"",G20/C20)</f>
        <v>0</v>
      </c>
      <c r="J20" s="14" t="n">
        <f aca="false">IF(B20="","",SUMIFS(Transactions!$F$5:$F$2004,Transactions!$E$5:$E$2004,$B20,Transactions!$D$5:$D$2004,"Expense",Transactions!$K$5:$K$2004,"&gt;="&amp;EDATE($D$3,-2),Transactions!$K$5:$K$2004,"&lt;="&amp;$D$3)/3)</f>
        <v>0</v>
      </c>
    </row>
    <row r="21" customFormat="false" ht="15" hidden="false" customHeight="false" outlineLevel="0" collapsed="false">
      <c r="B21" s="13" t="str">
        <f aca="false">IF(Settings!H16="","",Settings!H16)</f>
        <v>Energy</v>
      </c>
      <c r="C21" s="14" t="n">
        <f aca="false">IF(B21="","",N(Settings!J16))</f>
        <v>140</v>
      </c>
      <c r="D21" s="14" t="n">
        <f aca="false">IF($B21="","",SUMIFS(Transactions!$F$5:$F$2004,Transactions!$E$5:$E$2004,$B21,Transactions!$D$5:$D$2004,"Expense",Transactions!$I$5:$I$2004,D$18,Transactions!$K$5:$K$2004,$D$3))</f>
        <v>0</v>
      </c>
      <c r="E21" s="14" t="n">
        <f aca="false">IF($B21="","",SUMIFS(Transactions!$F$5:$F$2004,Transactions!$E$5:$E$2004,$B21,Transactions!$D$5:$D$2004,"Expense",Transactions!$I$5:$I$2004,E$18,Transactions!$K$5:$K$2004,$D$3))</f>
        <v>0</v>
      </c>
      <c r="F21" s="14" t="n">
        <f aca="false">IF($B21="","",SUMIFS(Transactions!$F$5:$F$2004,Transactions!$E$5:$E$2004,$B21,Transactions!$D$5:$D$2004,"Expense",Transactions!$I$5:$I$2004,F$18,Transactions!$K$5:$K$2004,$D$3))</f>
        <v>0</v>
      </c>
      <c r="G21" s="14" t="n">
        <f aca="false">IF(B21="","",SUM(D21:F21))</f>
        <v>0</v>
      </c>
      <c r="H21" s="14" t="n">
        <f aca="false">IF(B21="","",C21-G21)</f>
        <v>140</v>
      </c>
      <c r="I21" s="17" t="n">
        <f aca="false">IF(OR(B21="",N(C21)=0),"",G21/C21)</f>
        <v>0</v>
      </c>
      <c r="J21" s="14" t="n">
        <f aca="false">IF(B21="","",SUMIFS(Transactions!$F$5:$F$2004,Transactions!$E$5:$E$2004,$B21,Transactions!$D$5:$D$2004,"Expense",Transactions!$K$5:$K$2004,"&gt;="&amp;EDATE($D$3,-2),Transactions!$K$5:$K$2004,"&lt;="&amp;$D$3)/3)</f>
        <v>0</v>
      </c>
    </row>
    <row r="22" customFormat="false" ht="15" hidden="false" customHeight="false" outlineLevel="0" collapsed="false">
      <c r="B22" s="13" t="str">
        <f aca="false">IF(Settings!H17="","",Settings!H17)</f>
        <v>Water</v>
      </c>
      <c r="C22" s="14" t="n">
        <f aca="false">IF(B22="","",N(Settings!J17))</f>
        <v>40</v>
      </c>
      <c r="D22" s="14" t="n">
        <f aca="false">IF($B22="","",SUMIFS(Transactions!$F$5:$F$2004,Transactions!$E$5:$E$2004,$B22,Transactions!$D$5:$D$2004,"Expense",Transactions!$I$5:$I$2004,D$18,Transactions!$K$5:$K$2004,$D$3))</f>
        <v>0</v>
      </c>
      <c r="E22" s="14" t="n">
        <f aca="false">IF($B22="","",SUMIFS(Transactions!$F$5:$F$2004,Transactions!$E$5:$E$2004,$B22,Transactions!$D$5:$D$2004,"Expense",Transactions!$I$5:$I$2004,E$18,Transactions!$K$5:$K$2004,$D$3))</f>
        <v>0</v>
      </c>
      <c r="F22" s="14" t="n">
        <f aca="false">IF($B22="","",SUMIFS(Transactions!$F$5:$F$2004,Transactions!$E$5:$E$2004,$B22,Transactions!$D$5:$D$2004,"Expense",Transactions!$I$5:$I$2004,F$18,Transactions!$K$5:$K$2004,$D$3))</f>
        <v>0</v>
      </c>
      <c r="G22" s="14" t="n">
        <f aca="false">IF(B22="","",SUM(D22:F22))</f>
        <v>0</v>
      </c>
      <c r="H22" s="14" t="n">
        <f aca="false">IF(B22="","",C22-G22)</f>
        <v>40</v>
      </c>
      <c r="I22" s="17" t="n">
        <f aca="false">IF(OR(B22="",N(C22)=0),"",G22/C22)</f>
        <v>0</v>
      </c>
      <c r="J22" s="14" t="n">
        <f aca="false">IF(B22="","",SUMIFS(Transactions!$F$5:$F$2004,Transactions!$E$5:$E$2004,$B22,Transactions!$D$5:$D$2004,"Expense",Transactions!$K$5:$K$2004,"&gt;="&amp;EDATE($D$3,-2),Transactions!$K$5:$K$2004,"&lt;="&amp;$D$3)/3)</f>
        <v>0</v>
      </c>
    </row>
    <row r="23" customFormat="false" ht="15" hidden="false" customHeight="false" outlineLevel="0" collapsed="false">
      <c r="B23" s="13" t="str">
        <f aca="false">IF(Settings!H18="","",Settings!H18)</f>
        <v>Broadband &amp; Phone</v>
      </c>
      <c r="C23" s="14" t="n">
        <f aca="false">IF(B23="","",N(Settings!J18))</f>
        <v>70</v>
      </c>
      <c r="D23" s="14" t="n">
        <f aca="false">IF($B23="","",SUMIFS(Transactions!$F$5:$F$2004,Transactions!$E$5:$E$2004,$B23,Transactions!$D$5:$D$2004,"Expense",Transactions!$I$5:$I$2004,D$18,Transactions!$K$5:$K$2004,$D$3))</f>
        <v>0</v>
      </c>
      <c r="E23" s="14" t="n">
        <f aca="false">IF($B23="","",SUMIFS(Transactions!$F$5:$F$2004,Transactions!$E$5:$E$2004,$B23,Transactions!$D$5:$D$2004,"Expense",Transactions!$I$5:$I$2004,E$18,Transactions!$K$5:$K$2004,$D$3))</f>
        <v>0</v>
      </c>
      <c r="F23" s="14" t="n">
        <f aca="false">IF($B23="","",SUMIFS(Transactions!$F$5:$F$2004,Transactions!$E$5:$E$2004,$B23,Transactions!$D$5:$D$2004,"Expense",Transactions!$I$5:$I$2004,F$18,Transactions!$K$5:$K$2004,$D$3))</f>
        <v>0</v>
      </c>
      <c r="G23" s="14" t="n">
        <f aca="false">IF(B23="","",SUM(D23:F23))</f>
        <v>0</v>
      </c>
      <c r="H23" s="14" t="n">
        <f aca="false">IF(B23="","",C23-G23)</f>
        <v>70</v>
      </c>
      <c r="I23" s="17" t="n">
        <f aca="false">IF(OR(B23="",N(C23)=0),"",G23/C23)</f>
        <v>0</v>
      </c>
      <c r="J23" s="14" t="n">
        <f aca="false">IF(B23="","",SUMIFS(Transactions!$F$5:$F$2004,Transactions!$E$5:$E$2004,$B23,Transactions!$D$5:$D$2004,"Expense",Transactions!$K$5:$K$2004,"&gt;="&amp;EDATE($D$3,-2),Transactions!$K$5:$K$2004,"&lt;="&amp;$D$3)/3)</f>
        <v>0</v>
      </c>
    </row>
    <row r="24" customFormat="false" ht="15" hidden="false" customHeight="false" outlineLevel="0" collapsed="false">
      <c r="B24" s="13" t="str">
        <f aca="false">IF(Settings!H19="","",Settings!H19)</f>
        <v>Insurance</v>
      </c>
      <c r="C24" s="14" t="n">
        <f aca="false">IF(B24="","",N(Settings!J19))</f>
        <v>60</v>
      </c>
      <c r="D24" s="14" t="n">
        <f aca="false">IF($B24="","",SUMIFS(Transactions!$F$5:$F$2004,Transactions!$E$5:$E$2004,$B24,Transactions!$D$5:$D$2004,"Expense",Transactions!$I$5:$I$2004,D$18,Transactions!$K$5:$K$2004,$D$3))</f>
        <v>0</v>
      </c>
      <c r="E24" s="14" t="n">
        <f aca="false">IF($B24="","",SUMIFS(Transactions!$F$5:$F$2004,Transactions!$E$5:$E$2004,$B24,Transactions!$D$5:$D$2004,"Expense",Transactions!$I$5:$I$2004,E$18,Transactions!$K$5:$K$2004,$D$3))</f>
        <v>0</v>
      </c>
      <c r="F24" s="14" t="n">
        <f aca="false">IF($B24="","",SUMIFS(Transactions!$F$5:$F$2004,Transactions!$E$5:$E$2004,$B24,Transactions!$D$5:$D$2004,"Expense",Transactions!$I$5:$I$2004,F$18,Transactions!$K$5:$K$2004,$D$3))</f>
        <v>0</v>
      </c>
      <c r="G24" s="14" t="n">
        <f aca="false">IF(B24="","",SUM(D24:F24))</f>
        <v>0</v>
      </c>
      <c r="H24" s="14" t="n">
        <f aca="false">IF(B24="","",C24-G24)</f>
        <v>60</v>
      </c>
      <c r="I24" s="17" t="n">
        <f aca="false">IF(OR(B24="",N(C24)=0),"",G24/C24)</f>
        <v>0</v>
      </c>
      <c r="J24" s="14" t="n">
        <f aca="false">IF(B24="","",SUMIFS(Transactions!$F$5:$F$2004,Transactions!$E$5:$E$2004,$B24,Transactions!$D$5:$D$2004,"Expense",Transactions!$K$5:$K$2004,"&gt;="&amp;EDATE($D$3,-2),Transactions!$K$5:$K$2004,"&lt;="&amp;$D$3)/3)</f>
        <v>0</v>
      </c>
    </row>
    <row r="25" customFormat="false" ht="15" hidden="false" customHeight="false" outlineLevel="0" collapsed="false">
      <c r="B25" s="13" t="str">
        <f aca="false">IF(Settings!H20="","",Settings!H20)</f>
        <v>Groceries</v>
      </c>
      <c r="C25" s="14" t="n">
        <f aca="false">IF(B25="","",N(Settings!J20))</f>
        <v>450</v>
      </c>
      <c r="D25" s="14" t="n">
        <f aca="false">IF($B25="","",SUMIFS(Transactions!$F$5:$F$2004,Transactions!$E$5:$E$2004,$B25,Transactions!$D$5:$D$2004,"Expense",Transactions!$I$5:$I$2004,D$18,Transactions!$K$5:$K$2004,$D$3))</f>
        <v>0</v>
      </c>
      <c r="E25" s="14" t="n">
        <f aca="false">IF($B25="","",SUMIFS(Transactions!$F$5:$F$2004,Transactions!$E$5:$E$2004,$B25,Transactions!$D$5:$D$2004,"Expense",Transactions!$I$5:$I$2004,E$18,Transactions!$K$5:$K$2004,$D$3))</f>
        <v>0</v>
      </c>
      <c r="F25" s="14" t="n">
        <f aca="false">IF($B25="","",SUMIFS(Transactions!$F$5:$F$2004,Transactions!$E$5:$E$2004,$B25,Transactions!$D$5:$D$2004,"Expense",Transactions!$I$5:$I$2004,F$18,Transactions!$K$5:$K$2004,$D$3))</f>
        <v>118.45</v>
      </c>
      <c r="G25" s="14" t="n">
        <f aca="false">IF(B25="","",SUM(D25:F25))</f>
        <v>118.45</v>
      </c>
      <c r="H25" s="14" t="n">
        <f aca="false">IF(B25="","",C25-G25)</f>
        <v>331.55</v>
      </c>
      <c r="I25" s="17" t="n">
        <f aca="false">IF(OR(B25="",N(C25)=0),"",G25/C25)</f>
        <v>0.263222222222222</v>
      </c>
      <c r="J25" s="14" t="n">
        <f aca="false">IF(B25="","",SUMIFS(Transactions!$F$5:$F$2004,Transactions!$E$5:$E$2004,$B25,Transactions!$D$5:$D$2004,"Expense",Transactions!$K$5:$K$2004,"&gt;="&amp;EDATE($D$3,-2),Transactions!$K$5:$K$2004,"&lt;="&amp;$D$3)/3)</f>
        <v>196.15</v>
      </c>
    </row>
    <row r="26" customFormat="false" ht="15" hidden="false" customHeight="false" outlineLevel="0" collapsed="false">
      <c r="B26" s="13" t="str">
        <f aca="false">IF(Settings!H21="","",Settings!H21)</f>
        <v>Transport &amp; Fuel</v>
      </c>
      <c r="C26" s="14" t="n">
        <f aca="false">IF(B26="","",N(Settings!J21))</f>
        <v>180</v>
      </c>
      <c r="D26" s="14" t="n">
        <f aca="false">IF($B26="","",SUMIFS(Transactions!$F$5:$F$2004,Transactions!$E$5:$E$2004,$B26,Transactions!$D$5:$D$2004,"Expense",Transactions!$I$5:$I$2004,D$18,Transactions!$K$5:$K$2004,$D$3))</f>
        <v>0</v>
      </c>
      <c r="E26" s="14" t="n">
        <f aca="false">IF($B26="","",SUMIFS(Transactions!$F$5:$F$2004,Transactions!$E$5:$E$2004,$B26,Transactions!$D$5:$D$2004,"Expense",Transactions!$I$5:$I$2004,E$18,Transactions!$K$5:$K$2004,$D$3))</f>
        <v>64.2</v>
      </c>
      <c r="F26" s="14" t="n">
        <f aca="false">IF($B26="","",SUMIFS(Transactions!$F$5:$F$2004,Transactions!$E$5:$E$2004,$B26,Transactions!$D$5:$D$2004,"Expense",Transactions!$I$5:$I$2004,F$18,Transactions!$K$5:$K$2004,$D$3))</f>
        <v>0</v>
      </c>
      <c r="G26" s="14" t="n">
        <f aca="false">IF(B26="","",SUM(D26:F26))</f>
        <v>64.2</v>
      </c>
      <c r="H26" s="14" t="n">
        <f aca="false">IF(B26="","",C26-G26)</f>
        <v>115.8</v>
      </c>
      <c r="I26" s="17" t="n">
        <f aca="false">IF(OR(B26="",N(C26)=0),"",G26/C26)</f>
        <v>0.356666666666667</v>
      </c>
      <c r="J26" s="14" t="n">
        <f aca="false">IF(B26="","",SUMIFS(Transactions!$F$5:$F$2004,Transactions!$E$5:$E$2004,$B26,Transactions!$D$5:$D$2004,"Expense",Transactions!$K$5:$K$2004,"&gt;="&amp;EDATE($D$3,-2),Transactions!$K$5:$K$2004,"&lt;="&amp;$D$3)/3)</f>
        <v>21.4</v>
      </c>
    </row>
    <row r="27" customFormat="false" ht="15" hidden="false" customHeight="false" outlineLevel="0" collapsed="false">
      <c r="B27" s="13" t="str">
        <f aca="false">IF(Settings!H22="","",Settings!H22)</f>
        <v>Health</v>
      </c>
      <c r="C27" s="14" t="n">
        <f aca="false">IF(B27="","",N(Settings!J22))</f>
        <v>30</v>
      </c>
      <c r="D27" s="14" t="n">
        <f aca="false">IF($B27="","",SUMIFS(Transactions!$F$5:$F$2004,Transactions!$E$5:$E$2004,$B27,Transactions!$D$5:$D$2004,"Expense",Transactions!$I$5:$I$2004,D$18,Transactions!$K$5:$K$2004,$D$3))</f>
        <v>0</v>
      </c>
      <c r="E27" s="14" t="n">
        <f aca="false">IF($B27="","",SUMIFS(Transactions!$F$5:$F$2004,Transactions!$E$5:$E$2004,$B27,Transactions!$D$5:$D$2004,"Expense",Transactions!$I$5:$I$2004,E$18,Transactions!$K$5:$K$2004,$D$3))</f>
        <v>0</v>
      </c>
      <c r="F27" s="14" t="n">
        <f aca="false">IF($B27="","",SUMIFS(Transactions!$F$5:$F$2004,Transactions!$E$5:$E$2004,$B27,Transactions!$D$5:$D$2004,"Expense",Transactions!$I$5:$I$2004,F$18,Transactions!$K$5:$K$2004,$D$3))</f>
        <v>0</v>
      </c>
      <c r="G27" s="14" t="n">
        <f aca="false">IF(B27="","",SUM(D27:F27))</f>
        <v>0</v>
      </c>
      <c r="H27" s="14" t="n">
        <f aca="false">IF(B27="","",C27-G27)</f>
        <v>30</v>
      </c>
      <c r="I27" s="17" t="n">
        <f aca="false">IF(OR(B27="",N(C27)=0),"",G27/C27)</f>
        <v>0</v>
      </c>
      <c r="J27" s="14" t="n">
        <f aca="false">IF(B27="","",SUMIFS(Transactions!$F$5:$F$2004,Transactions!$E$5:$E$2004,$B27,Transactions!$D$5:$D$2004,"Expense",Transactions!$K$5:$K$2004,"&gt;="&amp;EDATE($D$3,-2),Transactions!$K$5:$K$2004,"&lt;="&amp;$D$3)/3)</f>
        <v>0</v>
      </c>
    </row>
    <row r="28" customFormat="false" ht="15" hidden="false" customHeight="false" outlineLevel="0" collapsed="false">
      <c r="B28" s="13" t="str">
        <f aca="false">IF(Settings!H23="","",Settings!H23)</f>
        <v>Childcare &amp; Kids</v>
      </c>
      <c r="C28" s="14" t="n">
        <f aca="false">IF(B28="","",N(Settings!J23))</f>
        <v>0</v>
      </c>
      <c r="D28" s="14" t="n">
        <f aca="false">IF($B28="","",SUMIFS(Transactions!$F$5:$F$2004,Transactions!$E$5:$E$2004,$B28,Transactions!$D$5:$D$2004,"Expense",Transactions!$I$5:$I$2004,D$18,Transactions!$K$5:$K$2004,$D$3))</f>
        <v>0</v>
      </c>
      <c r="E28" s="14" t="n">
        <f aca="false">IF($B28="","",SUMIFS(Transactions!$F$5:$F$2004,Transactions!$E$5:$E$2004,$B28,Transactions!$D$5:$D$2004,"Expense",Transactions!$I$5:$I$2004,E$18,Transactions!$K$5:$K$2004,$D$3))</f>
        <v>0</v>
      </c>
      <c r="F28" s="14" t="n">
        <f aca="false">IF($B28="","",SUMIFS(Transactions!$F$5:$F$2004,Transactions!$E$5:$E$2004,$B28,Transactions!$D$5:$D$2004,"Expense",Transactions!$I$5:$I$2004,F$18,Transactions!$K$5:$K$2004,$D$3))</f>
        <v>0</v>
      </c>
      <c r="G28" s="14" t="n">
        <f aca="false">IF(B28="","",SUM(D28:F28))</f>
        <v>0</v>
      </c>
      <c r="H28" s="14" t="n">
        <f aca="false">IF(B28="","",C28-G28)</f>
        <v>0</v>
      </c>
      <c r="I28" s="17" t="str">
        <f aca="false">IF(OR(B28="",N(C28)=0),"",G28/C28)</f>
        <v/>
      </c>
      <c r="J28" s="14" t="n">
        <f aca="false">IF(B28="","",SUMIFS(Transactions!$F$5:$F$2004,Transactions!$E$5:$E$2004,$B28,Transactions!$D$5:$D$2004,"Expense",Transactions!$K$5:$K$2004,"&gt;="&amp;EDATE($D$3,-2),Transactions!$K$5:$K$2004,"&lt;="&amp;$D$3)/3)</f>
        <v>0</v>
      </c>
    </row>
    <row r="29" customFormat="false" ht="15" hidden="false" customHeight="false" outlineLevel="0" collapsed="false">
      <c r="B29" s="13" t="str">
        <f aca="false">IF(Settings!H24="","",Settings!H24)</f>
        <v>Debt Repayments</v>
      </c>
      <c r="C29" s="14" t="n">
        <f aca="false">IF(B29="","",N(Settings!J24))</f>
        <v>0</v>
      </c>
      <c r="D29" s="14" t="n">
        <f aca="false">IF($B29="","",SUMIFS(Transactions!$F$5:$F$2004,Transactions!$E$5:$E$2004,$B29,Transactions!$D$5:$D$2004,"Expense",Transactions!$I$5:$I$2004,D$18,Transactions!$K$5:$K$2004,$D$3))</f>
        <v>0</v>
      </c>
      <c r="E29" s="14" t="n">
        <f aca="false">IF($B29="","",SUMIFS(Transactions!$F$5:$F$2004,Transactions!$E$5:$E$2004,$B29,Transactions!$D$5:$D$2004,"Expense",Transactions!$I$5:$I$2004,E$18,Transactions!$K$5:$K$2004,$D$3))</f>
        <v>0</v>
      </c>
      <c r="F29" s="14" t="n">
        <f aca="false">IF($B29="","",SUMIFS(Transactions!$F$5:$F$2004,Transactions!$E$5:$E$2004,$B29,Transactions!$D$5:$D$2004,"Expense",Transactions!$I$5:$I$2004,F$18,Transactions!$K$5:$K$2004,$D$3))</f>
        <v>0</v>
      </c>
      <c r="G29" s="14" t="n">
        <f aca="false">IF(B29="","",SUM(D29:F29))</f>
        <v>0</v>
      </c>
      <c r="H29" s="14" t="n">
        <f aca="false">IF(B29="","",C29-G29)</f>
        <v>0</v>
      </c>
      <c r="I29" s="17" t="str">
        <f aca="false">IF(OR(B29="",N(C29)=0),"",G29/C29)</f>
        <v/>
      </c>
      <c r="J29" s="14" t="n">
        <f aca="false">IF(B29="","",SUMIFS(Transactions!$F$5:$F$2004,Transactions!$E$5:$E$2004,$B29,Transactions!$D$5:$D$2004,"Expense",Transactions!$K$5:$K$2004,"&gt;="&amp;EDATE($D$3,-2),Transactions!$K$5:$K$2004,"&lt;="&amp;$D$3)/3)</f>
        <v>0</v>
      </c>
    </row>
    <row r="30" customFormat="false" ht="15" hidden="false" customHeight="false" outlineLevel="0" collapsed="false">
      <c r="B30" s="13" t="str">
        <f aca="false">IF(Settings!H25="","",Settings!H25)</f>
        <v>Eating Out</v>
      </c>
      <c r="C30" s="14" t="n">
        <f aca="false">IF(B30="","",N(Settings!J25))</f>
        <v>150</v>
      </c>
      <c r="D30" s="14" t="n">
        <f aca="false">IF($B30="","",SUMIFS(Transactions!$F$5:$F$2004,Transactions!$E$5:$E$2004,$B30,Transactions!$D$5:$D$2004,"Expense",Transactions!$I$5:$I$2004,D$18,Transactions!$K$5:$K$2004,$D$3))</f>
        <v>86.5</v>
      </c>
      <c r="E30" s="14" t="n">
        <f aca="false">IF($B30="","",SUMIFS(Transactions!$F$5:$F$2004,Transactions!$E$5:$E$2004,$B30,Transactions!$D$5:$D$2004,"Expense",Transactions!$I$5:$I$2004,E$18,Transactions!$K$5:$K$2004,$D$3))</f>
        <v>0</v>
      </c>
      <c r="F30" s="14" t="n">
        <f aca="false">IF($B30="","",SUMIFS(Transactions!$F$5:$F$2004,Transactions!$E$5:$E$2004,$B30,Transactions!$D$5:$D$2004,"Expense",Transactions!$I$5:$I$2004,F$18,Transactions!$K$5:$K$2004,$D$3))</f>
        <v>0</v>
      </c>
      <c r="G30" s="14" t="n">
        <f aca="false">IF(B30="","",SUM(D30:F30))</f>
        <v>86.5</v>
      </c>
      <c r="H30" s="14" t="n">
        <f aca="false">IF(B30="","",C30-G30)</f>
        <v>63.5</v>
      </c>
      <c r="I30" s="17" t="n">
        <f aca="false">IF(OR(B30="",N(C30)=0),"",G30/C30)</f>
        <v>0.576666666666667</v>
      </c>
      <c r="J30" s="14" t="n">
        <f aca="false">IF(B30="","",SUMIFS(Transactions!$F$5:$F$2004,Transactions!$E$5:$E$2004,$B30,Transactions!$D$5:$D$2004,"Expense",Transactions!$K$5:$K$2004,"&gt;="&amp;EDATE($D$3,-2),Transactions!$K$5:$K$2004,"&lt;="&amp;$D$3)/3)</f>
        <v>98.8333333333333</v>
      </c>
    </row>
    <row r="31" customFormat="false" ht="15" hidden="false" customHeight="false" outlineLevel="0" collapsed="false">
      <c r="B31" s="13" t="str">
        <f aca="false">IF(Settings!H26="","",Settings!H26)</f>
        <v>Takeaways</v>
      </c>
      <c r="C31" s="14" t="n">
        <f aca="false">IF(B31="","",N(Settings!J26))</f>
        <v>60</v>
      </c>
      <c r="D31" s="14" t="n">
        <f aca="false">IF($B31="","",SUMIFS(Transactions!$F$5:$F$2004,Transactions!$E$5:$E$2004,$B31,Transactions!$D$5:$D$2004,"Expense",Transactions!$I$5:$I$2004,D$18,Transactions!$K$5:$K$2004,$D$3))</f>
        <v>0</v>
      </c>
      <c r="E31" s="14" t="n">
        <f aca="false">IF($B31="","",SUMIFS(Transactions!$F$5:$F$2004,Transactions!$E$5:$E$2004,$B31,Transactions!$D$5:$D$2004,"Expense",Transactions!$I$5:$I$2004,E$18,Transactions!$K$5:$K$2004,$D$3))</f>
        <v>0</v>
      </c>
      <c r="F31" s="14" t="n">
        <f aca="false">IF($B31="","",SUMIFS(Transactions!$F$5:$F$2004,Transactions!$E$5:$E$2004,$B31,Transactions!$D$5:$D$2004,"Expense",Transactions!$I$5:$I$2004,F$18,Transactions!$K$5:$K$2004,$D$3))</f>
        <v>0</v>
      </c>
      <c r="G31" s="14" t="n">
        <f aca="false">IF(B31="","",SUM(D31:F31))</f>
        <v>0</v>
      </c>
      <c r="H31" s="14" t="n">
        <f aca="false">IF(B31="","",C31-G31)</f>
        <v>60</v>
      </c>
      <c r="I31" s="17" t="n">
        <f aca="false">IF(OR(B31="",N(C31)=0),"",G31/C31)</f>
        <v>0</v>
      </c>
      <c r="J31" s="14" t="n">
        <f aca="false">IF(B31="","",SUMIFS(Transactions!$F$5:$F$2004,Transactions!$E$5:$E$2004,$B31,Transactions!$D$5:$D$2004,"Expense",Transactions!$K$5:$K$2004,"&gt;="&amp;EDATE($D$3,-2),Transactions!$K$5:$K$2004,"&lt;="&amp;$D$3)/3)</f>
        <v>31.6666666666667</v>
      </c>
    </row>
    <row r="32" customFormat="false" ht="15" hidden="false" customHeight="false" outlineLevel="0" collapsed="false">
      <c r="B32" s="13" t="str">
        <f aca="false">IF(Settings!H27="","",Settings!H27)</f>
        <v>Subscriptions</v>
      </c>
      <c r="C32" s="14" t="n">
        <f aca="false">IF(B32="","",N(Settings!J27))</f>
        <v>45</v>
      </c>
      <c r="D32" s="14" t="n">
        <f aca="false">IF($B32="","",SUMIFS(Transactions!$F$5:$F$2004,Transactions!$E$5:$E$2004,$B32,Transactions!$D$5:$D$2004,"Expense",Transactions!$I$5:$I$2004,D$18,Transactions!$K$5:$K$2004,$D$3))</f>
        <v>12.99</v>
      </c>
      <c r="E32" s="14" t="n">
        <f aca="false">IF($B32="","",SUMIFS(Transactions!$F$5:$F$2004,Transactions!$E$5:$E$2004,$B32,Transactions!$D$5:$D$2004,"Expense",Transactions!$I$5:$I$2004,E$18,Transactions!$K$5:$K$2004,$D$3))</f>
        <v>0</v>
      </c>
      <c r="F32" s="14" t="n">
        <f aca="false">IF($B32="","",SUMIFS(Transactions!$F$5:$F$2004,Transactions!$E$5:$E$2004,$B32,Transactions!$D$5:$D$2004,"Expense",Transactions!$I$5:$I$2004,F$18,Transactions!$K$5:$K$2004,$D$3))</f>
        <v>0</v>
      </c>
      <c r="G32" s="14" t="n">
        <f aca="false">IF(B32="","",SUM(D32:F32))</f>
        <v>12.99</v>
      </c>
      <c r="H32" s="14" t="n">
        <f aca="false">IF(B32="","",C32-G32)</f>
        <v>32.01</v>
      </c>
      <c r="I32" s="17" t="n">
        <f aca="false">IF(OR(B32="",N(C32)=0),"",G32/C32)</f>
        <v>0.288666666666667</v>
      </c>
      <c r="J32" s="14" t="n">
        <f aca="false">IF(B32="","",SUMIFS(Transactions!$F$5:$F$2004,Transactions!$E$5:$E$2004,$B32,Transactions!$D$5:$D$2004,"Expense",Transactions!$K$5:$K$2004,"&gt;="&amp;EDATE($D$3,-2),Transactions!$K$5:$K$2004,"&lt;="&amp;$D$3)/3)</f>
        <v>4.33</v>
      </c>
    </row>
    <row r="33" customFormat="false" ht="15" hidden="false" customHeight="false" outlineLevel="0" collapsed="false">
      <c r="B33" s="13" t="str">
        <f aca="false">IF(Settings!H28="","",Settings!H28)</f>
        <v>Entertainment</v>
      </c>
      <c r="C33" s="14" t="n">
        <f aca="false">IF(B33="","",N(Settings!J28))</f>
        <v>80</v>
      </c>
      <c r="D33" s="14" t="n">
        <f aca="false">IF($B33="","",SUMIFS(Transactions!$F$5:$F$2004,Transactions!$E$5:$E$2004,$B33,Transactions!$D$5:$D$2004,"Expense",Transactions!$I$5:$I$2004,D$18,Transactions!$K$5:$K$2004,$D$3))</f>
        <v>0</v>
      </c>
      <c r="E33" s="14" t="n">
        <f aca="false">IF($B33="","",SUMIFS(Transactions!$F$5:$F$2004,Transactions!$E$5:$E$2004,$B33,Transactions!$D$5:$D$2004,"Expense",Transactions!$I$5:$I$2004,E$18,Transactions!$K$5:$K$2004,$D$3))</f>
        <v>0</v>
      </c>
      <c r="F33" s="14" t="n">
        <f aca="false">IF($B33="","",SUMIFS(Transactions!$F$5:$F$2004,Transactions!$E$5:$E$2004,$B33,Transactions!$D$5:$D$2004,"Expense",Transactions!$I$5:$I$2004,F$18,Transactions!$K$5:$K$2004,$D$3))</f>
        <v>0</v>
      </c>
      <c r="G33" s="14" t="n">
        <f aca="false">IF(B33="","",SUM(D33:F33))</f>
        <v>0</v>
      </c>
      <c r="H33" s="14" t="n">
        <f aca="false">IF(B33="","",C33-G33)</f>
        <v>80</v>
      </c>
      <c r="I33" s="17" t="n">
        <f aca="false">IF(OR(B33="",N(C33)=0),"",G33/C33)</f>
        <v>0</v>
      </c>
      <c r="J33" s="14" t="n">
        <f aca="false">IF(B33="","",SUMIFS(Transactions!$F$5:$F$2004,Transactions!$E$5:$E$2004,$B33,Transactions!$D$5:$D$2004,"Expense",Transactions!$K$5:$K$2004,"&gt;="&amp;EDATE($D$3,-2),Transactions!$K$5:$K$2004,"&lt;="&amp;$D$3)/3)</f>
        <v>0</v>
      </c>
    </row>
    <row r="34" customFormat="false" ht="15" hidden="false" customHeight="false" outlineLevel="0" collapsed="false">
      <c r="B34" s="13" t="str">
        <f aca="false">IF(Settings!H29="","",Settings!H29)</f>
        <v>Shopping &amp; Clothes</v>
      </c>
      <c r="C34" s="14" t="n">
        <f aca="false">IF(B34="","",N(Settings!J29))</f>
        <v>120</v>
      </c>
      <c r="D34" s="14" t="n">
        <f aca="false">IF($B34="","",SUMIFS(Transactions!$F$5:$F$2004,Transactions!$E$5:$E$2004,$B34,Transactions!$D$5:$D$2004,"Expense",Transactions!$I$5:$I$2004,D$18,Transactions!$K$5:$K$2004,$D$3))</f>
        <v>0</v>
      </c>
      <c r="E34" s="14" t="n">
        <f aca="false">IF($B34="","",SUMIFS(Transactions!$F$5:$F$2004,Transactions!$E$5:$E$2004,$B34,Transactions!$D$5:$D$2004,"Expense",Transactions!$I$5:$I$2004,E$18,Transactions!$K$5:$K$2004,$D$3))</f>
        <v>75</v>
      </c>
      <c r="F34" s="14" t="n">
        <f aca="false">IF($B34="","",SUMIFS(Transactions!$F$5:$F$2004,Transactions!$E$5:$E$2004,$B34,Transactions!$D$5:$D$2004,"Expense",Transactions!$I$5:$I$2004,F$18,Transactions!$K$5:$K$2004,$D$3))</f>
        <v>0</v>
      </c>
      <c r="G34" s="14" t="n">
        <f aca="false">IF(B34="","",SUM(D34:F34))</f>
        <v>75</v>
      </c>
      <c r="H34" s="14" t="n">
        <f aca="false">IF(B34="","",C34-G34)</f>
        <v>45</v>
      </c>
      <c r="I34" s="17" t="n">
        <f aca="false">IF(OR(B34="",N(C34)=0),"",G34/C34)</f>
        <v>0.625</v>
      </c>
      <c r="J34" s="14" t="n">
        <f aca="false">IF(B34="","",SUMIFS(Transactions!$F$5:$F$2004,Transactions!$E$5:$E$2004,$B34,Transactions!$D$5:$D$2004,"Expense",Transactions!$K$5:$K$2004,"&gt;="&amp;EDATE($D$3,-2),Transactions!$K$5:$K$2004,"&lt;="&amp;$D$3)/3)</f>
        <v>25</v>
      </c>
    </row>
    <row r="35" customFormat="false" ht="15" hidden="false" customHeight="false" outlineLevel="0" collapsed="false">
      <c r="B35" s="13" t="str">
        <f aca="false">IF(Settings!H30="","",Settings!H30)</f>
        <v>Personal Care</v>
      </c>
      <c r="C35" s="14" t="n">
        <f aca="false">IF(B35="","",N(Settings!J30))</f>
        <v>40</v>
      </c>
      <c r="D35" s="14" t="n">
        <f aca="false">IF($B35="","",SUMIFS(Transactions!$F$5:$F$2004,Transactions!$E$5:$E$2004,$B35,Transactions!$D$5:$D$2004,"Expense",Transactions!$I$5:$I$2004,D$18,Transactions!$K$5:$K$2004,$D$3))</f>
        <v>0</v>
      </c>
      <c r="E35" s="14" t="n">
        <f aca="false">IF($B35="","",SUMIFS(Transactions!$F$5:$F$2004,Transactions!$E$5:$E$2004,$B35,Transactions!$D$5:$D$2004,"Expense",Transactions!$I$5:$I$2004,E$18,Transactions!$K$5:$K$2004,$D$3))</f>
        <v>0</v>
      </c>
      <c r="F35" s="14" t="n">
        <f aca="false">IF($B35="","",SUMIFS(Transactions!$F$5:$F$2004,Transactions!$E$5:$E$2004,$B35,Transactions!$D$5:$D$2004,"Expense",Transactions!$I$5:$I$2004,F$18,Transactions!$K$5:$K$2004,$D$3))</f>
        <v>0</v>
      </c>
      <c r="G35" s="14" t="n">
        <f aca="false">IF(B35="","",SUM(D35:F35))</f>
        <v>0</v>
      </c>
      <c r="H35" s="14" t="n">
        <f aca="false">IF(B35="","",C35-G35)</f>
        <v>40</v>
      </c>
      <c r="I35" s="17" t="n">
        <f aca="false">IF(OR(B35="",N(C35)=0),"",G35/C35)</f>
        <v>0</v>
      </c>
      <c r="J35" s="14" t="n">
        <f aca="false">IF(B35="","",SUMIFS(Transactions!$F$5:$F$2004,Transactions!$E$5:$E$2004,$B35,Transactions!$D$5:$D$2004,"Expense",Transactions!$K$5:$K$2004,"&gt;="&amp;EDATE($D$3,-2),Transactions!$K$5:$K$2004,"&lt;="&amp;$D$3)/3)</f>
        <v>0</v>
      </c>
    </row>
    <row r="36" customFormat="false" ht="15" hidden="false" customHeight="false" outlineLevel="0" collapsed="false">
      <c r="B36" s="13" t="str">
        <f aca="false">IF(Settings!H31="","",Settings!H31)</f>
        <v>Gifts</v>
      </c>
      <c r="C36" s="14" t="n">
        <f aca="false">IF(B36="","",N(Settings!J31))</f>
        <v>40</v>
      </c>
      <c r="D36" s="14" t="n">
        <f aca="false">IF($B36="","",SUMIFS(Transactions!$F$5:$F$2004,Transactions!$E$5:$E$2004,$B36,Transactions!$D$5:$D$2004,"Expense",Transactions!$I$5:$I$2004,D$18,Transactions!$K$5:$K$2004,$D$3))</f>
        <v>0</v>
      </c>
      <c r="E36" s="14" t="n">
        <f aca="false">IF($B36="","",SUMIFS(Transactions!$F$5:$F$2004,Transactions!$E$5:$E$2004,$B36,Transactions!$D$5:$D$2004,"Expense",Transactions!$I$5:$I$2004,E$18,Transactions!$K$5:$K$2004,$D$3))</f>
        <v>0</v>
      </c>
      <c r="F36" s="14" t="n">
        <f aca="false">IF($B36="","",SUMIFS(Transactions!$F$5:$F$2004,Transactions!$E$5:$E$2004,$B36,Transactions!$D$5:$D$2004,"Expense",Transactions!$I$5:$I$2004,F$18,Transactions!$K$5:$K$2004,$D$3))</f>
        <v>0</v>
      </c>
      <c r="G36" s="14" t="n">
        <f aca="false">IF(B36="","",SUM(D36:F36))</f>
        <v>0</v>
      </c>
      <c r="H36" s="14" t="n">
        <f aca="false">IF(B36="","",C36-G36)</f>
        <v>40</v>
      </c>
      <c r="I36" s="17" t="n">
        <f aca="false">IF(OR(B36="",N(C36)=0),"",G36/C36)</f>
        <v>0</v>
      </c>
      <c r="J36" s="14" t="n">
        <f aca="false">IF(B36="","",SUMIFS(Transactions!$F$5:$F$2004,Transactions!$E$5:$E$2004,$B36,Transactions!$D$5:$D$2004,"Expense",Transactions!$K$5:$K$2004,"&gt;="&amp;EDATE($D$3,-2),Transactions!$K$5:$K$2004,"&lt;="&amp;$D$3)/3)</f>
        <v>0</v>
      </c>
    </row>
    <row r="37" customFormat="false" ht="15" hidden="false" customHeight="false" outlineLevel="0" collapsed="false">
      <c r="B37" s="13" t="str">
        <f aca="false">IF(Settings!H32="","",Settings!H32)</f>
        <v>Holidays</v>
      </c>
      <c r="C37" s="14" t="n">
        <f aca="false">IF(B37="","",N(Settings!J32))</f>
        <v>100</v>
      </c>
      <c r="D37" s="14" t="n">
        <f aca="false">IF($B37="","",SUMIFS(Transactions!$F$5:$F$2004,Transactions!$E$5:$E$2004,$B37,Transactions!$D$5:$D$2004,"Expense",Transactions!$I$5:$I$2004,D$18,Transactions!$K$5:$K$2004,$D$3))</f>
        <v>0</v>
      </c>
      <c r="E37" s="14" t="n">
        <f aca="false">IF($B37="","",SUMIFS(Transactions!$F$5:$F$2004,Transactions!$E$5:$E$2004,$B37,Transactions!$D$5:$D$2004,"Expense",Transactions!$I$5:$I$2004,E$18,Transactions!$K$5:$K$2004,$D$3))</f>
        <v>0</v>
      </c>
      <c r="F37" s="14" t="n">
        <f aca="false">IF($B37="","",SUMIFS(Transactions!$F$5:$F$2004,Transactions!$E$5:$E$2004,$B37,Transactions!$D$5:$D$2004,"Expense",Transactions!$I$5:$I$2004,F$18,Transactions!$K$5:$K$2004,$D$3))</f>
        <v>0</v>
      </c>
      <c r="G37" s="14" t="n">
        <f aca="false">IF(B37="","",SUM(D37:F37))</f>
        <v>0</v>
      </c>
      <c r="H37" s="14" t="n">
        <f aca="false">IF(B37="","",C37-G37)</f>
        <v>100</v>
      </c>
      <c r="I37" s="17" t="n">
        <f aca="false">IF(OR(B37="",N(C37)=0),"",G37/C37)</f>
        <v>0</v>
      </c>
      <c r="J37" s="14" t="n">
        <f aca="false">IF(B37="","",SUMIFS(Transactions!$F$5:$F$2004,Transactions!$E$5:$E$2004,$B37,Transactions!$D$5:$D$2004,"Expense",Transactions!$K$5:$K$2004,"&gt;="&amp;EDATE($D$3,-2),Transactions!$K$5:$K$2004,"&lt;="&amp;$D$3)/3)</f>
        <v>0</v>
      </c>
    </row>
    <row r="38" customFormat="false" ht="15" hidden="false" customHeight="false" outlineLevel="0" collapsed="false">
      <c r="B38" s="13" t="str">
        <f aca="false">IF(Settings!H33="","",Settings!H33)</f>
        <v>Home &amp; Garden</v>
      </c>
      <c r="C38" s="14" t="n">
        <f aca="false">IF(B38="","",N(Settings!J33))</f>
        <v>50</v>
      </c>
      <c r="D38" s="14" t="n">
        <f aca="false">IF($B38="","",SUMIFS(Transactions!$F$5:$F$2004,Transactions!$E$5:$E$2004,$B38,Transactions!$D$5:$D$2004,"Expense",Transactions!$I$5:$I$2004,D$18,Transactions!$K$5:$K$2004,$D$3))</f>
        <v>0</v>
      </c>
      <c r="E38" s="14" t="n">
        <f aca="false">IF($B38="","",SUMIFS(Transactions!$F$5:$F$2004,Transactions!$E$5:$E$2004,$B38,Transactions!$D$5:$D$2004,"Expense",Transactions!$I$5:$I$2004,E$18,Transactions!$K$5:$K$2004,$D$3))</f>
        <v>0</v>
      </c>
      <c r="F38" s="14" t="n">
        <f aca="false">IF($B38="","",SUMIFS(Transactions!$F$5:$F$2004,Transactions!$E$5:$E$2004,$B38,Transactions!$D$5:$D$2004,"Expense",Transactions!$I$5:$I$2004,F$18,Transactions!$K$5:$K$2004,$D$3))</f>
        <v>0</v>
      </c>
      <c r="G38" s="14" t="n">
        <f aca="false">IF(B38="","",SUM(D38:F38))</f>
        <v>0</v>
      </c>
      <c r="H38" s="14" t="n">
        <f aca="false">IF(B38="","",C38-G38)</f>
        <v>50</v>
      </c>
      <c r="I38" s="17" t="n">
        <f aca="false">IF(OR(B38="",N(C38)=0),"",G38/C38)</f>
        <v>0</v>
      </c>
      <c r="J38" s="14" t="n">
        <f aca="false">IF(B38="","",SUMIFS(Transactions!$F$5:$F$2004,Transactions!$E$5:$E$2004,$B38,Transactions!$D$5:$D$2004,"Expense",Transactions!$K$5:$K$2004,"&gt;="&amp;EDATE($D$3,-2),Transactions!$K$5:$K$2004,"&lt;="&amp;$D$3)/3)</f>
        <v>0</v>
      </c>
    </row>
    <row r="39" customFormat="false" ht="15" hidden="false" customHeight="false" outlineLevel="0" collapsed="false">
      <c r="B39" s="13" t="str">
        <f aca="false">IF(Settings!H34="","",Settings!H34)</f>
        <v>Hobbies</v>
      </c>
      <c r="C39" s="14" t="n">
        <f aca="false">IF(B39="","",N(Settings!J34))</f>
        <v>40</v>
      </c>
      <c r="D39" s="14" t="n">
        <f aca="false">IF($B39="","",SUMIFS(Transactions!$F$5:$F$2004,Transactions!$E$5:$E$2004,$B39,Transactions!$D$5:$D$2004,"Expense",Transactions!$I$5:$I$2004,D$18,Transactions!$K$5:$K$2004,$D$3))</f>
        <v>0</v>
      </c>
      <c r="E39" s="14" t="n">
        <f aca="false">IF($B39="","",SUMIFS(Transactions!$F$5:$F$2004,Transactions!$E$5:$E$2004,$B39,Transactions!$D$5:$D$2004,"Expense",Transactions!$I$5:$I$2004,E$18,Transactions!$K$5:$K$2004,$D$3))</f>
        <v>0</v>
      </c>
      <c r="F39" s="14" t="n">
        <f aca="false">IF($B39="","",SUMIFS(Transactions!$F$5:$F$2004,Transactions!$E$5:$E$2004,$B39,Transactions!$D$5:$D$2004,"Expense",Transactions!$I$5:$I$2004,F$18,Transactions!$K$5:$K$2004,$D$3))</f>
        <v>0</v>
      </c>
      <c r="G39" s="14" t="n">
        <f aca="false">IF(B39="","",SUM(D39:F39))</f>
        <v>0</v>
      </c>
      <c r="H39" s="14" t="n">
        <f aca="false">IF(B39="","",C39-G39)</f>
        <v>40</v>
      </c>
      <c r="I39" s="17" t="n">
        <f aca="false">IF(OR(B39="",N(C39)=0),"",G39/C39)</f>
        <v>0</v>
      </c>
      <c r="J39" s="14" t="n">
        <f aca="false">IF(B39="","",SUMIFS(Transactions!$F$5:$F$2004,Transactions!$E$5:$E$2004,$B39,Transactions!$D$5:$D$2004,"Expense",Transactions!$K$5:$K$2004,"&gt;="&amp;EDATE($D$3,-2),Transactions!$K$5:$K$2004,"&lt;="&amp;$D$3)/3)</f>
        <v>0</v>
      </c>
    </row>
    <row r="40" customFormat="false" ht="15" hidden="false" customHeight="false" outlineLevel="0" collapsed="false">
      <c r="B40" s="13" t="str">
        <f aca="false">IF(Settings!H35="","",Settings!H35)</f>
        <v>Other</v>
      </c>
      <c r="C40" s="14" t="n">
        <f aca="false">IF(B40="","",N(Settings!J35))</f>
        <v>50</v>
      </c>
      <c r="D40" s="14" t="n">
        <f aca="false">IF($B40="","",SUMIFS(Transactions!$F$5:$F$2004,Transactions!$E$5:$E$2004,$B40,Transactions!$D$5:$D$2004,"Expense",Transactions!$I$5:$I$2004,D$18,Transactions!$K$5:$K$2004,$D$3))</f>
        <v>0</v>
      </c>
      <c r="E40" s="14" t="n">
        <f aca="false">IF($B40="","",SUMIFS(Transactions!$F$5:$F$2004,Transactions!$E$5:$E$2004,$B40,Transactions!$D$5:$D$2004,"Expense",Transactions!$I$5:$I$2004,E$18,Transactions!$K$5:$K$2004,$D$3))</f>
        <v>0</v>
      </c>
      <c r="F40" s="14" t="n">
        <f aca="false">IF($B40="","",SUMIFS(Transactions!$F$5:$F$2004,Transactions!$E$5:$E$2004,$B40,Transactions!$D$5:$D$2004,"Expense",Transactions!$I$5:$I$2004,F$18,Transactions!$K$5:$K$2004,$D$3))</f>
        <v>0</v>
      </c>
      <c r="G40" s="14" t="n">
        <f aca="false">IF(B40="","",SUM(D40:F40))</f>
        <v>0</v>
      </c>
      <c r="H40" s="14" t="n">
        <f aca="false">IF(B40="","",C40-G40)</f>
        <v>50</v>
      </c>
      <c r="I40" s="17" t="n">
        <f aca="false">IF(OR(B40="",N(C40)=0),"",G40/C40)</f>
        <v>0</v>
      </c>
      <c r="J40" s="14" t="n">
        <f aca="false">IF(B40="","",SUMIFS(Transactions!$F$5:$F$2004,Transactions!$E$5:$E$2004,$B40,Transactions!$D$5:$D$2004,"Expense",Transactions!$K$5:$K$2004,"&gt;="&amp;EDATE($D$3,-2),Transactions!$K$5:$K$2004,"&lt;="&amp;$D$3)/3)</f>
        <v>0</v>
      </c>
    </row>
    <row r="41" customFormat="false" ht="15" hidden="false" customHeight="false" outlineLevel="0" collapsed="false">
      <c r="B41" s="13" t="str">
        <f aca="false">IF(Settings!H36="","",Settings!H36)</f>
        <v/>
      </c>
      <c r="C41" s="14" t="str">
        <f aca="false">IF(B41="","",N(Settings!J36))</f>
        <v/>
      </c>
      <c r="D41" s="14" t="str">
        <f aca="false">IF($B41="","",SUMIFS(Transactions!$F$5:$F$2004,Transactions!$E$5:$E$2004,$B41,Transactions!$D$5:$D$2004,"Expense",Transactions!$I$5:$I$2004,D$18,Transactions!$K$5:$K$2004,$D$3))</f>
        <v/>
      </c>
      <c r="E41" s="14" t="str">
        <f aca="false">IF($B41="","",SUMIFS(Transactions!$F$5:$F$2004,Transactions!$E$5:$E$2004,$B41,Transactions!$D$5:$D$2004,"Expense",Transactions!$I$5:$I$2004,E$18,Transactions!$K$5:$K$2004,$D$3))</f>
        <v/>
      </c>
      <c r="F41" s="14" t="str">
        <f aca="false">IF($B41="","",SUMIFS(Transactions!$F$5:$F$2004,Transactions!$E$5:$E$2004,$B41,Transactions!$D$5:$D$2004,"Expense",Transactions!$I$5:$I$2004,F$18,Transactions!$K$5:$K$2004,$D$3))</f>
        <v/>
      </c>
      <c r="G41" s="14" t="str">
        <f aca="false">IF(B41="","",SUM(D41:F41))</f>
        <v/>
      </c>
      <c r="H41" s="14" t="str">
        <f aca="false">IF(B41="","",C41-G41)</f>
        <v/>
      </c>
      <c r="I41" s="17" t="str">
        <f aca="false">IF(OR(B41="",N(C41)=0),"",G41/C41)</f>
        <v/>
      </c>
      <c r="J41" s="14" t="str">
        <f aca="false">IF(B41="","",SUMIFS(Transactions!$F$5:$F$2004,Transactions!$E$5:$E$2004,$B41,Transactions!$D$5:$D$2004,"Expense",Transactions!$K$5:$K$2004,"&gt;="&amp;EDATE($D$3,-2),Transactions!$K$5:$K$2004,"&lt;="&amp;$D$3)/3)</f>
        <v/>
      </c>
    </row>
    <row r="42" customFormat="false" ht="15" hidden="false" customHeight="false" outlineLevel="0" collapsed="false">
      <c r="B42" s="13" t="str">
        <f aca="false">IF(Settings!H37="","",Settings!H37)</f>
        <v/>
      </c>
      <c r="C42" s="14" t="str">
        <f aca="false">IF(B42="","",N(Settings!J37))</f>
        <v/>
      </c>
      <c r="D42" s="14" t="str">
        <f aca="false">IF($B42="","",SUMIFS(Transactions!$F$5:$F$2004,Transactions!$E$5:$E$2004,$B42,Transactions!$D$5:$D$2004,"Expense",Transactions!$I$5:$I$2004,D$18,Transactions!$K$5:$K$2004,$D$3))</f>
        <v/>
      </c>
      <c r="E42" s="14" t="str">
        <f aca="false">IF($B42="","",SUMIFS(Transactions!$F$5:$F$2004,Transactions!$E$5:$E$2004,$B42,Transactions!$D$5:$D$2004,"Expense",Transactions!$I$5:$I$2004,E$18,Transactions!$K$5:$K$2004,$D$3))</f>
        <v/>
      </c>
      <c r="F42" s="14" t="str">
        <f aca="false">IF($B42="","",SUMIFS(Transactions!$F$5:$F$2004,Transactions!$E$5:$E$2004,$B42,Transactions!$D$5:$D$2004,"Expense",Transactions!$I$5:$I$2004,F$18,Transactions!$K$5:$K$2004,$D$3))</f>
        <v/>
      </c>
      <c r="G42" s="14" t="str">
        <f aca="false">IF(B42="","",SUM(D42:F42))</f>
        <v/>
      </c>
      <c r="H42" s="14" t="str">
        <f aca="false">IF(B42="","",C42-G42)</f>
        <v/>
      </c>
      <c r="I42" s="17" t="str">
        <f aca="false">IF(OR(B42="",N(C42)=0),"",G42/C42)</f>
        <v/>
      </c>
      <c r="J42" s="14" t="str">
        <f aca="false">IF(B42="","",SUMIFS(Transactions!$F$5:$F$2004,Transactions!$E$5:$E$2004,$B42,Transactions!$D$5:$D$2004,"Expense",Transactions!$K$5:$K$2004,"&gt;="&amp;EDATE($D$3,-2),Transactions!$K$5:$K$2004,"&lt;="&amp;$D$3)/3)</f>
        <v/>
      </c>
    </row>
    <row r="43" customFormat="false" ht="15" hidden="false" customHeight="false" outlineLevel="0" collapsed="false">
      <c r="B43" s="13" t="str">
        <f aca="false">IF(Settings!H38="","",Settings!H38)</f>
        <v/>
      </c>
      <c r="C43" s="14" t="str">
        <f aca="false">IF(B43="","",N(Settings!J38))</f>
        <v/>
      </c>
      <c r="D43" s="14" t="str">
        <f aca="false">IF($B43="","",SUMIFS(Transactions!$F$5:$F$2004,Transactions!$E$5:$E$2004,$B43,Transactions!$D$5:$D$2004,"Expense",Transactions!$I$5:$I$2004,D$18,Transactions!$K$5:$K$2004,$D$3))</f>
        <v/>
      </c>
      <c r="E43" s="14" t="str">
        <f aca="false">IF($B43="","",SUMIFS(Transactions!$F$5:$F$2004,Transactions!$E$5:$E$2004,$B43,Transactions!$D$5:$D$2004,"Expense",Transactions!$I$5:$I$2004,E$18,Transactions!$K$5:$K$2004,$D$3))</f>
        <v/>
      </c>
      <c r="F43" s="14" t="str">
        <f aca="false">IF($B43="","",SUMIFS(Transactions!$F$5:$F$2004,Transactions!$E$5:$E$2004,$B43,Transactions!$D$5:$D$2004,"Expense",Transactions!$I$5:$I$2004,F$18,Transactions!$K$5:$K$2004,$D$3))</f>
        <v/>
      </c>
      <c r="G43" s="14" t="str">
        <f aca="false">IF(B43="","",SUM(D43:F43))</f>
        <v/>
      </c>
      <c r="H43" s="14" t="str">
        <f aca="false">IF(B43="","",C43-G43)</f>
        <v/>
      </c>
      <c r="I43" s="17" t="str">
        <f aca="false">IF(OR(B43="",N(C43)=0),"",G43/C43)</f>
        <v/>
      </c>
      <c r="J43" s="14" t="str">
        <f aca="false">IF(B43="","",SUMIFS(Transactions!$F$5:$F$2004,Transactions!$E$5:$E$2004,$B43,Transactions!$D$5:$D$2004,"Expense",Transactions!$K$5:$K$2004,"&gt;="&amp;EDATE($D$3,-2),Transactions!$K$5:$K$2004,"&lt;="&amp;$D$3)/3)</f>
        <v/>
      </c>
    </row>
    <row r="44" customFormat="false" ht="15" hidden="false" customHeight="false" outlineLevel="0" collapsed="false">
      <c r="B44" s="16" t="s">
        <v>48</v>
      </c>
      <c r="C44" s="16" t="n">
        <f aca="false">SUM(C19:C43)</f>
        <v>3105</v>
      </c>
      <c r="D44" s="16" t="n">
        <f aca="false">SUM(D19:D43)</f>
        <v>99.49</v>
      </c>
      <c r="E44" s="16" t="n">
        <f aca="false">SUM(E19:E43)</f>
        <v>139.2</v>
      </c>
      <c r="F44" s="16" t="n">
        <f aca="false">SUM(F19:F43)</f>
        <v>1318.45</v>
      </c>
      <c r="G44" s="16" t="n">
        <f aca="false">SUM(G19:G43)</f>
        <v>1557.14</v>
      </c>
      <c r="H44" s="16" t="n">
        <f aca="false">SUM(H19:H43)</f>
        <v>1547.86</v>
      </c>
      <c r="I44" s="18" t="n">
        <f aca="false">IF(C44=0,"",G44/C44)</f>
        <v>0.501494363929147</v>
      </c>
      <c r="J44" s="16" t="n">
        <f aca="false">SUM(J19:J43)</f>
        <v>1177.38</v>
      </c>
    </row>
    <row r="45" customFormat="false" ht="15" hidden="false" customHeight="false" outlineLevel="0" collapsed="false">
      <c r="B45" s="2" t="s">
        <v>49</v>
      </c>
    </row>
    <row r="47" customFormat="false" ht="15" hidden="false" customHeight="false" outlineLevel="0" collapsed="false">
      <c r="B47" s="11" t="s">
        <v>50</v>
      </c>
    </row>
    <row r="48" customFormat="false" ht="30" hidden="false" customHeight="true" outlineLevel="0" collapsed="false">
      <c r="B48" s="12" t="s">
        <v>51</v>
      </c>
      <c r="C48" s="12" t="s">
        <v>32</v>
      </c>
      <c r="D48" s="12" t="s">
        <v>33</v>
      </c>
      <c r="E48" s="12" t="s">
        <v>36</v>
      </c>
      <c r="F48" s="12" t="s">
        <v>37</v>
      </c>
    </row>
    <row r="49" customFormat="false" ht="15" hidden="false" customHeight="false" outlineLevel="0" collapsed="false">
      <c r="B49" s="19" t="n">
        <f aca="false">DATE(YEAR($D$3),1,1)</f>
        <v>46023</v>
      </c>
      <c r="C49" s="14" t="n">
        <f aca="false">SUMIFS(Transactions!$F$5:$F$2004,Transactions!$D$5:$D$2004,"Income",Transactions!$K$5:$K$2004,$B49)</f>
        <v>0</v>
      </c>
      <c r="D49" s="14" t="n">
        <f aca="false">SUMIFS(Transactions!$F$5:$F$2004,Transactions!$D$5:$D$2004,"Expense",Transactions!$K$5:$K$2004,$B49)</f>
        <v>0</v>
      </c>
      <c r="E49" s="14" t="n">
        <f aca="false">SUMIFS('Savings Log'!$D$5:$D$1004,'Savings Log'!$G$5:$G$1004,$B49)</f>
        <v>0</v>
      </c>
      <c r="F49" s="14" t="n">
        <f aca="false">C49-D49-E49</f>
        <v>0</v>
      </c>
    </row>
    <row r="50" customFormat="false" ht="15" hidden="false" customHeight="false" outlineLevel="0" collapsed="false">
      <c r="B50" s="19" t="n">
        <f aca="false">DATE(YEAR($D$3),2,1)</f>
        <v>46054</v>
      </c>
      <c r="C50" s="14" t="n">
        <f aca="false">SUMIFS(Transactions!$F$5:$F$2004,Transactions!$D$5:$D$2004,"Income",Transactions!$K$5:$K$2004,$B50)</f>
        <v>0</v>
      </c>
      <c r="D50" s="14" t="n">
        <f aca="false">SUMIFS(Transactions!$F$5:$F$2004,Transactions!$D$5:$D$2004,"Expense",Transactions!$K$5:$K$2004,$B50)</f>
        <v>0</v>
      </c>
      <c r="E50" s="14" t="n">
        <f aca="false">SUMIFS('Savings Log'!$D$5:$D$1004,'Savings Log'!$G$5:$G$1004,$B50)</f>
        <v>0</v>
      </c>
      <c r="F50" s="14" t="n">
        <f aca="false">C50-D50-E50</f>
        <v>0</v>
      </c>
    </row>
    <row r="51" customFormat="false" ht="15" hidden="false" customHeight="false" outlineLevel="0" collapsed="false">
      <c r="B51" s="19" t="n">
        <f aca="false">DATE(YEAR($D$3),3,1)</f>
        <v>46082</v>
      </c>
      <c r="C51" s="14" t="n">
        <f aca="false">SUMIFS(Transactions!$F$5:$F$2004,Transactions!$D$5:$D$2004,"Income",Transactions!$K$5:$K$2004,$B51)</f>
        <v>0</v>
      </c>
      <c r="D51" s="14" t="n">
        <f aca="false">SUMIFS(Transactions!$F$5:$F$2004,Transactions!$D$5:$D$2004,"Expense",Transactions!$K$5:$K$2004,$B51)</f>
        <v>0</v>
      </c>
      <c r="E51" s="14" t="n">
        <f aca="false">SUMIFS('Savings Log'!$D$5:$D$1004,'Savings Log'!$G$5:$G$1004,$B51)</f>
        <v>0</v>
      </c>
      <c r="F51" s="14" t="n">
        <f aca="false">C51-D51-E51</f>
        <v>0</v>
      </c>
    </row>
    <row r="52" customFormat="false" ht="15" hidden="false" customHeight="false" outlineLevel="0" collapsed="false">
      <c r="B52" s="19" t="n">
        <f aca="false">DATE(YEAR($D$3),4,1)</f>
        <v>46113</v>
      </c>
      <c r="C52" s="14" t="n">
        <f aca="false">SUMIFS(Transactions!$F$5:$F$2004,Transactions!$D$5:$D$2004,"Income",Transactions!$K$5:$K$2004,$B52)</f>
        <v>0</v>
      </c>
      <c r="D52" s="14" t="n">
        <f aca="false">SUMIFS(Transactions!$F$5:$F$2004,Transactions!$D$5:$D$2004,"Expense",Transactions!$K$5:$K$2004,$B52)</f>
        <v>0</v>
      </c>
      <c r="E52" s="14" t="n">
        <f aca="false">SUMIFS('Savings Log'!$D$5:$D$1004,'Savings Log'!$G$5:$G$1004,$B52)</f>
        <v>0</v>
      </c>
      <c r="F52" s="14" t="n">
        <f aca="false">C52-D52-E52</f>
        <v>0</v>
      </c>
    </row>
    <row r="53" customFormat="false" ht="15" hidden="false" customHeight="false" outlineLevel="0" collapsed="false">
      <c r="B53" s="19" t="n">
        <f aca="false">DATE(YEAR($D$3),5,1)</f>
        <v>46143</v>
      </c>
      <c r="C53" s="14" t="n">
        <f aca="false">SUMIFS(Transactions!$F$5:$F$2004,Transactions!$D$5:$D$2004,"Income",Transactions!$K$5:$K$2004,$B53)</f>
        <v>0</v>
      </c>
      <c r="D53" s="14" t="n">
        <f aca="false">SUMIFS(Transactions!$F$5:$F$2004,Transactions!$D$5:$D$2004,"Expense",Transactions!$K$5:$K$2004,$B53)</f>
        <v>0</v>
      </c>
      <c r="E53" s="14" t="n">
        <f aca="false">SUMIFS('Savings Log'!$D$5:$D$1004,'Savings Log'!$G$5:$G$1004,$B53)</f>
        <v>0</v>
      </c>
      <c r="F53" s="14" t="n">
        <f aca="false">C53-D53-E53</f>
        <v>0</v>
      </c>
    </row>
    <row r="54" customFormat="false" ht="15" hidden="false" customHeight="false" outlineLevel="0" collapsed="false">
      <c r="B54" s="19" t="n">
        <f aca="false">DATE(YEAR($D$3),6,1)</f>
        <v>46174</v>
      </c>
      <c r="C54" s="14" t="n">
        <f aca="false">SUMIFS(Transactions!$F$5:$F$2004,Transactions!$D$5:$D$2004,"Income",Transactions!$K$5:$K$2004,$B54)</f>
        <v>0</v>
      </c>
      <c r="D54" s="14" t="n">
        <f aca="false">SUMIFS(Transactions!$F$5:$F$2004,Transactions!$D$5:$D$2004,"Expense",Transactions!$K$5:$K$2004,$B54)</f>
        <v>0</v>
      </c>
      <c r="E54" s="14" t="n">
        <f aca="false">SUMIFS('Savings Log'!$D$5:$D$1004,'Savings Log'!$G$5:$G$1004,$B54)</f>
        <v>0</v>
      </c>
      <c r="F54" s="14" t="n">
        <f aca="false">C54-D54-E54</f>
        <v>0</v>
      </c>
    </row>
    <row r="55" customFormat="false" ht="15" hidden="false" customHeight="false" outlineLevel="0" collapsed="false">
      <c r="B55" s="19" t="n">
        <f aca="false">DATE(YEAR($D$3),7,1)</f>
        <v>46204</v>
      </c>
      <c r="C55" s="14" t="n">
        <f aca="false">SUMIFS(Transactions!$F$5:$F$2004,Transactions!$D$5:$D$2004,"Income",Transactions!$K$5:$K$2004,$B55)</f>
        <v>0</v>
      </c>
      <c r="D55" s="14" t="n">
        <f aca="false">SUMIFS(Transactions!$F$5:$F$2004,Transactions!$D$5:$D$2004,"Expense",Transactions!$K$5:$K$2004,$B55)</f>
        <v>0</v>
      </c>
      <c r="E55" s="14" t="n">
        <f aca="false">SUMIFS('Savings Log'!$D$5:$D$1004,'Savings Log'!$G$5:$G$1004,$B55)</f>
        <v>0</v>
      </c>
      <c r="F55" s="14" t="n">
        <f aca="false">C55-D55-E55</f>
        <v>0</v>
      </c>
    </row>
    <row r="56" customFormat="false" ht="15" hidden="false" customHeight="false" outlineLevel="0" collapsed="false">
      <c r="B56" s="19" t="n">
        <f aca="false">DATE(YEAR($D$3),8,1)</f>
        <v>46235</v>
      </c>
      <c r="C56" s="14" t="n">
        <f aca="false">SUMIFS(Transactions!$F$5:$F$2004,Transactions!$D$5:$D$2004,"Income",Transactions!$K$5:$K$2004,$B56)</f>
        <v>0</v>
      </c>
      <c r="D56" s="14" t="n">
        <f aca="false">SUMIFS(Transactions!$F$5:$F$2004,Transactions!$D$5:$D$2004,"Expense",Transactions!$K$5:$K$2004,$B56)</f>
        <v>0</v>
      </c>
      <c r="E56" s="14" t="n">
        <f aca="false">SUMIFS('Savings Log'!$D$5:$D$1004,'Savings Log'!$G$5:$G$1004,$B56)</f>
        <v>300</v>
      </c>
      <c r="F56" s="14" t="n">
        <f aca="false">C56-D56-E56</f>
        <v>-300</v>
      </c>
    </row>
    <row r="57" customFormat="false" ht="15" hidden="false" customHeight="false" outlineLevel="0" collapsed="false">
      <c r="B57" s="19" t="n">
        <f aca="false">DATE(YEAR($D$3),9,1)</f>
        <v>46266</v>
      </c>
      <c r="C57" s="14" t="n">
        <f aca="false">SUMIFS(Transactions!$F$5:$F$2004,Transactions!$D$5:$D$2004,"Income",Transactions!$K$5:$K$2004,$B57)</f>
        <v>5050</v>
      </c>
      <c r="D57" s="14" t="n">
        <f aca="false">SUMIFS(Transactions!$F$5:$F$2004,Transactions!$D$5:$D$2004,"Expense",Transactions!$K$5:$K$2004,$B57)</f>
        <v>1975</v>
      </c>
      <c r="E57" s="14" t="n">
        <f aca="false">SUMIFS('Savings Log'!$D$5:$D$1004,'Savings Log'!$G$5:$G$1004,$B57)</f>
        <v>300</v>
      </c>
      <c r="F57" s="14" t="n">
        <f aca="false">C57-D57-E57</f>
        <v>2775</v>
      </c>
    </row>
    <row r="58" customFormat="false" ht="15" hidden="false" customHeight="false" outlineLevel="0" collapsed="false">
      <c r="B58" s="19" t="n">
        <f aca="false">DATE(YEAR($D$3),10,1)</f>
        <v>46296</v>
      </c>
      <c r="C58" s="14" t="n">
        <f aca="false">SUMIFS(Transactions!$F$5:$F$2004,Transactions!$D$5:$D$2004,"Income",Transactions!$K$5:$K$2004,$B58)</f>
        <v>5050</v>
      </c>
      <c r="D58" s="14" t="n">
        <f aca="false">SUMIFS(Transactions!$F$5:$F$2004,Transactions!$D$5:$D$2004,"Expense",Transactions!$K$5:$K$2004,$B58)</f>
        <v>1557.14</v>
      </c>
      <c r="E58" s="14" t="n">
        <f aca="false">SUMIFS('Savings Log'!$D$5:$D$1004,'Savings Log'!$G$5:$G$1004,$B58)</f>
        <v>500</v>
      </c>
      <c r="F58" s="14" t="n">
        <f aca="false">C58-D58-E58</f>
        <v>2992.86</v>
      </c>
    </row>
    <row r="59" customFormat="false" ht="15" hidden="false" customHeight="false" outlineLevel="0" collapsed="false">
      <c r="B59" s="19" t="n">
        <f aca="false">DATE(YEAR($D$3),11,1)</f>
        <v>46327</v>
      </c>
      <c r="C59" s="14" t="n">
        <f aca="false">SUMIFS(Transactions!$F$5:$F$2004,Transactions!$D$5:$D$2004,"Income",Transactions!$K$5:$K$2004,$B59)</f>
        <v>0</v>
      </c>
      <c r="D59" s="14" t="n">
        <f aca="false">SUMIFS(Transactions!$F$5:$F$2004,Transactions!$D$5:$D$2004,"Expense",Transactions!$K$5:$K$2004,$B59)</f>
        <v>0</v>
      </c>
      <c r="E59" s="14" t="n">
        <f aca="false">SUMIFS('Savings Log'!$D$5:$D$1004,'Savings Log'!$G$5:$G$1004,$B59)</f>
        <v>0</v>
      </c>
      <c r="F59" s="14" t="n">
        <f aca="false">C59-D59-E59</f>
        <v>0</v>
      </c>
    </row>
    <row r="60" customFormat="false" ht="15" hidden="false" customHeight="false" outlineLevel="0" collapsed="false">
      <c r="B60" s="19" t="n">
        <f aca="false">DATE(YEAR($D$3),12,1)</f>
        <v>46357</v>
      </c>
      <c r="C60" s="14" t="n">
        <f aca="false">SUMIFS(Transactions!$F$5:$F$2004,Transactions!$D$5:$D$2004,"Income",Transactions!$K$5:$K$2004,$B60)</f>
        <v>0</v>
      </c>
      <c r="D60" s="14" t="n">
        <f aca="false">SUMIFS(Transactions!$F$5:$F$2004,Transactions!$D$5:$D$2004,"Expense",Transactions!$K$5:$K$2004,$B60)</f>
        <v>0</v>
      </c>
      <c r="E60" s="14" t="n">
        <f aca="false">SUMIFS('Savings Log'!$D$5:$D$1004,'Savings Log'!$G$5:$G$1004,$B60)</f>
        <v>0</v>
      </c>
      <c r="F60" s="14" t="n">
        <f aca="false">C60-D60-E60</f>
        <v>0</v>
      </c>
    </row>
    <row r="61" customFormat="false" ht="15" hidden="false" customHeight="false" outlineLevel="0" collapsed="false">
      <c r="B61" s="16" t="s">
        <v>52</v>
      </c>
      <c r="C61" s="16" t="n">
        <f aca="false">SUM(C49:C60)</f>
        <v>10100</v>
      </c>
      <c r="D61" s="16" t="n">
        <f aca="false">SUM(D49:D60)</f>
        <v>3532.14</v>
      </c>
      <c r="E61" s="16" t="n">
        <f aca="false">SUM(E49:E60)</f>
        <v>1100</v>
      </c>
      <c r="F61" s="16" t="n">
        <f aca="false">SUM(F49:F60)</f>
        <v>5467.86</v>
      </c>
    </row>
  </sheetData>
  <conditionalFormatting sqref="I19:I44">
    <cfRule type="cellIs" priority="2" operator="greater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0.85</formula>
      <formula>1</formula>
    </cfRule>
  </conditionalFormatting>
  <conditionalFormatting sqref="H19:H44">
    <cfRule type="cellIs" priority="4" operator="lessThan" aboveAverage="0" equalAverage="0" bottom="0" percent="0" rank="0" text="" dxfId="2">
      <formula>0</formula>
    </cfRule>
  </conditionalFormatting>
  <conditionalFormatting sqref="G19:G43">
    <cfRule type="dataBar" priority="5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{B435E368-5461-4A22-A0F3-3CA594877F25}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35E368-5461-4A22-A0F3-3CA594877F25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G19:G43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true" outlineLevel="0" max="9" min="9" style="0" width="13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B4" s="15" t="s">
        <v>55</v>
      </c>
      <c r="C4" s="20" t="n">
        <f aca="false">Dashboard!$D$3</f>
        <v>46296</v>
      </c>
    </row>
    <row r="5" customFormat="false" ht="15" hidden="false" customHeight="false" outlineLevel="0" collapsed="false">
      <c r="B5" s="15" t="s">
        <v>56</v>
      </c>
      <c r="C5" s="21" t="n">
        <v>0.2</v>
      </c>
    </row>
    <row r="7" customFormat="false" ht="30" hidden="false" customHeight="true" outlineLevel="0" collapsed="false">
      <c r="B7" s="12" t="s">
        <v>57</v>
      </c>
      <c r="C7" s="12" t="s">
        <v>58</v>
      </c>
      <c r="F7" s="12" t="s">
        <v>59</v>
      </c>
      <c r="G7" s="12"/>
      <c r="H7" s="12" t="s">
        <v>60</v>
      </c>
    </row>
    <row r="8" customFormat="false" ht="15" hidden="false" customHeight="false" outlineLevel="0" collapsed="false">
      <c r="B8" s="13" t="s">
        <v>61</v>
      </c>
      <c r="C8" s="14" t="n">
        <f aca="false">SUMIFS(Transactions!$F$5:$F$2004,Transactions!$L$5:$L$2004,"No",Transactions!$D$5:$D$2004,"Expense",Transactions!$K$5:$K$2004,Dashboard!$D$3)</f>
        <v>174.49</v>
      </c>
      <c r="F8" s="15" t="str">
        <f aca="false">IF(LARGE($I$16:$I$40,1)&lt;=0,"",INDEX($B$16:$B$40,MATCH(LARGE($I$16:$I$40,1),$I$16:$I$40,0)))</f>
        <v>Eating Out</v>
      </c>
      <c r="G8" s="15"/>
      <c r="H8" s="14" t="n">
        <f aca="false">IF(F8="","",INDEX($D$16:$D$40,MATCH(F8,$B$16:$B$40,0)))</f>
        <v>98.8333333333333</v>
      </c>
    </row>
    <row r="9" customFormat="false" ht="15" hidden="false" customHeight="false" outlineLevel="0" collapsed="false">
      <c r="B9" s="13" t="s">
        <v>62</v>
      </c>
      <c r="C9" s="17" t="n">
        <f aca="false">IF(Dashboard!G44=0,"",C8/Dashboard!G44)</f>
        <v>0.112058003776154</v>
      </c>
      <c r="F9" s="15" t="str">
        <f aca="false">IF(LARGE($I$16:$I$40,2)&lt;=0,"",INDEX($B$16:$B$40,MATCH(LARGE($I$16:$I$40,2),$I$16:$I$40,0)))</f>
        <v>Takeaways</v>
      </c>
      <c r="G9" s="15"/>
      <c r="H9" s="14" t="n">
        <f aca="false">IF(F9="","",INDEX($D$16:$D$40,MATCH(F9,$B$16:$B$40,0)))</f>
        <v>31.6666666666667</v>
      </c>
    </row>
    <row r="10" customFormat="false" ht="15" hidden="false" customHeight="false" outlineLevel="0" collapsed="false">
      <c r="B10" s="13" t="s">
        <v>63</v>
      </c>
      <c r="C10" s="22" t="n">
        <f aca="false">COUNTIF(Dashboard!I19:I43,"&gt;1")</f>
        <v>0</v>
      </c>
      <c r="F10" s="15" t="str">
        <f aca="false">IF(LARGE($I$16:$I$40,3)&lt;=0,"",INDEX($B$16:$B$40,MATCH(LARGE($I$16:$I$40,3),$I$16:$I$40,0)))</f>
        <v>Shopping &amp; Clothes</v>
      </c>
      <c r="G10" s="15"/>
      <c r="H10" s="14" t="n">
        <f aca="false">IF(F10="","",INDEX($D$16:$D$40,MATCH(F10,$B$16:$B$40,0)))</f>
        <v>25</v>
      </c>
    </row>
    <row r="11" customFormat="false" ht="15" hidden="false" customHeight="false" outlineLevel="0" collapsed="false">
      <c r="B11" s="13" t="s">
        <v>64</v>
      </c>
      <c r="C11" s="14" t="n">
        <f aca="false">SUMIFS('Regular Bills'!$H$5:$H$64,'Regular Bills'!$D$5:$D$64,"Subscriptions",'Regular Bills'!$C$5:$C$64,"Expense")</f>
        <v>250.88</v>
      </c>
      <c r="F11" s="15" t="str">
        <f aca="false">IF(LARGE($I$16:$I$40,4)&lt;=0,"",INDEX($B$16:$B$40,MATCH(LARGE($I$16:$I$40,4),$I$16:$I$40,0)))</f>
        <v>Subscriptions</v>
      </c>
      <c r="G11" s="15"/>
      <c r="H11" s="14" t="n">
        <f aca="false">IF(F11="","",INDEX($D$16:$D$40,MATCH(F11,$B$16:$B$40,0)))</f>
        <v>4.33</v>
      </c>
    </row>
    <row r="12" customFormat="false" ht="15" hidden="false" customHeight="false" outlineLevel="0" collapsed="false">
      <c r="B12" s="13" t="s">
        <v>65</v>
      </c>
      <c r="C12" s="14" t="n">
        <f aca="false">SUMIFS('Regular Bills'!$H$5:$H$64,'Regular Bills'!$J$5:$J$64,"No",'Regular Bills'!$C$5:$C$64,"Expense")</f>
        <v>731.88</v>
      </c>
      <c r="F12" s="15" t="str">
        <f aca="false">IF(LARGE($I$16:$I$40,5)&lt;=0,"",INDEX($B$16:$B$40,MATCH(LARGE($I$16:$I$40,5),$I$16:$I$40,0)))</f>
        <v/>
      </c>
      <c r="G12" s="15"/>
      <c r="H12" s="14" t="str">
        <f aca="false">IF(F12="","",INDEX($D$16:$D$40,MATCH(F12,$B$16:$B$40,0)))</f>
        <v/>
      </c>
    </row>
    <row r="13" customFormat="false" ht="15" hidden="false" customHeight="false" outlineLevel="0" collapsed="false">
      <c r="B13" s="13" t="s">
        <v>66</v>
      </c>
      <c r="C13" s="22" t="n">
        <f aca="false">COUNTIFS(Transactions!$D$5:$D$2004,"Expense",Transactions!$E$5:$E$2004,"")</f>
        <v>0</v>
      </c>
      <c r="F13" s="2" t="s">
        <v>67</v>
      </c>
    </row>
    <row r="14" customFormat="false" ht="15" hidden="false" customHeight="false" outlineLevel="0" collapsed="false">
      <c r="B14" s="13" t="s">
        <v>68</v>
      </c>
      <c r="C14" s="16" t="n">
        <f aca="false">SUM(H16:H40)</f>
        <v>383.592</v>
      </c>
    </row>
    <row r="15" customFormat="false" ht="30" hidden="false" customHeight="true" outlineLevel="0" collapsed="false">
      <c r="B15" s="12" t="s">
        <v>42</v>
      </c>
      <c r="C15" s="12" t="s">
        <v>69</v>
      </c>
      <c r="D15" s="12" t="s">
        <v>70</v>
      </c>
      <c r="E15" s="12" t="s">
        <v>71</v>
      </c>
      <c r="F15" s="12" t="s">
        <v>72</v>
      </c>
      <c r="G15" s="12" t="s">
        <v>73</v>
      </c>
      <c r="H15" s="12" t="s">
        <v>74</v>
      </c>
      <c r="I15" s="12" t="s">
        <v>75</v>
      </c>
    </row>
    <row r="16" customFormat="false" ht="15" hidden="false" customHeight="false" outlineLevel="0" collapsed="false">
      <c r="B16" s="23" t="str">
        <f aca="false">Dashboard!B19</f>
        <v>Rent / Mortgage</v>
      </c>
      <c r="C16" s="24" t="n">
        <f aca="false">Dashboard!C19</f>
        <v>1200</v>
      </c>
      <c r="D16" s="24" t="n">
        <f aca="false">Dashboard!J19</f>
        <v>800</v>
      </c>
      <c r="E16" s="25" t="str">
        <f aca="false">IF(B16="","",Settings!K14)</f>
        <v>Yes</v>
      </c>
      <c r="F16" s="14" t="n">
        <f aca="false">IF(OR(B16="",N(C16)=0),"",D16-C16)</f>
        <v>-400</v>
      </c>
      <c r="G16" s="14" t="n">
        <f aca="false">IF(B16="","",D16*12)</f>
        <v>9600</v>
      </c>
      <c r="H16" s="14" t="str">
        <f aca="false">IF(E16="No",G16*$C$5,"")</f>
        <v/>
      </c>
      <c r="I16" s="26" t="n">
        <f aca="false">IF(AND(E16="No",N(D16)&gt;0),D16+ROW()/1000000,-1)</f>
        <v>-1</v>
      </c>
    </row>
    <row r="17" customFormat="false" ht="15" hidden="false" customHeight="false" outlineLevel="0" collapsed="false">
      <c r="B17" s="23" t="str">
        <f aca="false">Dashboard!B20</f>
        <v>Council Tax</v>
      </c>
      <c r="C17" s="24" t="n">
        <f aca="false">Dashboard!C20</f>
        <v>160</v>
      </c>
      <c r="D17" s="24" t="n">
        <f aca="false">Dashboard!J20</f>
        <v>0</v>
      </c>
      <c r="E17" s="25" t="str">
        <f aca="false">IF(B17="","",Settings!K15)</f>
        <v>Yes</v>
      </c>
      <c r="F17" s="14" t="n">
        <f aca="false">IF(OR(B17="",N(C17)=0),"",D17-C17)</f>
        <v>-160</v>
      </c>
      <c r="G17" s="14" t="n">
        <f aca="false">IF(B17="","",D17*12)</f>
        <v>0</v>
      </c>
      <c r="H17" s="14" t="str">
        <f aca="false">IF(E17="No",G17*$C$5,"")</f>
        <v/>
      </c>
      <c r="I17" s="26" t="n">
        <f aca="false">IF(AND(E17="No",N(D17)&gt;0),D17+ROW()/1000000,-1)</f>
        <v>-1</v>
      </c>
    </row>
    <row r="18" customFormat="false" ht="15" hidden="false" customHeight="false" outlineLevel="0" collapsed="false">
      <c r="B18" s="23" t="str">
        <f aca="false">Dashboard!B21</f>
        <v>Energy</v>
      </c>
      <c r="C18" s="24" t="n">
        <f aca="false">Dashboard!C21</f>
        <v>140</v>
      </c>
      <c r="D18" s="24" t="n">
        <f aca="false">Dashboard!J21</f>
        <v>0</v>
      </c>
      <c r="E18" s="25" t="str">
        <f aca="false">IF(B18="","",Settings!K16)</f>
        <v>Yes</v>
      </c>
      <c r="F18" s="14" t="n">
        <f aca="false">IF(OR(B18="",N(C18)=0),"",D18-C18)</f>
        <v>-140</v>
      </c>
      <c r="G18" s="14" t="n">
        <f aca="false">IF(B18="","",D18*12)</f>
        <v>0</v>
      </c>
      <c r="H18" s="14" t="str">
        <f aca="false">IF(E18="No",G18*$C$5,"")</f>
        <v/>
      </c>
      <c r="I18" s="26" t="n">
        <f aca="false">IF(AND(E18="No",N(D18)&gt;0),D18+ROW()/1000000,-1)</f>
        <v>-1</v>
      </c>
    </row>
    <row r="19" customFormat="false" ht="15" hidden="false" customHeight="false" outlineLevel="0" collapsed="false">
      <c r="B19" s="23" t="str">
        <f aca="false">Dashboard!B22</f>
        <v>Water</v>
      </c>
      <c r="C19" s="24" t="n">
        <f aca="false">Dashboard!C22</f>
        <v>40</v>
      </c>
      <c r="D19" s="24" t="n">
        <f aca="false">Dashboard!J22</f>
        <v>0</v>
      </c>
      <c r="E19" s="25" t="str">
        <f aca="false">IF(B19="","",Settings!K17)</f>
        <v>Yes</v>
      </c>
      <c r="F19" s="14" t="n">
        <f aca="false">IF(OR(B19="",N(C19)=0),"",D19-C19)</f>
        <v>-40</v>
      </c>
      <c r="G19" s="14" t="n">
        <f aca="false">IF(B19="","",D19*12)</f>
        <v>0</v>
      </c>
      <c r="H19" s="14" t="str">
        <f aca="false">IF(E19="No",G19*$C$5,"")</f>
        <v/>
      </c>
      <c r="I19" s="26" t="n">
        <f aca="false">IF(AND(E19="No",N(D19)&gt;0),D19+ROW()/1000000,-1)</f>
        <v>-1</v>
      </c>
    </row>
    <row r="20" customFormat="false" ht="15" hidden="false" customHeight="false" outlineLevel="0" collapsed="false">
      <c r="B20" s="23" t="str">
        <f aca="false">Dashboard!B23</f>
        <v>Broadband &amp; Phone</v>
      </c>
      <c r="C20" s="24" t="n">
        <f aca="false">Dashboard!C23</f>
        <v>70</v>
      </c>
      <c r="D20" s="24" t="n">
        <f aca="false">Dashboard!J23</f>
        <v>0</v>
      </c>
      <c r="E20" s="25" t="str">
        <f aca="false">IF(B20="","",Settings!K18)</f>
        <v>Yes</v>
      </c>
      <c r="F20" s="14" t="n">
        <f aca="false">IF(OR(B20="",N(C20)=0),"",D20-C20)</f>
        <v>-70</v>
      </c>
      <c r="G20" s="14" t="n">
        <f aca="false">IF(B20="","",D20*12)</f>
        <v>0</v>
      </c>
      <c r="H20" s="14" t="str">
        <f aca="false">IF(E20="No",G20*$C$5,"")</f>
        <v/>
      </c>
      <c r="I20" s="26" t="n">
        <f aca="false">IF(AND(E20="No",N(D20)&gt;0),D20+ROW()/1000000,-1)</f>
        <v>-1</v>
      </c>
    </row>
    <row r="21" customFormat="false" ht="15" hidden="false" customHeight="false" outlineLevel="0" collapsed="false">
      <c r="B21" s="23" t="str">
        <f aca="false">Dashboard!B24</f>
        <v>Insurance</v>
      </c>
      <c r="C21" s="24" t="n">
        <f aca="false">Dashboard!C24</f>
        <v>60</v>
      </c>
      <c r="D21" s="24" t="n">
        <f aca="false">Dashboard!J24</f>
        <v>0</v>
      </c>
      <c r="E21" s="25" t="str">
        <f aca="false">IF(B21="","",Settings!K19)</f>
        <v>Yes</v>
      </c>
      <c r="F21" s="14" t="n">
        <f aca="false">IF(OR(B21="",N(C21)=0),"",D21-C21)</f>
        <v>-60</v>
      </c>
      <c r="G21" s="14" t="n">
        <f aca="false">IF(B21="","",D21*12)</f>
        <v>0</v>
      </c>
      <c r="H21" s="14" t="str">
        <f aca="false">IF(E21="No",G21*$C$5,"")</f>
        <v/>
      </c>
      <c r="I21" s="26" t="n">
        <f aca="false">IF(AND(E21="No",N(D21)&gt;0),D21+ROW()/1000000,-1)</f>
        <v>-1</v>
      </c>
    </row>
    <row r="22" customFormat="false" ht="15" hidden="false" customHeight="false" outlineLevel="0" collapsed="false">
      <c r="B22" s="23" t="str">
        <f aca="false">Dashboard!B25</f>
        <v>Groceries</v>
      </c>
      <c r="C22" s="24" t="n">
        <f aca="false">Dashboard!C25</f>
        <v>450</v>
      </c>
      <c r="D22" s="24" t="n">
        <f aca="false">Dashboard!J25</f>
        <v>196.15</v>
      </c>
      <c r="E22" s="25" t="str">
        <f aca="false">IF(B22="","",Settings!K20)</f>
        <v>Yes</v>
      </c>
      <c r="F22" s="14" t="n">
        <f aca="false">IF(OR(B22="",N(C22)=0),"",D22-C22)</f>
        <v>-253.85</v>
      </c>
      <c r="G22" s="14" t="n">
        <f aca="false">IF(B22="","",D22*12)</f>
        <v>2353.8</v>
      </c>
      <c r="H22" s="14" t="str">
        <f aca="false">IF(E22="No",G22*$C$5,"")</f>
        <v/>
      </c>
      <c r="I22" s="26" t="n">
        <f aca="false">IF(AND(E22="No",N(D22)&gt;0),D22+ROW()/1000000,-1)</f>
        <v>-1</v>
      </c>
    </row>
    <row r="23" customFormat="false" ht="15" hidden="false" customHeight="false" outlineLevel="0" collapsed="false">
      <c r="B23" s="23" t="str">
        <f aca="false">Dashboard!B26</f>
        <v>Transport &amp; Fuel</v>
      </c>
      <c r="C23" s="24" t="n">
        <f aca="false">Dashboard!C26</f>
        <v>180</v>
      </c>
      <c r="D23" s="24" t="n">
        <f aca="false">Dashboard!J26</f>
        <v>21.4</v>
      </c>
      <c r="E23" s="25" t="str">
        <f aca="false">IF(B23="","",Settings!K21)</f>
        <v>Yes</v>
      </c>
      <c r="F23" s="14" t="n">
        <f aca="false">IF(OR(B23="",N(C23)=0),"",D23-C23)</f>
        <v>-158.6</v>
      </c>
      <c r="G23" s="14" t="n">
        <f aca="false">IF(B23="","",D23*12)</f>
        <v>256.8</v>
      </c>
      <c r="H23" s="14" t="str">
        <f aca="false">IF(E23="No",G23*$C$5,"")</f>
        <v/>
      </c>
      <c r="I23" s="26" t="n">
        <f aca="false">IF(AND(E23="No",N(D23)&gt;0),D23+ROW()/1000000,-1)</f>
        <v>-1</v>
      </c>
    </row>
    <row r="24" customFormat="false" ht="15" hidden="false" customHeight="false" outlineLevel="0" collapsed="false">
      <c r="B24" s="23" t="str">
        <f aca="false">Dashboard!B27</f>
        <v>Health</v>
      </c>
      <c r="C24" s="24" t="n">
        <f aca="false">Dashboard!C27</f>
        <v>30</v>
      </c>
      <c r="D24" s="24" t="n">
        <f aca="false">Dashboard!J27</f>
        <v>0</v>
      </c>
      <c r="E24" s="25" t="str">
        <f aca="false">IF(B24="","",Settings!K22)</f>
        <v>Yes</v>
      </c>
      <c r="F24" s="14" t="n">
        <f aca="false">IF(OR(B24="",N(C24)=0),"",D24-C24)</f>
        <v>-30</v>
      </c>
      <c r="G24" s="14" t="n">
        <f aca="false">IF(B24="","",D24*12)</f>
        <v>0</v>
      </c>
      <c r="H24" s="14" t="str">
        <f aca="false">IF(E24="No",G24*$C$5,"")</f>
        <v/>
      </c>
      <c r="I24" s="26" t="n">
        <f aca="false">IF(AND(E24="No",N(D24)&gt;0),D24+ROW()/1000000,-1)</f>
        <v>-1</v>
      </c>
    </row>
    <row r="25" customFormat="false" ht="15" hidden="false" customHeight="false" outlineLevel="0" collapsed="false">
      <c r="B25" s="23" t="str">
        <f aca="false">Dashboard!B28</f>
        <v>Childcare &amp; Kids</v>
      </c>
      <c r="C25" s="24" t="n">
        <f aca="false">Dashboard!C28</f>
        <v>0</v>
      </c>
      <c r="D25" s="24" t="n">
        <f aca="false">Dashboard!J28</f>
        <v>0</v>
      </c>
      <c r="E25" s="25" t="str">
        <f aca="false">IF(B25="","",Settings!K23)</f>
        <v>Yes</v>
      </c>
      <c r="F25" s="14" t="str">
        <f aca="false">IF(OR(B25="",N(C25)=0),"",D25-C25)</f>
        <v/>
      </c>
      <c r="G25" s="14" t="n">
        <f aca="false">IF(B25="","",D25*12)</f>
        <v>0</v>
      </c>
      <c r="H25" s="14" t="str">
        <f aca="false">IF(E25="No",G25*$C$5,"")</f>
        <v/>
      </c>
      <c r="I25" s="26" t="n">
        <f aca="false">IF(AND(E25="No",N(D25)&gt;0),D25+ROW()/1000000,-1)</f>
        <v>-1</v>
      </c>
    </row>
    <row r="26" customFormat="false" ht="15" hidden="false" customHeight="false" outlineLevel="0" collapsed="false">
      <c r="B26" s="23" t="str">
        <f aca="false">Dashboard!B29</f>
        <v>Debt Repayments</v>
      </c>
      <c r="C26" s="24" t="n">
        <f aca="false">Dashboard!C29</f>
        <v>0</v>
      </c>
      <c r="D26" s="24" t="n">
        <f aca="false">Dashboard!J29</f>
        <v>0</v>
      </c>
      <c r="E26" s="25" t="str">
        <f aca="false">IF(B26="","",Settings!K24)</f>
        <v>Yes</v>
      </c>
      <c r="F26" s="14" t="str">
        <f aca="false">IF(OR(B26="",N(C26)=0),"",D26-C26)</f>
        <v/>
      </c>
      <c r="G26" s="14" t="n">
        <f aca="false">IF(B26="","",D26*12)</f>
        <v>0</v>
      </c>
      <c r="H26" s="14" t="str">
        <f aca="false">IF(E26="No",G26*$C$5,"")</f>
        <v/>
      </c>
      <c r="I26" s="26" t="n">
        <f aca="false">IF(AND(E26="No",N(D26)&gt;0),D26+ROW()/1000000,-1)</f>
        <v>-1</v>
      </c>
    </row>
    <row r="27" customFormat="false" ht="15" hidden="false" customHeight="false" outlineLevel="0" collapsed="false">
      <c r="B27" s="23" t="str">
        <f aca="false">Dashboard!B30</f>
        <v>Eating Out</v>
      </c>
      <c r="C27" s="24" t="n">
        <f aca="false">Dashboard!C30</f>
        <v>150</v>
      </c>
      <c r="D27" s="24" t="n">
        <f aca="false">Dashboard!J30</f>
        <v>98.8333333333333</v>
      </c>
      <c r="E27" s="25" t="str">
        <f aca="false">IF(B27="","",Settings!K25)</f>
        <v>No</v>
      </c>
      <c r="F27" s="14" t="n">
        <f aca="false">IF(OR(B27="",N(C27)=0),"",D27-C27)</f>
        <v>-51.1666666666667</v>
      </c>
      <c r="G27" s="14" t="n">
        <f aca="false">IF(B27="","",D27*12)</f>
        <v>1186</v>
      </c>
      <c r="H27" s="14" t="n">
        <f aca="false">IF(E27="No",G27*$C$5,"")</f>
        <v>237.2</v>
      </c>
      <c r="I27" s="26" t="n">
        <f aca="false">IF(AND(E27="No",N(D27)&gt;0),D27+ROW()/1000000,-1)</f>
        <v>98.8333603333333</v>
      </c>
    </row>
    <row r="28" customFormat="false" ht="15" hidden="false" customHeight="false" outlineLevel="0" collapsed="false">
      <c r="B28" s="23" t="str">
        <f aca="false">Dashboard!B31</f>
        <v>Takeaways</v>
      </c>
      <c r="C28" s="24" t="n">
        <f aca="false">Dashboard!C31</f>
        <v>60</v>
      </c>
      <c r="D28" s="24" t="n">
        <f aca="false">Dashboard!J31</f>
        <v>31.6666666666667</v>
      </c>
      <c r="E28" s="25" t="str">
        <f aca="false">IF(B28="","",Settings!K26)</f>
        <v>No</v>
      </c>
      <c r="F28" s="14" t="n">
        <f aca="false">IF(OR(B28="",N(C28)=0),"",D28-C28)</f>
        <v>-28.3333333333333</v>
      </c>
      <c r="G28" s="14" t="n">
        <f aca="false">IF(B28="","",D28*12)</f>
        <v>380</v>
      </c>
      <c r="H28" s="14" t="n">
        <f aca="false">IF(E28="No",G28*$C$5,"")</f>
        <v>76</v>
      </c>
      <c r="I28" s="26" t="n">
        <f aca="false">IF(AND(E28="No",N(D28)&gt;0),D28+ROW()/1000000,-1)</f>
        <v>31.6666946666667</v>
      </c>
    </row>
    <row r="29" customFormat="false" ht="15" hidden="false" customHeight="false" outlineLevel="0" collapsed="false">
      <c r="B29" s="23" t="str">
        <f aca="false">Dashboard!B32</f>
        <v>Subscriptions</v>
      </c>
      <c r="C29" s="24" t="n">
        <f aca="false">Dashboard!C32</f>
        <v>45</v>
      </c>
      <c r="D29" s="24" t="n">
        <f aca="false">Dashboard!J32</f>
        <v>4.33</v>
      </c>
      <c r="E29" s="25" t="str">
        <f aca="false">IF(B29="","",Settings!K27)</f>
        <v>No</v>
      </c>
      <c r="F29" s="14" t="n">
        <f aca="false">IF(OR(B29="",N(C29)=0),"",D29-C29)</f>
        <v>-40.67</v>
      </c>
      <c r="G29" s="14" t="n">
        <f aca="false">IF(B29="","",D29*12)</f>
        <v>51.96</v>
      </c>
      <c r="H29" s="14" t="n">
        <f aca="false">IF(E29="No",G29*$C$5,"")</f>
        <v>10.392</v>
      </c>
      <c r="I29" s="26" t="n">
        <f aca="false">IF(AND(E29="No",N(D29)&gt;0),D29+ROW()/1000000,-1)</f>
        <v>4.330029</v>
      </c>
    </row>
    <row r="30" customFormat="false" ht="15" hidden="false" customHeight="false" outlineLevel="0" collapsed="false">
      <c r="B30" s="23" t="str">
        <f aca="false">Dashboard!B33</f>
        <v>Entertainment</v>
      </c>
      <c r="C30" s="24" t="n">
        <f aca="false">Dashboard!C33</f>
        <v>80</v>
      </c>
      <c r="D30" s="24" t="n">
        <f aca="false">Dashboard!J33</f>
        <v>0</v>
      </c>
      <c r="E30" s="25" t="str">
        <f aca="false">IF(B30="","",Settings!K28)</f>
        <v>No</v>
      </c>
      <c r="F30" s="14" t="n">
        <f aca="false">IF(OR(B30="",N(C30)=0),"",D30-C30)</f>
        <v>-80</v>
      </c>
      <c r="G30" s="14" t="n">
        <f aca="false">IF(B30="","",D30*12)</f>
        <v>0</v>
      </c>
      <c r="H30" s="14" t="n">
        <f aca="false">IF(E30="No",G30*$C$5,"")</f>
        <v>0</v>
      </c>
      <c r="I30" s="26" t="n">
        <f aca="false">IF(AND(E30="No",N(D30)&gt;0),D30+ROW()/1000000,-1)</f>
        <v>-1</v>
      </c>
    </row>
    <row r="31" customFormat="false" ht="15" hidden="false" customHeight="false" outlineLevel="0" collapsed="false">
      <c r="B31" s="23" t="str">
        <f aca="false">Dashboard!B34</f>
        <v>Shopping &amp; Clothes</v>
      </c>
      <c r="C31" s="24" t="n">
        <f aca="false">Dashboard!C34</f>
        <v>120</v>
      </c>
      <c r="D31" s="24" t="n">
        <f aca="false">Dashboard!J34</f>
        <v>25</v>
      </c>
      <c r="E31" s="25" t="str">
        <f aca="false">IF(B31="","",Settings!K29)</f>
        <v>No</v>
      </c>
      <c r="F31" s="14" t="n">
        <f aca="false">IF(OR(B31="",N(C31)=0),"",D31-C31)</f>
        <v>-95</v>
      </c>
      <c r="G31" s="14" t="n">
        <f aca="false">IF(B31="","",D31*12)</f>
        <v>300</v>
      </c>
      <c r="H31" s="14" t="n">
        <f aca="false">IF(E31="No",G31*$C$5,"")</f>
        <v>60</v>
      </c>
      <c r="I31" s="26" t="n">
        <f aca="false">IF(AND(E31="No",N(D31)&gt;0),D31+ROW()/1000000,-1)</f>
        <v>25.000031</v>
      </c>
    </row>
    <row r="32" customFormat="false" ht="15" hidden="false" customHeight="false" outlineLevel="0" collapsed="false">
      <c r="B32" s="23" t="str">
        <f aca="false">Dashboard!B35</f>
        <v>Personal Care</v>
      </c>
      <c r="C32" s="24" t="n">
        <f aca="false">Dashboard!C35</f>
        <v>40</v>
      </c>
      <c r="D32" s="24" t="n">
        <f aca="false">Dashboard!J35</f>
        <v>0</v>
      </c>
      <c r="E32" s="25" t="str">
        <f aca="false">IF(B32="","",Settings!K30)</f>
        <v>No</v>
      </c>
      <c r="F32" s="14" t="n">
        <f aca="false">IF(OR(B32="",N(C32)=0),"",D32-C32)</f>
        <v>-40</v>
      </c>
      <c r="G32" s="14" t="n">
        <f aca="false">IF(B32="","",D32*12)</f>
        <v>0</v>
      </c>
      <c r="H32" s="14" t="n">
        <f aca="false">IF(E32="No",G32*$C$5,"")</f>
        <v>0</v>
      </c>
      <c r="I32" s="26" t="n">
        <f aca="false">IF(AND(E32="No",N(D32)&gt;0),D32+ROW()/1000000,-1)</f>
        <v>-1</v>
      </c>
    </row>
    <row r="33" customFormat="false" ht="15" hidden="false" customHeight="false" outlineLevel="0" collapsed="false">
      <c r="B33" s="23" t="str">
        <f aca="false">Dashboard!B36</f>
        <v>Gifts</v>
      </c>
      <c r="C33" s="24" t="n">
        <f aca="false">Dashboard!C36</f>
        <v>40</v>
      </c>
      <c r="D33" s="24" t="n">
        <f aca="false">Dashboard!J36</f>
        <v>0</v>
      </c>
      <c r="E33" s="25" t="str">
        <f aca="false">IF(B33="","",Settings!K31)</f>
        <v>No</v>
      </c>
      <c r="F33" s="14" t="n">
        <f aca="false">IF(OR(B33="",N(C33)=0),"",D33-C33)</f>
        <v>-40</v>
      </c>
      <c r="G33" s="14" t="n">
        <f aca="false">IF(B33="","",D33*12)</f>
        <v>0</v>
      </c>
      <c r="H33" s="14" t="n">
        <f aca="false">IF(E33="No",G33*$C$5,"")</f>
        <v>0</v>
      </c>
      <c r="I33" s="26" t="n">
        <f aca="false">IF(AND(E33="No",N(D33)&gt;0),D33+ROW()/1000000,-1)</f>
        <v>-1</v>
      </c>
    </row>
    <row r="34" customFormat="false" ht="15" hidden="false" customHeight="false" outlineLevel="0" collapsed="false">
      <c r="B34" s="23" t="str">
        <f aca="false">Dashboard!B37</f>
        <v>Holidays</v>
      </c>
      <c r="C34" s="24" t="n">
        <f aca="false">Dashboard!C37</f>
        <v>100</v>
      </c>
      <c r="D34" s="24" t="n">
        <f aca="false">Dashboard!J37</f>
        <v>0</v>
      </c>
      <c r="E34" s="25" t="str">
        <f aca="false">IF(B34="","",Settings!K32)</f>
        <v>No</v>
      </c>
      <c r="F34" s="14" t="n">
        <f aca="false">IF(OR(B34="",N(C34)=0),"",D34-C34)</f>
        <v>-100</v>
      </c>
      <c r="G34" s="14" t="n">
        <f aca="false">IF(B34="","",D34*12)</f>
        <v>0</v>
      </c>
      <c r="H34" s="14" t="n">
        <f aca="false">IF(E34="No",G34*$C$5,"")</f>
        <v>0</v>
      </c>
      <c r="I34" s="26" t="n">
        <f aca="false">IF(AND(E34="No",N(D34)&gt;0),D34+ROW()/1000000,-1)</f>
        <v>-1</v>
      </c>
    </row>
    <row r="35" customFormat="false" ht="15" hidden="false" customHeight="false" outlineLevel="0" collapsed="false">
      <c r="B35" s="23" t="str">
        <f aca="false">Dashboard!B38</f>
        <v>Home &amp; Garden</v>
      </c>
      <c r="C35" s="24" t="n">
        <f aca="false">Dashboard!C38</f>
        <v>50</v>
      </c>
      <c r="D35" s="24" t="n">
        <f aca="false">Dashboard!J38</f>
        <v>0</v>
      </c>
      <c r="E35" s="25" t="str">
        <f aca="false">IF(B35="","",Settings!K33)</f>
        <v>No</v>
      </c>
      <c r="F35" s="14" t="n">
        <f aca="false">IF(OR(B35="",N(C35)=0),"",D35-C35)</f>
        <v>-50</v>
      </c>
      <c r="G35" s="14" t="n">
        <f aca="false">IF(B35="","",D35*12)</f>
        <v>0</v>
      </c>
      <c r="H35" s="14" t="n">
        <f aca="false">IF(E35="No",G35*$C$5,"")</f>
        <v>0</v>
      </c>
      <c r="I35" s="26" t="n">
        <f aca="false">IF(AND(E35="No",N(D35)&gt;0),D35+ROW()/1000000,-1)</f>
        <v>-1</v>
      </c>
    </row>
    <row r="36" customFormat="false" ht="15" hidden="false" customHeight="false" outlineLevel="0" collapsed="false">
      <c r="B36" s="23" t="str">
        <f aca="false">Dashboard!B39</f>
        <v>Hobbies</v>
      </c>
      <c r="C36" s="24" t="n">
        <f aca="false">Dashboard!C39</f>
        <v>40</v>
      </c>
      <c r="D36" s="24" t="n">
        <f aca="false">Dashboard!J39</f>
        <v>0</v>
      </c>
      <c r="E36" s="25" t="str">
        <f aca="false">IF(B36="","",Settings!K34)</f>
        <v>No</v>
      </c>
      <c r="F36" s="14" t="n">
        <f aca="false">IF(OR(B36="",N(C36)=0),"",D36-C36)</f>
        <v>-40</v>
      </c>
      <c r="G36" s="14" t="n">
        <f aca="false">IF(B36="","",D36*12)</f>
        <v>0</v>
      </c>
      <c r="H36" s="14" t="n">
        <f aca="false">IF(E36="No",G36*$C$5,"")</f>
        <v>0</v>
      </c>
      <c r="I36" s="26" t="n">
        <f aca="false">IF(AND(E36="No",N(D36)&gt;0),D36+ROW()/1000000,-1)</f>
        <v>-1</v>
      </c>
    </row>
    <row r="37" customFormat="false" ht="15" hidden="false" customHeight="false" outlineLevel="0" collapsed="false">
      <c r="B37" s="23" t="str">
        <f aca="false">Dashboard!B40</f>
        <v>Other</v>
      </c>
      <c r="C37" s="24" t="n">
        <f aca="false">Dashboard!C40</f>
        <v>50</v>
      </c>
      <c r="D37" s="24" t="n">
        <f aca="false">Dashboard!J40</f>
        <v>0</v>
      </c>
      <c r="E37" s="25" t="str">
        <f aca="false">IF(B37="","",Settings!K35)</f>
        <v>No</v>
      </c>
      <c r="F37" s="14" t="n">
        <f aca="false">IF(OR(B37="",N(C37)=0),"",D37-C37)</f>
        <v>-50</v>
      </c>
      <c r="G37" s="14" t="n">
        <f aca="false">IF(B37="","",D37*12)</f>
        <v>0</v>
      </c>
      <c r="H37" s="14" t="n">
        <f aca="false">IF(E37="No",G37*$C$5,"")</f>
        <v>0</v>
      </c>
      <c r="I37" s="26" t="n">
        <f aca="false">IF(AND(E37="No",N(D37)&gt;0),D37+ROW()/1000000,-1)</f>
        <v>-1</v>
      </c>
    </row>
    <row r="38" customFormat="false" ht="15" hidden="false" customHeight="false" outlineLevel="0" collapsed="false">
      <c r="B38" s="23" t="str">
        <f aca="false">Dashboard!B41</f>
        <v/>
      </c>
      <c r="C38" s="24" t="str">
        <f aca="false">Dashboard!C41</f>
        <v/>
      </c>
      <c r="D38" s="24" t="str">
        <f aca="false">Dashboard!J41</f>
        <v/>
      </c>
      <c r="E38" s="25" t="str">
        <f aca="false">IF(B38="","",Settings!K36)</f>
        <v/>
      </c>
      <c r="F38" s="14" t="str">
        <f aca="false">IF(OR(B38="",N(C38)=0),"",D38-C38)</f>
        <v/>
      </c>
      <c r="G38" s="14" t="str">
        <f aca="false">IF(B38="","",D38*12)</f>
        <v/>
      </c>
      <c r="H38" s="14" t="str">
        <f aca="false">IF(E38="No",G38*$C$5,"")</f>
        <v/>
      </c>
      <c r="I38" s="26" t="n">
        <f aca="false">IF(AND(E38="No",N(D38)&gt;0),D38+ROW()/1000000,-1)</f>
        <v>-1</v>
      </c>
    </row>
    <row r="39" customFormat="false" ht="15" hidden="false" customHeight="false" outlineLevel="0" collapsed="false">
      <c r="B39" s="23" t="str">
        <f aca="false">Dashboard!B42</f>
        <v/>
      </c>
      <c r="C39" s="24" t="str">
        <f aca="false">Dashboard!C42</f>
        <v/>
      </c>
      <c r="D39" s="24" t="str">
        <f aca="false">Dashboard!J42</f>
        <v/>
      </c>
      <c r="E39" s="25" t="str">
        <f aca="false">IF(B39="","",Settings!K37)</f>
        <v/>
      </c>
      <c r="F39" s="14" t="str">
        <f aca="false">IF(OR(B39="",N(C39)=0),"",D39-C39)</f>
        <v/>
      </c>
      <c r="G39" s="14" t="str">
        <f aca="false">IF(B39="","",D39*12)</f>
        <v/>
      </c>
      <c r="H39" s="14" t="str">
        <f aca="false">IF(E39="No",G39*$C$5,"")</f>
        <v/>
      </c>
      <c r="I39" s="26" t="n">
        <f aca="false">IF(AND(E39="No",N(D39)&gt;0),D39+ROW()/1000000,-1)</f>
        <v>-1</v>
      </c>
    </row>
    <row r="40" customFormat="false" ht="15" hidden="false" customHeight="false" outlineLevel="0" collapsed="false">
      <c r="B40" s="23" t="str">
        <f aca="false">Dashboard!B43</f>
        <v/>
      </c>
      <c r="C40" s="24" t="str">
        <f aca="false">Dashboard!C43</f>
        <v/>
      </c>
      <c r="D40" s="24" t="str">
        <f aca="false">Dashboard!J43</f>
        <v/>
      </c>
      <c r="E40" s="25" t="str">
        <f aca="false">IF(B40="","",Settings!K38)</f>
        <v/>
      </c>
      <c r="F40" s="14" t="str">
        <f aca="false">IF(OR(B40="",N(C40)=0),"",D40-C40)</f>
        <v/>
      </c>
      <c r="G40" s="14" t="str">
        <f aca="false">IF(B40="","",D40*12)</f>
        <v/>
      </c>
      <c r="H40" s="14" t="str">
        <f aca="false">IF(E40="No",G40*$C$5,"")</f>
        <v/>
      </c>
      <c r="I40" s="26" t="n">
        <f aca="false">IF(AND(E40="No",N(D40)&gt;0),D40+ROW()/1000000,-1)</f>
        <v>-1</v>
      </c>
    </row>
    <row r="41" customFormat="false" ht="15" hidden="false" customHeight="false" outlineLevel="0" collapsed="false">
      <c r="B41" s="2" t="s">
        <v>76</v>
      </c>
    </row>
  </sheetData>
  <mergeCells count="6">
    <mergeCell ref="F7:G7"/>
    <mergeCell ref="F8:G8"/>
    <mergeCell ref="F9:G9"/>
    <mergeCell ref="F10:G10"/>
    <mergeCell ref="F11:G11"/>
    <mergeCell ref="F12:G12"/>
  </mergeCells>
  <conditionalFormatting sqref="F16:F40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P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7" min="6" style="0" width="3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3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3"/>
    <col collapsed="false" customWidth="true" hidden="false" outlineLevel="0" max="16" min="16" style="0" width="18"/>
  </cols>
  <sheetData>
    <row r="1" customFormat="false" ht="19.7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3" customFormat="false" ht="15" hidden="false" customHeight="false" outlineLevel="0" collapsed="false">
      <c r="B3" s="15" t="s">
        <v>79</v>
      </c>
      <c r="C3" s="27" t="s">
        <v>80</v>
      </c>
    </row>
    <row r="4" customFormat="false" ht="15" hidden="false" customHeight="false" outlineLevel="0" collapsed="false">
      <c r="B4" s="15" t="s">
        <v>81</v>
      </c>
      <c r="C4" s="27" t="s">
        <v>82</v>
      </c>
    </row>
    <row r="7" customFormat="false" ht="30" hidden="false" customHeight="true" outlineLevel="0" collapsed="false">
      <c r="B7" s="12" t="s">
        <v>83</v>
      </c>
      <c r="C7" s="12" t="s">
        <v>84</v>
      </c>
      <c r="E7" s="12" t="s">
        <v>85</v>
      </c>
      <c r="H7" s="12" t="s">
        <v>42</v>
      </c>
      <c r="I7" s="12" t="s">
        <v>86</v>
      </c>
      <c r="J7" s="12" t="s">
        <v>87</v>
      </c>
      <c r="K7" s="12" t="s">
        <v>71</v>
      </c>
      <c r="M7" s="12" t="s">
        <v>88</v>
      </c>
      <c r="N7" s="12" t="s">
        <v>89</v>
      </c>
      <c r="P7" s="12" t="s">
        <v>90</v>
      </c>
    </row>
    <row r="8" customFormat="false" ht="15" hidden="false" customHeight="false" outlineLevel="0" collapsed="false">
      <c r="B8" s="27" t="s">
        <v>91</v>
      </c>
      <c r="C8" s="27" t="str">
        <f aca="false">C3</f>
        <v>Me</v>
      </c>
      <c r="E8" s="23" t="str">
        <f aca="false">C3</f>
        <v>Me</v>
      </c>
      <c r="H8" s="27" t="s">
        <v>92</v>
      </c>
      <c r="I8" s="28" t="s">
        <v>32</v>
      </c>
      <c r="J8" s="28"/>
      <c r="K8" s="28"/>
      <c r="M8" s="13" t="s">
        <v>93</v>
      </c>
      <c r="N8" s="29" t="n">
        <f aca="false">52/12</f>
        <v>4.33333333333333</v>
      </c>
      <c r="P8" s="13" t="s">
        <v>32</v>
      </c>
    </row>
    <row r="9" customFormat="false" ht="15" hidden="false" customHeight="false" outlineLevel="0" collapsed="false">
      <c r="B9" s="27" t="s">
        <v>94</v>
      </c>
      <c r="C9" s="27" t="str">
        <f aca="false">C4</f>
        <v>Partner</v>
      </c>
      <c r="E9" s="23" t="str">
        <f aca="false">C4</f>
        <v>Partner</v>
      </c>
      <c r="H9" s="27" t="s">
        <v>95</v>
      </c>
      <c r="I9" s="28" t="s">
        <v>32</v>
      </c>
      <c r="J9" s="28"/>
      <c r="K9" s="28"/>
      <c r="M9" s="13" t="s">
        <v>96</v>
      </c>
      <c r="N9" s="29" t="n">
        <f aca="false">26/12</f>
        <v>2.16666666666667</v>
      </c>
      <c r="P9" s="13" t="s">
        <v>97</v>
      </c>
    </row>
    <row r="10" customFormat="false" ht="15" hidden="false" customHeight="false" outlineLevel="0" collapsed="false">
      <c r="B10" s="27" t="s">
        <v>98</v>
      </c>
      <c r="C10" s="27" t="s">
        <v>30</v>
      </c>
      <c r="E10" s="13" t="s">
        <v>30</v>
      </c>
      <c r="H10" s="27" t="s">
        <v>99</v>
      </c>
      <c r="I10" s="28" t="s">
        <v>32</v>
      </c>
      <c r="J10" s="28"/>
      <c r="K10" s="28"/>
      <c r="M10" s="13" t="s">
        <v>100</v>
      </c>
      <c r="N10" s="29" t="n">
        <v>1</v>
      </c>
      <c r="P10" s="13" t="s">
        <v>101</v>
      </c>
    </row>
    <row r="11" customFormat="false" ht="15" hidden="false" customHeight="false" outlineLevel="0" collapsed="false">
      <c r="B11" s="27" t="s">
        <v>102</v>
      </c>
      <c r="C11" s="27" t="str">
        <f aca="false">C3</f>
        <v>Me</v>
      </c>
      <c r="H11" s="27" t="s">
        <v>103</v>
      </c>
      <c r="I11" s="28" t="s">
        <v>32</v>
      </c>
      <c r="J11" s="28"/>
      <c r="K11" s="28"/>
      <c r="M11" s="13" t="s">
        <v>104</v>
      </c>
      <c r="N11" s="29" t="n">
        <f aca="false">1/3</f>
        <v>0.333333333333333</v>
      </c>
    </row>
    <row r="12" customFormat="false" ht="15" hidden="false" customHeight="false" outlineLevel="0" collapsed="false">
      <c r="B12" s="27" t="s">
        <v>105</v>
      </c>
      <c r="C12" s="27" t="str">
        <f aca="false">C4</f>
        <v>Partner</v>
      </c>
      <c r="H12" s="27" t="s">
        <v>106</v>
      </c>
      <c r="I12" s="28" t="s">
        <v>32</v>
      </c>
      <c r="J12" s="28"/>
      <c r="K12" s="28"/>
      <c r="M12" s="13" t="s">
        <v>107</v>
      </c>
      <c r="N12" s="29" t="n">
        <f aca="false">1/6</f>
        <v>0.166666666666667</v>
      </c>
      <c r="P12" s="2" t="s">
        <v>108</v>
      </c>
    </row>
    <row r="13" customFormat="false" ht="15" hidden="false" customHeight="false" outlineLevel="0" collapsed="false">
      <c r="B13" s="27" t="s">
        <v>109</v>
      </c>
      <c r="C13" s="27" t="s">
        <v>30</v>
      </c>
      <c r="H13" s="27" t="s">
        <v>110</v>
      </c>
      <c r="I13" s="28" t="s">
        <v>32</v>
      </c>
      <c r="J13" s="28"/>
      <c r="K13" s="28"/>
      <c r="M13" s="13" t="s">
        <v>111</v>
      </c>
      <c r="N13" s="29" t="n">
        <f aca="false">1/12</f>
        <v>0.0833333333333333</v>
      </c>
    </row>
    <row r="14" customFormat="false" ht="15" hidden="false" customHeight="false" outlineLevel="0" collapsed="false">
      <c r="B14" s="27"/>
      <c r="C14" s="27"/>
      <c r="H14" s="27" t="s">
        <v>112</v>
      </c>
      <c r="I14" s="28" t="s">
        <v>97</v>
      </c>
      <c r="J14" s="30" t="n">
        <v>1200</v>
      </c>
      <c r="K14" s="31" t="s">
        <v>113</v>
      </c>
    </row>
    <row r="15" customFormat="false" ht="15" hidden="false" customHeight="false" outlineLevel="0" collapsed="false">
      <c r="B15" s="27"/>
      <c r="C15" s="27"/>
      <c r="H15" s="27" t="s">
        <v>114</v>
      </c>
      <c r="I15" s="28" t="s">
        <v>97</v>
      </c>
      <c r="J15" s="30" t="n">
        <v>160</v>
      </c>
      <c r="K15" s="31" t="s">
        <v>113</v>
      </c>
    </row>
    <row r="16" customFormat="false" ht="15" hidden="false" customHeight="false" outlineLevel="0" collapsed="false">
      <c r="B16" s="27"/>
      <c r="C16" s="27"/>
      <c r="H16" s="27" t="s">
        <v>115</v>
      </c>
      <c r="I16" s="28" t="s">
        <v>97</v>
      </c>
      <c r="J16" s="30" t="n">
        <v>140</v>
      </c>
      <c r="K16" s="31" t="s">
        <v>113</v>
      </c>
    </row>
    <row r="17" customFormat="false" ht="15" hidden="false" customHeight="false" outlineLevel="0" collapsed="false">
      <c r="B17" s="27"/>
      <c r="C17" s="27"/>
      <c r="H17" s="27" t="s">
        <v>116</v>
      </c>
      <c r="I17" s="28" t="s">
        <v>97</v>
      </c>
      <c r="J17" s="30" t="n">
        <v>40</v>
      </c>
      <c r="K17" s="31" t="s">
        <v>113</v>
      </c>
    </row>
    <row r="18" customFormat="false" ht="15" hidden="false" customHeight="false" outlineLevel="0" collapsed="false">
      <c r="B18" s="27"/>
      <c r="C18" s="27"/>
      <c r="H18" s="27" t="s">
        <v>117</v>
      </c>
      <c r="I18" s="28" t="s">
        <v>97</v>
      </c>
      <c r="J18" s="30" t="n">
        <v>70</v>
      </c>
      <c r="K18" s="31" t="s">
        <v>113</v>
      </c>
    </row>
    <row r="19" customFormat="false" ht="15" hidden="false" customHeight="false" outlineLevel="0" collapsed="false">
      <c r="B19" s="27"/>
      <c r="C19" s="27"/>
      <c r="H19" s="27" t="s">
        <v>118</v>
      </c>
      <c r="I19" s="28" t="s">
        <v>97</v>
      </c>
      <c r="J19" s="30" t="n">
        <v>60</v>
      </c>
      <c r="K19" s="31" t="s">
        <v>113</v>
      </c>
    </row>
    <row r="20" customFormat="false" ht="15" hidden="false" customHeight="false" outlineLevel="0" collapsed="false">
      <c r="H20" s="27" t="s">
        <v>119</v>
      </c>
      <c r="I20" s="28" t="s">
        <v>97</v>
      </c>
      <c r="J20" s="30" t="n">
        <v>450</v>
      </c>
      <c r="K20" s="31" t="s">
        <v>113</v>
      </c>
    </row>
    <row r="21" customFormat="false" ht="15" hidden="false" customHeight="false" outlineLevel="0" collapsed="false">
      <c r="B21" s="2" t="s">
        <v>120</v>
      </c>
      <c r="H21" s="27" t="s">
        <v>121</v>
      </c>
      <c r="I21" s="28" t="s">
        <v>97</v>
      </c>
      <c r="J21" s="30" t="n">
        <v>180</v>
      </c>
      <c r="K21" s="31" t="s">
        <v>113</v>
      </c>
    </row>
    <row r="22" customFormat="false" ht="15" hidden="false" customHeight="false" outlineLevel="0" collapsed="false">
      <c r="H22" s="27" t="s">
        <v>122</v>
      </c>
      <c r="I22" s="28" t="s">
        <v>97</v>
      </c>
      <c r="J22" s="30" t="n">
        <v>30</v>
      </c>
      <c r="K22" s="31" t="s">
        <v>113</v>
      </c>
    </row>
    <row r="23" customFormat="false" ht="15" hidden="false" customHeight="false" outlineLevel="0" collapsed="false">
      <c r="H23" s="27" t="s">
        <v>123</v>
      </c>
      <c r="I23" s="28" t="s">
        <v>97</v>
      </c>
      <c r="J23" s="30" t="n">
        <v>0</v>
      </c>
      <c r="K23" s="31" t="s">
        <v>113</v>
      </c>
    </row>
    <row r="24" customFormat="false" ht="15" hidden="false" customHeight="false" outlineLevel="0" collapsed="false">
      <c r="H24" s="27" t="s">
        <v>124</v>
      </c>
      <c r="I24" s="28" t="s">
        <v>97</v>
      </c>
      <c r="J24" s="30" t="n">
        <v>0</v>
      </c>
      <c r="K24" s="31" t="s">
        <v>113</v>
      </c>
    </row>
    <row r="25" customFormat="false" ht="15" hidden="false" customHeight="false" outlineLevel="0" collapsed="false">
      <c r="H25" s="27" t="s">
        <v>125</v>
      </c>
      <c r="I25" s="28" t="s">
        <v>97</v>
      </c>
      <c r="J25" s="30" t="n">
        <v>150</v>
      </c>
      <c r="K25" s="31" t="s">
        <v>126</v>
      </c>
    </row>
    <row r="26" customFormat="false" ht="15" hidden="false" customHeight="false" outlineLevel="0" collapsed="false">
      <c r="H26" s="27" t="s">
        <v>127</v>
      </c>
      <c r="I26" s="28" t="s">
        <v>97</v>
      </c>
      <c r="J26" s="30" t="n">
        <v>60</v>
      </c>
      <c r="K26" s="31" t="s">
        <v>126</v>
      </c>
    </row>
    <row r="27" customFormat="false" ht="15" hidden="false" customHeight="false" outlineLevel="0" collapsed="false">
      <c r="H27" s="27" t="s">
        <v>128</v>
      </c>
      <c r="I27" s="28" t="s">
        <v>97</v>
      </c>
      <c r="J27" s="30" t="n">
        <v>45</v>
      </c>
      <c r="K27" s="31" t="s">
        <v>126</v>
      </c>
    </row>
    <row r="28" customFormat="false" ht="15" hidden="false" customHeight="false" outlineLevel="0" collapsed="false">
      <c r="H28" s="27" t="s">
        <v>129</v>
      </c>
      <c r="I28" s="28" t="s">
        <v>97</v>
      </c>
      <c r="J28" s="30" t="n">
        <v>80</v>
      </c>
      <c r="K28" s="31" t="s">
        <v>126</v>
      </c>
    </row>
    <row r="29" customFormat="false" ht="15" hidden="false" customHeight="false" outlineLevel="0" collapsed="false">
      <c r="H29" s="27" t="s">
        <v>130</v>
      </c>
      <c r="I29" s="28" t="s">
        <v>97</v>
      </c>
      <c r="J29" s="30" t="n">
        <v>120</v>
      </c>
      <c r="K29" s="31" t="s">
        <v>126</v>
      </c>
    </row>
    <row r="30" customFormat="false" ht="15" hidden="false" customHeight="false" outlineLevel="0" collapsed="false">
      <c r="H30" s="27" t="s">
        <v>131</v>
      </c>
      <c r="I30" s="28" t="s">
        <v>97</v>
      </c>
      <c r="J30" s="30" t="n">
        <v>40</v>
      </c>
      <c r="K30" s="31" t="s">
        <v>126</v>
      </c>
    </row>
    <row r="31" customFormat="false" ht="15" hidden="false" customHeight="false" outlineLevel="0" collapsed="false">
      <c r="H31" s="27" t="s">
        <v>132</v>
      </c>
      <c r="I31" s="28" t="s">
        <v>97</v>
      </c>
      <c r="J31" s="30" t="n">
        <v>40</v>
      </c>
      <c r="K31" s="31" t="s">
        <v>126</v>
      </c>
    </row>
    <row r="32" customFormat="false" ht="15" hidden="false" customHeight="false" outlineLevel="0" collapsed="false">
      <c r="H32" s="27" t="s">
        <v>133</v>
      </c>
      <c r="I32" s="28" t="s">
        <v>97</v>
      </c>
      <c r="J32" s="30" t="n">
        <v>100</v>
      </c>
      <c r="K32" s="31" t="s">
        <v>126</v>
      </c>
    </row>
    <row r="33" customFormat="false" ht="15" hidden="false" customHeight="false" outlineLevel="0" collapsed="false">
      <c r="H33" s="27" t="s">
        <v>134</v>
      </c>
      <c r="I33" s="28" t="s">
        <v>97</v>
      </c>
      <c r="J33" s="30" t="n">
        <v>50</v>
      </c>
      <c r="K33" s="31" t="s">
        <v>126</v>
      </c>
    </row>
    <row r="34" customFormat="false" ht="15" hidden="false" customHeight="false" outlineLevel="0" collapsed="false">
      <c r="H34" s="27" t="s">
        <v>135</v>
      </c>
      <c r="I34" s="28" t="s">
        <v>97</v>
      </c>
      <c r="J34" s="30" t="n">
        <v>40</v>
      </c>
      <c r="K34" s="31" t="s">
        <v>126</v>
      </c>
    </row>
    <row r="35" customFormat="false" ht="15" hidden="false" customHeight="false" outlineLevel="0" collapsed="false">
      <c r="H35" s="27" t="s">
        <v>136</v>
      </c>
      <c r="I35" s="28" t="s">
        <v>97</v>
      </c>
      <c r="J35" s="30" t="n">
        <v>50</v>
      </c>
      <c r="K35" s="31" t="s">
        <v>126</v>
      </c>
    </row>
    <row r="36" customFormat="false" ht="15" hidden="false" customHeight="false" outlineLevel="0" collapsed="false">
      <c r="H36" s="27"/>
      <c r="I36" s="28" t="s">
        <v>97</v>
      </c>
      <c r="J36" s="30"/>
      <c r="K36" s="31"/>
    </row>
    <row r="37" customFormat="false" ht="15" hidden="false" customHeight="false" outlineLevel="0" collapsed="false">
      <c r="H37" s="27"/>
      <c r="I37" s="28" t="s">
        <v>97</v>
      </c>
      <c r="J37" s="30"/>
      <c r="K37" s="31"/>
    </row>
    <row r="38" customFormat="false" ht="15" hidden="false" customHeight="false" outlineLevel="0" collapsed="false">
      <c r="H38" s="27"/>
      <c r="I38" s="28" t="s">
        <v>97</v>
      </c>
      <c r="J38" s="30"/>
      <c r="K38" s="31"/>
    </row>
    <row r="40" customFormat="false" ht="15" hidden="false" customHeight="false" outlineLevel="0" collapsed="false">
      <c r="H40" s="2" t="s">
        <v>137</v>
      </c>
    </row>
  </sheetData>
  <dataValidations count="2">
    <dataValidation allowBlank="true" error="Pick a value from the drop-down list (edit the lists on the Settings tab)." errorStyle="warning" errorTitle="Not in list" operator="between" showDropDown="false" showErrorMessage="false" showInputMessage="false" sqref="C8:C19" type="list">
      <formula1>$E$8:$E$10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K14:K3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2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12" min="9" style="0" width="11"/>
  </cols>
  <sheetData>
    <row r="1" customFormat="false" ht="19.7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30" hidden="false" customHeight="true" outlineLevel="0" collapsed="false">
      <c r="A4" s="12" t="s">
        <v>140</v>
      </c>
      <c r="B4" s="12" t="s">
        <v>141</v>
      </c>
      <c r="C4" s="12" t="s">
        <v>83</v>
      </c>
      <c r="D4" s="12" t="s">
        <v>86</v>
      </c>
      <c r="E4" s="12" t="s">
        <v>42</v>
      </c>
      <c r="F4" s="12" t="s">
        <v>142</v>
      </c>
      <c r="G4" s="12" t="s">
        <v>143</v>
      </c>
      <c r="H4" s="12" t="s">
        <v>144</v>
      </c>
      <c r="I4" s="32" t="s">
        <v>84</v>
      </c>
      <c r="J4" s="32" t="s">
        <v>145</v>
      </c>
      <c r="K4" s="32" t="s">
        <v>51</v>
      </c>
      <c r="L4" s="32" t="s">
        <v>71</v>
      </c>
    </row>
    <row r="5" customFormat="false" ht="15" hidden="false" customHeight="false" outlineLevel="0" collapsed="false">
      <c r="A5" s="33" t="n">
        <v>46266</v>
      </c>
      <c r="B5" s="27" t="s">
        <v>92</v>
      </c>
      <c r="C5" s="27" t="s">
        <v>91</v>
      </c>
      <c r="D5" s="27" t="s">
        <v>32</v>
      </c>
      <c r="E5" s="27" t="s">
        <v>92</v>
      </c>
      <c r="F5" s="34" t="n">
        <v>2650</v>
      </c>
      <c r="G5" s="27"/>
      <c r="H5" s="27" t="s">
        <v>146</v>
      </c>
      <c r="I5" s="28" t="str">
        <f aca="false">IF(C5="","",IFERROR(INDEX(Settings!$C$8:$C$19,MATCH(C5,Settings!$B$8:$B$19,0)),"?"))</f>
        <v>Me</v>
      </c>
      <c r="J5" s="28" t="str">
        <f aca="false">IF(G5="","",IFERROR(INDEX(Settings!$C$8:$C$19,MATCH(G5,Settings!$B$8:$B$19,0)),"?"))</f>
        <v/>
      </c>
      <c r="K5" s="35" t="n">
        <f aca="false">IF(A5="","",DATE(YEAR(A5),MONTH(A5),1))</f>
        <v>46266</v>
      </c>
      <c r="L5" s="28" t="str">
        <f aca="false">IF(E5="","",IFERROR(INDEX(Settings!$K$8:$K$38,MATCH(E5,Settings!$H$8:$H$38,0))&amp;"",""))</f>
        <v/>
      </c>
    </row>
    <row r="6" customFormat="false" ht="15" hidden="false" customHeight="false" outlineLevel="0" collapsed="false">
      <c r="A6" s="33" t="n">
        <v>46266</v>
      </c>
      <c r="B6" s="27" t="s">
        <v>92</v>
      </c>
      <c r="C6" s="27" t="s">
        <v>94</v>
      </c>
      <c r="D6" s="27" t="s">
        <v>32</v>
      </c>
      <c r="E6" s="27" t="s">
        <v>92</v>
      </c>
      <c r="F6" s="34" t="n">
        <v>2400</v>
      </c>
      <c r="G6" s="27"/>
      <c r="H6" s="27" t="s">
        <v>146</v>
      </c>
      <c r="I6" s="28" t="str">
        <f aca="false">IF(C6="","",IFERROR(INDEX(Settings!$C$8:$C$19,MATCH(C6,Settings!$B$8:$B$19,0)),"?"))</f>
        <v>Partner</v>
      </c>
      <c r="J6" s="28" t="str">
        <f aca="false">IF(G6="","",IFERROR(INDEX(Settings!$C$8:$C$19,MATCH(G6,Settings!$B$8:$B$19,0)),"?"))</f>
        <v/>
      </c>
      <c r="K6" s="35" t="n">
        <f aca="false">IF(A6="","",DATE(YEAR(A6),MONTH(A6),1))</f>
        <v>46266</v>
      </c>
      <c r="L6" s="28" t="str">
        <f aca="false">IF(E6="","",IFERROR(INDEX(Settings!$K$8:$K$38,MATCH(E6,Settings!$H$8:$H$38,0))&amp;"",""))</f>
        <v/>
      </c>
    </row>
    <row r="7" customFormat="false" ht="15" hidden="false" customHeight="false" outlineLevel="0" collapsed="false">
      <c r="A7" s="33" t="n">
        <v>46266</v>
      </c>
      <c r="B7" s="27" t="s">
        <v>147</v>
      </c>
      <c r="C7" s="27" t="s">
        <v>98</v>
      </c>
      <c r="D7" s="27" t="s">
        <v>97</v>
      </c>
      <c r="E7" s="27" t="s">
        <v>112</v>
      </c>
      <c r="F7" s="34" t="n">
        <v>1200</v>
      </c>
      <c r="G7" s="27"/>
      <c r="H7" s="27" t="s">
        <v>146</v>
      </c>
      <c r="I7" s="28" t="str">
        <f aca="false">IF(C7="","",IFERROR(INDEX(Settings!$C$8:$C$19,MATCH(C7,Settings!$B$8:$B$19,0)),"?"))</f>
        <v>Joint</v>
      </c>
      <c r="J7" s="28" t="str">
        <f aca="false">IF(G7="","",IFERROR(INDEX(Settings!$C$8:$C$19,MATCH(G7,Settings!$B$8:$B$19,0)),"?"))</f>
        <v/>
      </c>
      <c r="K7" s="35" t="n">
        <f aca="false">IF(A7="","",DATE(YEAR(A7),MONTH(A7),1))</f>
        <v>46266</v>
      </c>
      <c r="L7" s="28" t="str">
        <f aca="false">IF(E7="","",IFERROR(INDEX(Settings!$K$8:$K$38,MATCH(E7,Settings!$H$8:$H$38,0))&amp;"",""))</f>
        <v>Yes</v>
      </c>
    </row>
    <row r="8" customFormat="false" ht="15" hidden="false" customHeight="false" outlineLevel="0" collapsed="false">
      <c r="A8" s="33" t="n">
        <v>46275</v>
      </c>
      <c r="B8" s="27" t="s">
        <v>148</v>
      </c>
      <c r="C8" s="27" t="s">
        <v>98</v>
      </c>
      <c r="D8" s="27" t="s">
        <v>97</v>
      </c>
      <c r="E8" s="27" t="s">
        <v>119</v>
      </c>
      <c r="F8" s="34" t="n">
        <v>470</v>
      </c>
      <c r="G8" s="27"/>
      <c r="H8" s="27" t="s">
        <v>146</v>
      </c>
      <c r="I8" s="28" t="str">
        <f aca="false">IF(C8="","",IFERROR(INDEX(Settings!$C$8:$C$19,MATCH(C8,Settings!$B$8:$B$19,0)),"?"))</f>
        <v>Joint</v>
      </c>
      <c r="J8" s="28" t="str">
        <f aca="false">IF(G8="","",IFERROR(INDEX(Settings!$C$8:$C$19,MATCH(G8,Settings!$B$8:$B$19,0)),"?"))</f>
        <v/>
      </c>
      <c r="K8" s="35" t="n">
        <f aca="false">IF(A8="","",DATE(YEAR(A8),MONTH(A8),1))</f>
        <v>46266</v>
      </c>
      <c r="L8" s="28" t="str">
        <f aca="false">IF(E8="","",IFERROR(INDEX(Settings!$K$8:$K$38,MATCH(E8,Settings!$H$8:$H$38,0))&amp;"",""))</f>
        <v>Yes</v>
      </c>
    </row>
    <row r="9" customFormat="false" ht="15" hidden="false" customHeight="false" outlineLevel="0" collapsed="false">
      <c r="A9" s="33" t="n">
        <v>46283</v>
      </c>
      <c r="B9" s="27" t="s">
        <v>149</v>
      </c>
      <c r="C9" s="27" t="s">
        <v>94</v>
      </c>
      <c r="D9" s="27" t="s">
        <v>97</v>
      </c>
      <c r="E9" s="27" t="s">
        <v>127</v>
      </c>
      <c r="F9" s="34" t="n">
        <v>95</v>
      </c>
      <c r="G9" s="27"/>
      <c r="H9" s="27" t="s">
        <v>146</v>
      </c>
      <c r="I9" s="28" t="str">
        <f aca="false">IF(C9="","",IFERROR(INDEX(Settings!$C$8:$C$19,MATCH(C9,Settings!$B$8:$B$19,0)),"?"))</f>
        <v>Partner</v>
      </c>
      <c r="J9" s="28" t="str">
        <f aca="false">IF(G9="","",IFERROR(INDEX(Settings!$C$8:$C$19,MATCH(G9,Settings!$B$8:$B$19,0)),"?"))</f>
        <v/>
      </c>
      <c r="K9" s="35" t="n">
        <f aca="false">IF(A9="","",DATE(YEAR(A9),MONTH(A9),1))</f>
        <v>46266</v>
      </c>
      <c r="L9" s="28" t="str">
        <f aca="false">IF(E9="","",IFERROR(INDEX(Settings!$K$8:$K$38,MATCH(E9,Settings!$H$8:$H$38,0))&amp;"",""))</f>
        <v>No</v>
      </c>
    </row>
    <row r="10" customFormat="false" ht="15" hidden="false" customHeight="false" outlineLevel="0" collapsed="false">
      <c r="A10" s="33" t="n">
        <v>46285</v>
      </c>
      <c r="B10" s="27" t="s">
        <v>150</v>
      </c>
      <c r="C10" s="27" t="s">
        <v>102</v>
      </c>
      <c r="D10" s="27" t="s">
        <v>97</v>
      </c>
      <c r="E10" s="27" t="s">
        <v>125</v>
      </c>
      <c r="F10" s="34" t="n">
        <v>210</v>
      </c>
      <c r="G10" s="27"/>
      <c r="H10" s="27" t="s">
        <v>146</v>
      </c>
      <c r="I10" s="28" t="str">
        <f aca="false">IF(C10="","",IFERROR(INDEX(Settings!$C$8:$C$19,MATCH(C10,Settings!$B$8:$B$19,0)),"?"))</f>
        <v>Me</v>
      </c>
      <c r="J10" s="28" t="str">
        <f aca="false">IF(G10="","",IFERROR(INDEX(Settings!$C$8:$C$19,MATCH(G10,Settings!$B$8:$B$19,0)),"?"))</f>
        <v/>
      </c>
      <c r="K10" s="35" t="n">
        <f aca="false">IF(A10="","",DATE(YEAR(A10),MONTH(A10),1))</f>
        <v>46266</v>
      </c>
      <c r="L10" s="28" t="str">
        <f aca="false">IF(E10="","",IFERROR(INDEX(Settings!$K$8:$K$38,MATCH(E10,Settings!$H$8:$H$38,0))&amp;"",""))</f>
        <v>No</v>
      </c>
    </row>
    <row r="11" customFormat="false" ht="15" hidden="false" customHeight="false" outlineLevel="0" collapsed="false">
      <c r="A11" s="33" t="n">
        <v>46296</v>
      </c>
      <c r="B11" s="27" t="s">
        <v>92</v>
      </c>
      <c r="C11" s="27" t="s">
        <v>91</v>
      </c>
      <c r="D11" s="27" t="s">
        <v>32</v>
      </c>
      <c r="E11" s="27" t="s">
        <v>92</v>
      </c>
      <c r="F11" s="34" t="n">
        <v>2650</v>
      </c>
      <c r="G11" s="27"/>
      <c r="H11" s="27" t="s">
        <v>146</v>
      </c>
      <c r="I11" s="28" t="str">
        <f aca="false">IF(C11="","",IFERROR(INDEX(Settings!$C$8:$C$19,MATCH(C11,Settings!$B$8:$B$19,0)),"?"))</f>
        <v>Me</v>
      </c>
      <c r="J11" s="28" t="str">
        <f aca="false">IF(G11="","",IFERROR(INDEX(Settings!$C$8:$C$19,MATCH(G11,Settings!$B$8:$B$19,0)),"?"))</f>
        <v/>
      </c>
      <c r="K11" s="35" t="n">
        <f aca="false">IF(A11="","",DATE(YEAR(A11),MONTH(A11),1))</f>
        <v>46296</v>
      </c>
      <c r="L11" s="28" t="str">
        <f aca="false">IF(E11="","",IFERROR(INDEX(Settings!$K$8:$K$38,MATCH(E11,Settings!$H$8:$H$38,0))&amp;"",""))</f>
        <v/>
      </c>
    </row>
    <row r="12" customFormat="false" ht="15" hidden="false" customHeight="false" outlineLevel="0" collapsed="false">
      <c r="A12" s="33" t="n">
        <v>46296</v>
      </c>
      <c r="B12" s="27" t="s">
        <v>92</v>
      </c>
      <c r="C12" s="27" t="s">
        <v>94</v>
      </c>
      <c r="D12" s="27" t="s">
        <v>32</v>
      </c>
      <c r="E12" s="27" t="s">
        <v>92</v>
      </c>
      <c r="F12" s="34" t="n">
        <v>2400</v>
      </c>
      <c r="G12" s="27"/>
      <c r="H12" s="27" t="s">
        <v>146</v>
      </c>
      <c r="I12" s="28" t="str">
        <f aca="false">IF(C12="","",IFERROR(INDEX(Settings!$C$8:$C$19,MATCH(C12,Settings!$B$8:$B$19,0)),"?"))</f>
        <v>Partner</v>
      </c>
      <c r="J12" s="28" t="str">
        <f aca="false">IF(G12="","",IFERROR(INDEX(Settings!$C$8:$C$19,MATCH(G12,Settings!$B$8:$B$19,0)),"?"))</f>
        <v/>
      </c>
      <c r="K12" s="35" t="n">
        <f aca="false">IF(A12="","",DATE(YEAR(A12),MONTH(A12),1))</f>
        <v>46296</v>
      </c>
      <c r="L12" s="28" t="str">
        <f aca="false">IF(E12="","",IFERROR(INDEX(Settings!$K$8:$K$38,MATCH(E12,Settings!$H$8:$H$38,0))&amp;"",""))</f>
        <v/>
      </c>
    </row>
    <row r="13" customFormat="false" ht="15" hidden="false" customHeight="false" outlineLevel="0" collapsed="false">
      <c r="A13" s="33" t="n">
        <v>46296</v>
      </c>
      <c r="B13" s="27" t="s">
        <v>151</v>
      </c>
      <c r="C13" s="27" t="s">
        <v>91</v>
      </c>
      <c r="D13" s="27" t="s">
        <v>101</v>
      </c>
      <c r="E13" s="27"/>
      <c r="F13" s="34" t="n">
        <v>1100</v>
      </c>
      <c r="G13" s="27" t="s">
        <v>98</v>
      </c>
      <c r="H13" s="27" t="s">
        <v>146</v>
      </c>
      <c r="I13" s="28" t="str">
        <f aca="false">IF(C13="","",IFERROR(INDEX(Settings!$C$8:$C$19,MATCH(C13,Settings!$B$8:$B$19,0)),"?"))</f>
        <v>Me</v>
      </c>
      <c r="J13" s="28" t="str">
        <f aca="false">IF(G13="","",IFERROR(INDEX(Settings!$C$8:$C$19,MATCH(G13,Settings!$B$8:$B$19,0)),"?"))</f>
        <v>Joint</v>
      </c>
      <c r="K13" s="35" t="n">
        <f aca="false">IF(A13="","",DATE(YEAR(A13),MONTH(A13),1))</f>
        <v>46296</v>
      </c>
      <c r="L13" s="28" t="str">
        <f aca="false">IF(E13="","",IFERROR(INDEX(Settings!$K$8:$K$38,MATCH(E13,Settings!$H$8:$H$38,0))&amp;"",""))</f>
        <v/>
      </c>
    </row>
    <row r="14" customFormat="false" ht="15" hidden="false" customHeight="false" outlineLevel="0" collapsed="false">
      <c r="A14" s="33" t="n">
        <v>46296</v>
      </c>
      <c r="B14" s="27" t="s">
        <v>151</v>
      </c>
      <c r="C14" s="27" t="s">
        <v>94</v>
      </c>
      <c r="D14" s="27" t="s">
        <v>101</v>
      </c>
      <c r="E14" s="27"/>
      <c r="F14" s="34" t="n">
        <v>1000</v>
      </c>
      <c r="G14" s="27" t="s">
        <v>98</v>
      </c>
      <c r="H14" s="27" t="s">
        <v>146</v>
      </c>
      <c r="I14" s="28" t="str">
        <f aca="false">IF(C14="","",IFERROR(INDEX(Settings!$C$8:$C$19,MATCH(C14,Settings!$B$8:$B$19,0)),"?"))</f>
        <v>Partner</v>
      </c>
      <c r="J14" s="28" t="str">
        <f aca="false">IF(G14="","",IFERROR(INDEX(Settings!$C$8:$C$19,MATCH(G14,Settings!$B$8:$B$19,0)),"?"))</f>
        <v>Joint</v>
      </c>
      <c r="K14" s="35" t="n">
        <f aca="false">IF(A14="","",DATE(YEAR(A14),MONTH(A14),1))</f>
        <v>46296</v>
      </c>
      <c r="L14" s="28" t="str">
        <f aca="false">IF(E14="","",IFERROR(INDEX(Settings!$K$8:$K$38,MATCH(E14,Settings!$H$8:$H$38,0))&amp;"",""))</f>
        <v/>
      </c>
    </row>
    <row r="15" customFormat="false" ht="15" hidden="false" customHeight="false" outlineLevel="0" collapsed="false">
      <c r="A15" s="33" t="n">
        <v>46296</v>
      </c>
      <c r="B15" s="27" t="s">
        <v>147</v>
      </c>
      <c r="C15" s="27" t="s">
        <v>98</v>
      </c>
      <c r="D15" s="27" t="s">
        <v>97</v>
      </c>
      <c r="E15" s="27" t="s">
        <v>112</v>
      </c>
      <c r="F15" s="34" t="n">
        <v>1200</v>
      </c>
      <c r="G15" s="27"/>
      <c r="H15" s="27" t="s">
        <v>146</v>
      </c>
      <c r="I15" s="28" t="str">
        <f aca="false">IF(C15="","",IFERROR(INDEX(Settings!$C$8:$C$19,MATCH(C15,Settings!$B$8:$B$19,0)),"?"))</f>
        <v>Joint</v>
      </c>
      <c r="J15" s="28" t="str">
        <f aca="false">IF(G15="","",IFERROR(INDEX(Settings!$C$8:$C$19,MATCH(G15,Settings!$B$8:$B$19,0)),"?"))</f>
        <v/>
      </c>
      <c r="K15" s="35" t="n">
        <f aca="false">IF(A15="","",DATE(YEAR(A15),MONTH(A15),1))</f>
        <v>46296</v>
      </c>
      <c r="L15" s="28" t="str">
        <f aca="false">IF(E15="","",IFERROR(INDEX(Settings!$K$8:$K$38,MATCH(E15,Settings!$H$8:$H$38,0))&amp;"",""))</f>
        <v>Yes</v>
      </c>
    </row>
    <row r="16" customFormat="false" ht="15" hidden="false" customHeight="false" outlineLevel="0" collapsed="false">
      <c r="A16" s="33" t="n">
        <v>46298</v>
      </c>
      <c r="B16" s="27" t="s">
        <v>152</v>
      </c>
      <c r="C16" s="27" t="s">
        <v>98</v>
      </c>
      <c r="D16" s="27" t="s">
        <v>97</v>
      </c>
      <c r="E16" s="27" t="s">
        <v>119</v>
      </c>
      <c r="F16" s="34" t="n">
        <v>118.45</v>
      </c>
      <c r="G16" s="27"/>
      <c r="H16" s="27" t="s">
        <v>146</v>
      </c>
      <c r="I16" s="28" t="str">
        <f aca="false">IF(C16="","",IFERROR(INDEX(Settings!$C$8:$C$19,MATCH(C16,Settings!$B$8:$B$19,0)),"?"))</f>
        <v>Joint</v>
      </c>
      <c r="J16" s="28" t="str">
        <f aca="false">IF(G16="","",IFERROR(INDEX(Settings!$C$8:$C$19,MATCH(G16,Settings!$B$8:$B$19,0)),"?"))</f>
        <v/>
      </c>
      <c r="K16" s="35" t="n">
        <f aca="false">IF(A16="","",DATE(YEAR(A16),MONTH(A16),1))</f>
        <v>46296</v>
      </c>
      <c r="L16" s="28" t="str">
        <f aca="false">IF(E16="","",IFERROR(INDEX(Settings!$K$8:$K$38,MATCH(E16,Settings!$H$8:$H$38,0))&amp;"",""))</f>
        <v>Yes</v>
      </c>
    </row>
    <row r="17" customFormat="false" ht="15" hidden="false" customHeight="false" outlineLevel="0" collapsed="false">
      <c r="A17" s="33" t="n">
        <v>46299</v>
      </c>
      <c r="B17" s="27" t="s">
        <v>153</v>
      </c>
      <c r="C17" s="27" t="s">
        <v>102</v>
      </c>
      <c r="D17" s="27" t="s">
        <v>97</v>
      </c>
      <c r="E17" s="27" t="s">
        <v>128</v>
      </c>
      <c r="F17" s="34" t="n">
        <v>12.99</v>
      </c>
      <c r="G17" s="27"/>
      <c r="H17" s="27" t="s">
        <v>146</v>
      </c>
      <c r="I17" s="28" t="str">
        <f aca="false">IF(C17="","",IFERROR(INDEX(Settings!$C$8:$C$19,MATCH(C17,Settings!$B$8:$B$19,0)),"?"))</f>
        <v>Me</v>
      </c>
      <c r="J17" s="28" t="str">
        <f aca="false">IF(G17="","",IFERROR(INDEX(Settings!$C$8:$C$19,MATCH(G17,Settings!$B$8:$B$19,0)),"?"))</f>
        <v/>
      </c>
      <c r="K17" s="35" t="n">
        <f aca="false">IF(A17="","",DATE(YEAR(A17),MONTH(A17),1))</f>
        <v>46296</v>
      </c>
      <c r="L17" s="28" t="str">
        <f aca="false">IF(E17="","",IFERROR(INDEX(Settings!$K$8:$K$38,MATCH(E17,Settings!$H$8:$H$38,0))&amp;"",""))</f>
        <v>No</v>
      </c>
    </row>
    <row r="18" customFormat="false" ht="15" hidden="false" customHeight="false" outlineLevel="0" collapsed="false">
      <c r="A18" s="33" t="n">
        <v>46300</v>
      </c>
      <c r="B18" s="27" t="s">
        <v>154</v>
      </c>
      <c r="C18" s="27" t="s">
        <v>94</v>
      </c>
      <c r="D18" s="27" t="s">
        <v>97</v>
      </c>
      <c r="E18" s="27" t="s">
        <v>121</v>
      </c>
      <c r="F18" s="34" t="n">
        <v>64.2</v>
      </c>
      <c r="G18" s="27"/>
      <c r="H18" s="27" t="s">
        <v>146</v>
      </c>
      <c r="I18" s="28" t="str">
        <f aca="false">IF(C18="","",IFERROR(INDEX(Settings!$C$8:$C$19,MATCH(C18,Settings!$B$8:$B$19,0)),"?"))</f>
        <v>Partner</v>
      </c>
      <c r="J18" s="28" t="str">
        <f aca="false">IF(G18="","",IFERROR(INDEX(Settings!$C$8:$C$19,MATCH(G18,Settings!$B$8:$B$19,0)),"?"))</f>
        <v/>
      </c>
      <c r="K18" s="35" t="n">
        <f aca="false">IF(A18="","",DATE(YEAR(A18),MONTH(A18),1))</f>
        <v>46296</v>
      </c>
      <c r="L18" s="28" t="str">
        <f aca="false">IF(E18="","",IFERROR(INDEX(Settings!$K$8:$K$38,MATCH(E18,Settings!$H$8:$H$38,0))&amp;"",""))</f>
        <v>Yes</v>
      </c>
    </row>
    <row r="19" customFormat="false" ht="15" hidden="false" customHeight="false" outlineLevel="0" collapsed="false">
      <c r="A19" s="33" t="n">
        <v>46301</v>
      </c>
      <c r="B19" s="27" t="s">
        <v>155</v>
      </c>
      <c r="C19" s="27" t="s">
        <v>102</v>
      </c>
      <c r="D19" s="27" t="s">
        <v>97</v>
      </c>
      <c r="E19" s="27" t="s">
        <v>125</v>
      </c>
      <c r="F19" s="34" t="n">
        <v>86.5</v>
      </c>
      <c r="G19" s="27"/>
      <c r="H19" s="27" t="s">
        <v>146</v>
      </c>
      <c r="I19" s="28" t="str">
        <f aca="false">IF(C19="","",IFERROR(INDEX(Settings!$C$8:$C$19,MATCH(C19,Settings!$B$8:$B$19,0)),"?"))</f>
        <v>Me</v>
      </c>
      <c r="J19" s="28" t="str">
        <f aca="false">IF(G19="","",IFERROR(INDEX(Settings!$C$8:$C$19,MATCH(G19,Settings!$B$8:$B$19,0)),"?"))</f>
        <v/>
      </c>
      <c r="K19" s="35" t="n">
        <f aca="false">IF(A19="","",DATE(YEAR(A19),MONTH(A19),1))</f>
        <v>46296</v>
      </c>
      <c r="L19" s="28" t="str">
        <f aca="false">IF(E19="","",IFERROR(INDEX(Settings!$K$8:$K$38,MATCH(E19,Settings!$H$8:$H$38,0))&amp;"",""))</f>
        <v>No</v>
      </c>
    </row>
    <row r="20" customFormat="false" ht="15" hidden="false" customHeight="false" outlineLevel="0" collapsed="false">
      <c r="A20" s="33" t="n">
        <v>46302</v>
      </c>
      <c r="B20" s="27" t="s">
        <v>156</v>
      </c>
      <c r="C20" s="27" t="s">
        <v>105</v>
      </c>
      <c r="D20" s="27" t="s">
        <v>97</v>
      </c>
      <c r="E20" s="27" t="s">
        <v>130</v>
      </c>
      <c r="F20" s="34" t="n">
        <v>75</v>
      </c>
      <c r="G20" s="27"/>
      <c r="H20" s="27" t="s">
        <v>146</v>
      </c>
      <c r="I20" s="28" t="str">
        <f aca="false">IF(C20="","",IFERROR(INDEX(Settings!$C$8:$C$19,MATCH(C20,Settings!$B$8:$B$19,0)),"?"))</f>
        <v>Partner</v>
      </c>
      <c r="J20" s="28" t="str">
        <f aca="false">IF(G20="","",IFERROR(INDEX(Settings!$C$8:$C$19,MATCH(G20,Settings!$B$8:$B$19,0)),"?"))</f>
        <v/>
      </c>
      <c r="K20" s="35" t="n">
        <f aca="false">IF(A20="","",DATE(YEAR(A20),MONTH(A20),1))</f>
        <v>46296</v>
      </c>
      <c r="L20" s="28" t="str">
        <f aca="false">IF(E20="","",IFERROR(INDEX(Settings!$K$8:$K$38,MATCH(E20,Settings!$H$8:$H$38,0))&amp;"",""))</f>
        <v>No</v>
      </c>
    </row>
    <row r="21" customFormat="false" ht="15" hidden="false" customHeight="false" outlineLevel="0" collapsed="false">
      <c r="A21" s="33"/>
      <c r="B21" s="27"/>
      <c r="C21" s="27"/>
      <c r="D21" s="27"/>
      <c r="E21" s="27"/>
      <c r="F21" s="34"/>
      <c r="G21" s="27"/>
      <c r="H21" s="27"/>
      <c r="I21" s="28" t="str">
        <f aca="false">IF(C21="","",IFERROR(INDEX(Settings!$C$8:$C$19,MATCH(C21,Settings!$B$8:$B$19,0)),"?"))</f>
        <v/>
      </c>
      <c r="J21" s="28" t="str">
        <f aca="false">IF(G21="","",IFERROR(INDEX(Settings!$C$8:$C$19,MATCH(G21,Settings!$B$8:$B$19,0)),"?"))</f>
        <v/>
      </c>
      <c r="K21" s="35" t="str">
        <f aca="false">IF(A21="","",DATE(YEAR(A21),MONTH(A21),1))</f>
        <v/>
      </c>
      <c r="L21" s="28" t="str">
        <f aca="false">IF(E21="","",IFERROR(INDEX(Settings!$K$8:$K$38,MATCH(E21,Settings!$H$8:$H$38,0))&amp;"",""))</f>
        <v/>
      </c>
    </row>
    <row r="22" customFormat="false" ht="15" hidden="false" customHeight="false" outlineLevel="0" collapsed="false">
      <c r="A22" s="33"/>
      <c r="B22" s="27"/>
      <c r="C22" s="27"/>
      <c r="D22" s="27"/>
      <c r="E22" s="27"/>
      <c r="F22" s="34"/>
      <c r="G22" s="27"/>
      <c r="H22" s="27"/>
      <c r="I22" s="28" t="str">
        <f aca="false">IF(C22="","",IFERROR(INDEX(Settings!$C$8:$C$19,MATCH(C22,Settings!$B$8:$B$19,0)),"?"))</f>
        <v/>
      </c>
      <c r="J22" s="28" t="str">
        <f aca="false">IF(G22="","",IFERROR(INDEX(Settings!$C$8:$C$19,MATCH(G22,Settings!$B$8:$B$19,0)),"?"))</f>
        <v/>
      </c>
      <c r="K22" s="35" t="str">
        <f aca="false">IF(A22="","",DATE(YEAR(A22),MONTH(A22),1))</f>
        <v/>
      </c>
      <c r="L22" s="28" t="str">
        <f aca="false">IF(E22="","",IFERROR(INDEX(Settings!$K$8:$K$38,MATCH(E22,Settings!$H$8:$H$38,0))&amp;"",""))</f>
        <v/>
      </c>
    </row>
    <row r="23" customFormat="false" ht="15" hidden="false" customHeight="false" outlineLevel="0" collapsed="false">
      <c r="A23" s="33"/>
      <c r="B23" s="27"/>
      <c r="C23" s="27"/>
      <c r="D23" s="27"/>
      <c r="E23" s="27"/>
      <c r="F23" s="34"/>
      <c r="G23" s="27"/>
      <c r="H23" s="27"/>
      <c r="I23" s="28" t="str">
        <f aca="false">IF(C23="","",IFERROR(INDEX(Settings!$C$8:$C$19,MATCH(C23,Settings!$B$8:$B$19,0)),"?"))</f>
        <v/>
      </c>
      <c r="J23" s="28" t="str">
        <f aca="false">IF(G23="","",IFERROR(INDEX(Settings!$C$8:$C$19,MATCH(G23,Settings!$B$8:$B$19,0)),"?"))</f>
        <v/>
      </c>
      <c r="K23" s="35" t="str">
        <f aca="false">IF(A23="","",DATE(YEAR(A23),MONTH(A23),1))</f>
        <v/>
      </c>
      <c r="L23" s="28" t="str">
        <f aca="false">IF(E23="","",IFERROR(INDEX(Settings!$K$8:$K$38,MATCH(E23,Settings!$H$8:$H$38,0))&amp;"",""))</f>
        <v/>
      </c>
    </row>
    <row r="24" customFormat="false" ht="15" hidden="false" customHeight="false" outlineLevel="0" collapsed="false">
      <c r="A24" s="33"/>
      <c r="B24" s="27"/>
      <c r="C24" s="27"/>
      <c r="D24" s="27"/>
      <c r="E24" s="27"/>
      <c r="F24" s="34"/>
      <c r="G24" s="27"/>
      <c r="H24" s="27"/>
      <c r="I24" s="28" t="str">
        <f aca="false">IF(C24="","",IFERROR(INDEX(Settings!$C$8:$C$19,MATCH(C24,Settings!$B$8:$B$19,0)),"?"))</f>
        <v/>
      </c>
      <c r="J24" s="28" t="str">
        <f aca="false">IF(G24="","",IFERROR(INDEX(Settings!$C$8:$C$19,MATCH(G24,Settings!$B$8:$B$19,0)),"?"))</f>
        <v/>
      </c>
      <c r="K24" s="35" t="str">
        <f aca="false">IF(A24="","",DATE(YEAR(A24),MONTH(A24),1))</f>
        <v/>
      </c>
      <c r="L24" s="28" t="str">
        <f aca="false">IF(E24="","",IFERROR(INDEX(Settings!$K$8:$K$38,MATCH(E24,Settings!$H$8:$H$38,0))&amp;"",""))</f>
        <v/>
      </c>
    </row>
    <row r="25" customFormat="false" ht="15" hidden="false" customHeight="false" outlineLevel="0" collapsed="false">
      <c r="A25" s="33"/>
      <c r="B25" s="27"/>
      <c r="C25" s="27"/>
      <c r="D25" s="27"/>
      <c r="E25" s="27"/>
      <c r="F25" s="34"/>
      <c r="G25" s="27"/>
      <c r="H25" s="27"/>
      <c r="I25" s="28" t="str">
        <f aca="false">IF(C25="","",IFERROR(INDEX(Settings!$C$8:$C$19,MATCH(C25,Settings!$B$8:$B$19,0)),"?"))</f>
        <v/>
      </c>
      <c r="J25" s="28" t="str">
        <f aca="false">IF(G25="","",IFERROR(INDEX(Settings!$C$8:$C$19,MATCH(G25,Settings!$B$8:$B$19,0)),"?"))</f>
        <v/>
      </c>
      <c r="K25" s="35" t="str">
        <f aca="false">IF(A25="","",DATE(YEAR(A25),MONTH(A25),1))</f>
        <v/>
      </c>
      <c r="L25" s="28" t="str">
        <f aca="false">IF(E25="","",IFERROR(INDEX(Settings!$K$8:$K$38,MATCH(E25,Settings!$H$8:$H$38,0))&amp;"",""))</f>
        <v/>
      </c>
    </row>
    <row r="26" customFormat="false" ht="15" hidden="false" customHeight="false" outlineLevel="0" collapsed="false">
      <c r="A26" s="33"/>
      <c r="B26" s="27"/>
      <c r="C26" s="27"/>
      <c r="D26" s="27"/>
      <c r="E26" s="27"/>
      <c r="F26" s="34"/>
      <c r="G26" s="27"/>
      <c r="H26" s="27"/>
      <c r="I26" s="28" t="str">
        <f aca="false">IF(C26="","",IFERROR(INDEX(Settings!$C$8:$C$19,MATCH(C26,Settings!$B$8:$B$19,0)),"?"))</f>
        <v/>
      </c>
      <c r="J26" s="28" t="str">
        <f aca="false">IF(G26="","",IFERROR(INDEX(Settings!$C$8:$C$19,MATCH(G26,Settings!$B$8:$B$19,0)),"?"))</f>
        <v/>
      </c>
      <c r="K26" s="35" t="str">
        <f aca="false">IF(A26="","",DATE(YEAR(A26),MONTH(A26),1))</f>
        <v/>
      </c>
      <c r="L26" s="28" t="str">
        <f aca="false">IF(E26="","",IFERROR(INDEX(Settings!$K$8:$K$38,MATCH(E26,Settings!$H$8:$H$38,0))&amp;"",""))</f>
        <v/>
      </c>
    </row>
    <row r="27" customFormat="false" ht="15" hidden="false" customHeight="false" outlineLevel="0" collapsed="false">
      <c r="A27" s="33"/>
      <c r="B27" s="27"/>
      <c r="C27" s="27"/>
      <c r="D27" s="27"/>
      <c r="E27" s="27"/>
      <c r="F27" s="34"/>
      <c r="G27" s="27"/>
      <c r="H27" s="27"/>
      <c r="I27" s="28" t="str">
        <f aca="false">IF(C27="","",IFERROR(INDEX(Settings!$C$8:$C$19,MATCH(C27,Settings!$B$8:$B$19,0)),"?"))</f>
        <v/>
      </c>
      <c r="J27" s="28" t="str">
        <f aca="false">IF(G27="","",IFERROR(INDEX(Settings!$C$8:$C$19,MATCH(G27,Settings!$B$8:$B$19,0)),"?"))</f>
        <v/>
      </c>
      <c r="K27" s="35" t="str">
        <f aca="false">IF(A27="","",DATE(YEAR(A27),MONTH(A27),1))</f>
        <v/>
      </c>
      <c r="L27" s="28" t="str">
        <f aca="false">IF(E27="","",IFERROR(INDEX(Settings!$K$8:$K$38,MATCH(E27,Settings!$H$8:$H$38,0))&amp;"",""))</f>
        <v/>
      </c>
    </row>
    <row r="28" customFormat="false" ht="15" hidden="false" customHeight="false" outlineLevel="0" collapsed="false">
      <c r="A28" s="33"/>
      <c r="B28" s="27"/>
      <c r="C28" s="27"/>
      <c r="D28" s="27"/>
      <c r="E28" s="27"/>
      <c r="F28" s="34"/>
      <c r="G28" s="27"/>
      <c r="H28" s="27"/>
      <c r="I28" s="28" t="str">
        <f aca="false">IF(C28="","",IFERROR(INDEX(Settings!$C$8:$C$19,MATCH(C28,Settings!$B$8:$B$19,0)),"?"))</f>
        <v/>
      </c>
      <c r="J28" s="28" t="str">
        <f aca="false">IF(G28="","",IFERROR(INDEX(Settings!$C$8:$C$19,MATCH(G28,Settings!$B$8:$B$19,0)),"?"))</f>
        <v/>
      </c>
      <c r="K28" s="35" t="str">
        <f aca="false">IF(A28="","",DATE(YEAR(A28),MONTH(A28),1))</f>
        <v/>
      </c>
      <c r="L28" s="28" t="str">
        <f aca="false">IF(E28="","",IFERROR(INDEX(Settings!$K$8:$K$38,MATCH(E28,Settings!$H$8:$H$38,0))&amp;"",""))</f>
        <v/>
      </c>
    </row>
    <row r="29" customFormat="false" ht="15" hidden="false" customHeight="false" outlineLevel="0" collapsed="false">
      <c r="A29" s="33"/>
      <c r="B29" s="27"/>
      <c r="C29" s="27"/>
      <c r="D29" s="27"/>
      <c r="E29" s="27"/>
      <c r="F29" s="34"/>
      <c r="G29" s="27"/>
      <c r="H29" s="27"/>
      <c r="I29" s="28" t="str">
        <f aca="false">IF(C29="","",IFERROR(INDEX(Settings!$C$8:$C$19,MATCH(C29,Settings!$B$8:$B$19,0)),"?"))</f>
        <v/>
      </c>
      <c r="J29" s="28" t="str">
        <f aca="false">IF(G29="","",IFERROR(INDEX(Settings!$C$8:$C$19,MATCH(G29,Settings!$B$8:$B$19,0)),"?"))</f>
        <v/>
      </c>
      <c r="K29" s="35" t="str">
        <f aca="false">IF(A29="","",DATE(YEAR(A29),MONTH(A29),1))</f>
        <v/>
      </c>
      <c r="L29" s="28" t="str">
        <f aca="false">IF(E29="","",IFERROR(INDEX(Settings!$K$8:$K$38,MATCH(E29,Settings!$H$8:$H$38,0))&amp;"",""))</f>
        <v/>
      </c>
    </row>
    <row r="30" customFormat="false" ht="15" hidden="false" customHeight="false" outlineLevel="0" collapsed="false">
      <c r="A30" s="33"/>
      <c r="B30" s="27"/>
      <c r="C30" s="27"/>
      <c r="D30" s="27"/>
      <c r="E30" s="27"/>
      <c r="F30" s="34"/>
      <c r="G30" s="27"/>
      <c r="H30" s="27"/>
      <c r="I30" s="28" t="str">
        <f aca="false">IF(C30="","",IFERROR(INDEX(Settings!$C$8:$C$19,MATCH(C30,Settings!$B$8:$B$19,0)),"?"))</f>
        <v/>
      </c>
      <c r="J30" s="28" t="str">
        <f aca="false">IF(G30="","",IFERROR(INDEX(Settings!$C$8:$C$19,MATCH(G30,Settings!$B$8:$B$19,0)),"?"))</f>
        <v/>
      </c>
      <c r="K30" s="35" t="str">
        <f aca="false">IF(A30="","",DATE(YEAR(A30),MONTH(A30),1))</f>
        <v/>
      </c>
      <c r="L30" s="28" t="str">
        <f aca="false">IF(E30="","",IFERROR(INDEX(Settings!$K$8:$K$38,MATCH(E30,Settings!$H$8:$H$38,0))&amp;"",""))</f>
        <v/>
      </c>
    </row>
    <row r="31" customFormat="false" ht="15" hidden="false" customHeight="false" outlineLevel="0" collapsed="false">
      <c r="A31" s="33"/>
      <c r="B31" s="27"/>
      <c r="C31" s="27"/>
      <c r="D31" s="27"/>
      <c r="E31" s="27"/>
      <c r="F31" s="34"/>
      <c r="G31" s="27"/>
      <c r="H31" s="27"/>
      <c r="I31" s="28" t="str">
        <f aca="false">IF(C31="","",IFERROR(INDEX(Settings!$C$8:$C$19,MATCH(C31,Settings!$B$8:$B$19,0)),"?"))</f>
        <v/>
      </c>
      <c r="J31" s="28" t="str">
        <f aca="false">IF(G31="","",IFERROR(INDEX(Settings!$C$8:$C$19,MATCH(G31,Settings!$B$8:$B$19,0)),"?"))</f>
        <v/>
      </c>
      <c r="K31" s="35" t="str">
        <f aca="false">IF(A31="","",DATE(YEAR(A31),MONTH(A31),1))</f>
        <v/>
      </c>
      <c r="L31" s="28" t="str">
        <f aca="false">IF(E31="","",IFERROR(INDEX(Settings!$K$8:$K$38,MATCH(E31,Settings!$H$8:$H$38,0))&amp;"",""))</f>
        <v/>
      </c>
    </row>
    <row r="32" customFormat="false" ht="15" hidden="false" customHeight="false" outlineLevel="0" collapsed="false">
      <c r="A32" s="33"/>
      <c r="B32" s="27"/>
      <c r="C32" s="27"/>
      <c r="D32" s="27"/>
      <c r="E32" s="27"/>
      <c r="F32" s="34"/>
      <c r="G32" s="27"/>
      <c r="H32" s="27"/>
      <c r="I32" s="28" t="str">
        <f aca="false">IF(C32="","",IFERROR(INDEX(Settings!$C$8:$C$19,MATCH(C32,Settings!$B$8:$B$19,0)),"?"))</f>
        <v/>
      </c>
      <c r="J32" s="28" t="str">
        <f aca="false">IF(G32="","",IFERROR(INDEX(Settings!$C$8:$C$19,MATCH(G32,Settings!$B$8:$B$19,0)),"?"))</f>
        <v/>
      </c>
      <c r="K32" s="35" t="str">
        <f aca="false">IF(A32="","",DATE(YEAR(A32),MONTH(A32),1))</f>
        <v/>
      </c>
      <c r="L32" s="28" t="str">
        <f aca="false">IF(E32="","",IFERROR(INDEX(Settings!$K$8:$K$38,MATCH(E32,Settings!$H$8:$H$38,0))&amp;"",""))</f>
        <v/>
      </c>
    </row>
    <row r="33" customFormat="false" ht="15" hidden="false" customHeight="false" outlineLevel="0" collapsed="false">
      <c r="A33" s="33"/>
      <c r="B33" s="27"/>
      <c r="C33" s="27"/>
      <c r="D33" s="27"/>
      <c r="E33" s="27"/>
      <c r="F33" s="34"/>
      <c r="G33" s="27"/>
      <c r="H33" s="27"/>
      <c r="I33" s="28" t="str">
        <f aca="false">IF(C33="","",IFERROR(INDEX(Settings!$C$8:$C$19,MATCH(C33,Settings!$B$8:$B$19,0)),"?"))</f>
        <v/>
      </c>
      <c r="J33" s="28" t="str">
        <f aca="false">IF(G33="","",IFERROR(INDEX(Settings!$C$8:$C$19,MATCH(G33,Settings!$B$8:$B$19,0)),"?"))</f>
        <v/>
      </c>
      <c r="K33" s="35" t="str">
        <f aca="false">IF(A33="","",DATE(YEAR(A33),MONTH(A33),1))</f>
        <v/>
      </c>
      <c r="L33" s="28" t="str">
        <f aca="false">IF(E33="","",IFERROR(INDEX(Settings!$K$8:$K$38,MATCH(E33,Settings!$H$8:$H$38,0))&amp;"",""))</f>
        <v/>
      </c>
    </row>
    <row r="34" customFormat="false" ht="15" hidden="false" customHeight="false" outlineLevel="0" collapsed="false">
      <c r="A34" s="33"/>
      <c r="B34" s="27"/>
      <c r="C34" s="27"/>
      <c r="D34" s="27"/>
      <c r="E34" s="27"/>
      <c r="F34" s="34"/>
      <c r="G34" s="27"/>
      <c r="H34" s="27"/>
      <c r="I34" s="28" t="str">
        <f aca="false">IF(C34="","",IFERROR(INDEX(Settings!$C$8:$C$19,MATCH(C34,Settings!$B$8:$B$19,0)),"?"))</f>
        <v/>
      </c>
      <c r="J34" s="28" t="str">
        <f aca="false">IF(G34="","",IFERROR(INDEX(Settings!$C$8:$C$19,MATCH(G34,Settings!$B$8:$B$19,0)),"?"))</f>
        <v/>
      </c>
      <c r="K34" s="35" t="str">
        <f aca="false">IF(A34="","",DATE(YEAR(A34),MONTH(A34),1))</f>
        <v/>
      </c>
      <c r="L34" s="28" t="str">
        <f aca="false">IF(E34="","",IFERROR(INDEX(Settings!$K$8:$K$38,MATCH(E34,Settings!$H$8:$H$38,0))&amp;"",""))</f>
        <v/>
      </c>
    </row>
    <row r="35" customFormat="false" ht="15" hidden="false" customHeight="false" outlineLevel="0" collapsed="false">
      <c r="A35" s="33"/>
      <c r="B35" s="27"/>
      <c r="C35" s="27"/>
      <c r="D35" s="27"/>
      <c r="E35" s="27"/>
      <c r="F35" s="34"/>
      <c r="G35" s="27"/>
      <c r="H35" s="27"/>
      <c r="I35" s="28" t="str">
        <f aca="false">IF(C35="","",IFERROR(INDEX(Settings!$C$8:$C$19,MATCH(C35,Settings!$B$8:$B$19,0)),"?"))</f>
        <v/>
      </c>
      <c r="J35" s="28" t="str">
        <f aca="false">IF(G35="","",IFERROR(INDEX(Settings!$C$8:$C$19,MATCH(G35,Settings!$B$8:$B$19,0)),"?"))</f>
        <v/>
      </c>
      <c r="K35" s="35" t="str">
        <f aca="false">IF(A35="","",DATE(YEAR(A35),MONTH(A35),1))</f>
        <v/>
      </c>
      <c r="L35" s="28" t="str">
        <f aca="false">IF(E35="","",IFERROR(INDEX(Settings!$K$8:$K$38,MATCH(E35,Settings!$H$8:$H$38,0))&amp;"",""))</f>
        <v/>
      </c>
    </row>
    <row r="36" customFormat="false" ht="15" hidden="false" customHeight="false" outlineLevel="0" collapsed="false">
      <c r="A36" s="33"/>
      <c r="B36" s="27"/>
      <c r="C36" s="27"/>
      <c r="D36" s="27"/>
      <c r="E36" s="27"/>
      <c r="F36" s="34"/>
      <c r="G36" s="27"/>
      <c r="H36" s="27"/>
      <c r="I36" s="28" t="str">
        <f aca="false">IF(C36="","",IFERROR(INDEX(Settings!$C$8:$C$19,MATCH(C36,Settings!$B$8:$B$19,0)),"?"))</f>
        <v/>
      </c>
      <c r="J36" s="28" t="str">
        <f aca="false">IF(G36="","",IFERROR(INDEX(Settings!$C$8:$C$19,MATCH(G36,Settings!$B$8:$B$19,0)),"?"))</f>
        <v/>
      </c>
      <c r="K36" s="35" t="str">
        <f aca="false">IF(A36="","",DATE(YEAR(A36),MONTH(A36),1))</f>
        <v/>
      </c>
      <c r="L36" s="28" t="str">
        <f aca="false">IF(E36="","",IFERROR(INDEX(Settings!$K$8:$K$38,MATCH(E36,Settings!$H$8:$H$38,0))&amp;"",""))</f>
        <v/>
      </c>
    </row>
    <row r="37" customFormat="false" ht="15" hidden="false" customHeight="false" outlineLevel="0" collapsed="false">
      <c r="A37" s="33"/>
      <c r="B37" s="27"/>
      <c r="C37" s="27"/>
      <c r="D37" s="27"/>
      <c r="E37" s="27"/>
      <c r="F37" s="34"/>
      <c r="G37" s="27"/>
      <c r="H37" s="27"/>
      <c r="I37" s="28" t="str">
        <f aca="false">IF(C37="","",IFERROR(INDEX(Settings!$C$8:$C$19,MATCH(C37,Settings!$B$8:$B$19,0)),"?"))</f>
        <v/>
      </c>
      <c r="J37" s="28" t="str">
        <f aca="false">IF(G37="","",IFERROR(INDEX(Settings!$C$8:$C$19,MATCH(G37,Settings!$B$8:$B$19,0)),"?"))</f>
        <v/>
      </c>
      <c r="K37" s="35" t="str">
        <f aca="false">IF(A37="","",DATE(YEAR(A37),MONTH(A37),1))</f>
        <v/>
      </c>
      <c r="L37" s="28" t="str">
        <f aca="false">IF(E37="","",IFERROR(INDEX(Settings!$K$8:$K$38,MATCH(E37,Settings!$H$8:$H$38,0))&amp;"",""))</f>
        <v/>
      </c>
    </row>
    <row r="38" customFormat="false" ht="15" hidden="false" customHeight="false" outlineLevel="0" collapsed="false">
      <c r="A38" s="33"/>
      <c r="B38" s="27"/>
      <c r="C38" s="27"/>
      <c r="D38" s="27"/>
      <c r="E38" s="27"/>
      <c r="F38" s="34"/>
      <c r="G38" s="27"/>
      <c r="H38" s="27"/>
      <c r="I38" s="28" t="str">
        <f aca="false">IF(C38="","",IFERROR(INDEX(Settings!$C$8:$C$19,MATCH(C38,Settings!$B$8:$B$19,0)),"?"))</f>
        <v/>
      </c>
      <c r="J38" s="28" t="str">
        <f aca="false">IF(G38="","",IFERROR(INDEX(Settings!$C$8:$C$19,MATCH(G38,Settings!$B$8:$B$19,0)),"?"))</f>
        <v/>
      </c>
      <c r="K38" s="35" t="str">
        <f aca="false">IF(A38="","",DATE(YEAR(A38),MONTH(A38),1))</f>
        <v/>
      </c>
      <c r="L38" s="28" t="str">
        <f aca="false">IF(E38="","",IFERROR(INDEX(Settings!$K$8:$K$38,MATCH(E38,Settings!$H$8:$H$38,0))&amp;"",""))</f>
        <v/>
      </c>
    </row>
    <row r="39" customFormat="false" ht="15" hidden="false" customHeight="false" outlineLevel="0" collapsed="false">
      <c r="A39" s="33"/>
      <c r="B39" s="27"/>
      <c r="C39" s="27"/>
      <c r="D39" s="27"/>
      <c r="E39" s="27"/>
      <c r="F39" s="34"/>
      <c r="G39" s="27"/>
      <c r="H39" s="27"/>
      <c r="I39" s="28" t="str">
        <f aca="false">IF(C39="","",IFERROR(INDEX(Settings!$C$8:$C$19,MATCH(C39,Settings!$B$8:$B$19,0)),"?"))</f>
        <v/>
      </c>
      <c r="J39" s="28" t="str">
        <f aca="false">IF(G39="","",IFERROR(INDEX(Settings!$C$8:$C$19,MATCH(G39,Settings!$B$8:$B$19,0)),"?"))</f>
        <v/>
      </c>
      <c r="K39" s="35" t="str">
        <f aca="false">IF(A39="","",DATE(YEAR(A39),MONTH(A39),1))</f>
        <v/>
      </c>
      <c r="L39" s="28" t="str">
        <f aca="false">IF(E39="","",IFERROR(INDEX(Settings!$K$8:$K$38,MATCH(E39,Settings!$H$8:$H$38,0))&amp;"",""))</f>
        <v/>
      </c>
    </row>
    <row r="40" customFormat="false" ht="15" hidden="false" customHeight="false" outlineLevel="0" collapsed="false">
      <c r="A40" s="33"/>
      <c r="B40" s="27"/>
      <c r="C40" s="27"/>
      <c r="D40" s="27"/>
      <c r="E40" s="27"/>
      <c r="F40" s="34"/>
      <c r="G40" s="27"/>
      <c r="H40" s="27"/>
      <c r="I40" s="28" t="str">
        <f aca="false">IF(C40="","",IFERROR(INDEX(Settings!$C$8:$C$19,MATCH(C40,Settings!$B$8:$B$19,0)),"?"))</f>
        <v/>
      </c>
      <c r="J40" s="28" t="str">
        <f aca="false">IF(G40="","",IFERROR(INDEX(Settings!$C$8:$C$19,MATCH(G40,Settings!$B$8:$B$19,0)),"?"))</f>
        <v/>
      </c>
      <c r="K40" s="35" t="str">
        <f aca="false">IF(A40="","",DATE(YEAR(A40),MONTH(A40),1))</f>
        <v/>
      </c>
      <c r="L40" s="28" t="str">
        <f aca="false">IF(E40="","",IFERROR(INDEX(Settings!$K$8:$K$38,MATCH(E40,Settings!$H$8:$H$38,0))&amp;"",""))</f>
        <v/>
      </c>
    </row>
    <row r="41" customFormat="false" ht="15" hidden="false" customHeight="false" outlineLevel="0" collapsed="false">
      <c r="A41" s="33"/>
      <c r="B41" s="27"/>
      <c r="C41" s="27"/>
      <c r="D41" s="27"/>
      <c r="E41" s="27"/>
      <c r="F41" s="34"/>
      <c r="G41" s="27"/>
      <c r="H41" s="27"/>
      <c r="I41" s="28" t="str">
        <f aca="false">IF(C41="","",IFERROR(INDEX(Settings!$C$8:$C$19,MATCH(C41,Settings!$B$8:$B$19,0)),"?"))</f>
        <v/>
      </c>
      <c r="J41" s="28" t="str">
        <f aca="false">IF(G41="","",IFERROR(INDEX(Settings!$C$8:$C$19,MATCH(G41,Settings!$B$8:$B$19,0)),"?"))</f>
        <v/>
      </c>
      <c r="K41" s="35" t="str">
        <f aca="false">IF(A41="","",DATE(YEAR(A41),MONTH(A41),1))</f>
        <v/>
      </c>
      <c r="L41" s="28" t="str">
        <f aca="false">IF(E41="","",IFERROR(INDEX(Settings!$K$8:$K$38,MATCH(E41,Settings!$H$8:$H$38,0))&amp;"",""))</f>
        <v/>
      </c>
    </row>
    <row r="42" customFormat="false" ht="15" hidden="false" customHeight="false" outlineLevel="0" collapsed="false">
      <c r="A42" s="33"/>
      <c r="B42" s="27"/>
      <c r="C42" s="27"/>
      <c r="D42" s="27"/>
      <c r="E42" s="27"/>
      <c r="F42" s="34"/>
      <c r="G42" s="27"/>
      <c r="H42" s="27"/>
      <c r="I42" s="28" t="str">
        <f aca="false">IF(C42="","",IFERROR(INDEX(Settings!$C$8:$C$19,MATCH(C42,Settings!$B$8:$B$19,0)),"?"))</f>
        <v/>
      </c>
      <c r="J42" s="28" t="str">
        <f aca="false">IF(G42="","",IFERROR(INDEX(Settings!$C$8:$C$19,MATCH(G42,Settings!$B$8:$B$19,0)),"?"))</f>
        <v/>
      </c>
      <c r="K42" s="35" t="str">
        <f aca="false">IF(A42="","",DATE(YEAR(A42),MONTH(A42),1))</f>
        <v/>
      </c>
      <c r="L42" s="28" t="str">
        <f aca="false">IF(E42="","",IFERROR(INDEX(Settings!$K$8:$K$38,MATCH(E42,Settings!$H$8:$H$38,0))&amp;"",""))</f>
        <v/>
      </c>
    </row>
    <row r="43" customFormat="false" ht="15" hidden="false" customHeight="false" outlineLevel="0" collapsed="false">
      <c r="A43" s="33"/>
      <c r="B43" s="27"/>
      <c r="C43" s="27"/>
      <c r="D43" s="27"/>
      <c r="E43" s="27"/>
      <c r="F43" s="34"/>
      <c r="G43" s="27"/>
      <c r="H43" s="27"/>
      <c r="I43" s="28" t="str">
        <f aca="false">IF(C43="","",IFERROR(INDEX(Settings!$C$8:$C$19,MATCH(C43,Settings!$B$8:$B$19,0)),"?"))</f>
        <v/>
      </c>
      <c r="J43" s="28" t="str">
        <f aca="false">IF(G43="","",IFERROR(INDEX(Settings!$C$8:$C$19,MATCH(G43,Settings!$B$8:$B$19,0)),"?"))</f>
        <v/>
      </c>
      <c r="K43" s="35" t="str">
        <f aca="false">IF(A43="","",DATE(YEAR(A43),MONTH(A43),1))</f>
        <v/>
      </c>
      <c r="L43" s="28" t="str">
        <f aca="false">IF(E43="","",IFERROR(INDEX(Settings!$K$8:$K$38,MATCH(E43,Settings!$H$8:$H$38,0))&amp;"",""))</f>
        <v/>
      </c>
    </row>
    <row r="44" customFormat="false" ht="15" hidden="false" customHeight="false" outlineLevel="0" collapsed="false">
      <c r="A44" s="33"/>
      <c r="B44" s="27"/>
      <c r="C44" s="27"/>
      <c r="D44" s="27"/>
      <c r="E44" s="27"/>
      <c r="F44" s="34"/>
      <c r="G44" s="27"/>
      <c r="H44" s="27"/>
      <c r="I44" s="28" t="str">
        <f aca="false">IF(C44="","",IFERROR(INDEX(Settings!$C$8:$C$19,MATCH(C44,Settings!$B$8:$B$19,0)),"?"))</f>
        <v/>
      </c>
      <c r="J44" s="28" t="str">
        <f aca="false">IF(G44="","",IFERROR(INDEX(Settings!$C$8:$C$19,MATCH(G44,Settings!$B$8:$B$19,0)),"?"))</f>
        <v/>
      </c>
      <c r="K44" s="35" t="str">
        <f aca="false">IF(A44="","",DATE(YEAR(A44),MONTH(A44),1))</f>
        <v/>
      </c>
      <c r="L44" s="28" t="str">
        <f aca="false">IF(E44="","",IFERROR(INDEX(Settings!$K$8:$K$38,MATCH(E44,Settings!$H$8:$H$38,0))&amp;"",""))</f>
        <v/>
      </c>
    </row>
    <row r="45" customFormat="false" ht="15" hidden="false" customHeight="false" outlineLevel="0" collapsed="false">
      <c r="A45" s="33"/>
      <c r="B45" s="27"/>
      <c r="C45" s="27"/>
      <c r="D45" s="27"/>
      <c r="E45" s="27"/>
      <c r="F45" s="34"/>
      <c r="G45" s="27"/>
      <c r="H45" s="27"/>
      <c r="I45" s="28" t="str">
        <f aca="false">IF(C45="","",IFERROR(INDEX(Settings!$C$8:$C$19,MATCH(C45,Settings!$B$8:$B$19,0)),"?"))</f>
        <v/>
      </c>
      <c r="J45" s="28" t="str">
        <f aca="false">IF(G45="","",IFERROR(INDEX(Settings!$C$8:$C$19,MATCH(G45,Settings!$B$8:$B$19,0)),"?"))</f>
        <v/>
      </c>
      <c r="K45" s="35" t="str">
        <f aca="false">IF(A45="","",DATE(YEAR(A45),MONTH(A45),1))</f>
        <v/>
      </c>
      <c r="L45" s="28" t="str">
        <f aca="false">IF(E45="","",IFERROR(INDEX(Settings!$K$8:$K$38,MATCH(E45,Settings!$H$8:$H$38,0))&amp;"",""))</f>
        <v/>
      </c>
    </row>
    <row r="46" customFormat="false" ht="15" hidden="false" customHeight="false" outlineLevel="0" collapsed="false">
      <c r="A46" s="33"/>
      <c r="B46" s="27"/>
      <c r="C46" s="27"/>
      <c r="D46" s="27"/>
      <c r="E46" s="27"/>
      <c r="F46" s="34"/>
      <c r="G46" s="27"/>
      <c r="H46" s="27"/>
      <c r="I46" s="28" t="str">
        <f aca="false">IF(C46="","",IFERROR(INDEX(Settings!$C$8:$C$19,MATCH(C46,Settings!$B$8:$B$19,0)),"?"))</f>
        <v/>
      </c>
      <c r="J46" s="28" t="str">
        <f aca="false">IF(G46="","",IFERROR(INDEX(Settings!$C$8:$C$19,MATCH(G46,Settings!$B$8:$B$19,0)),"?"))</f>
        <v/>
      </c>
      <c r="K46" s="35" t="str">
        <f aca="false">IF(A46="","",DATE(YEAR(A46),MONTH(A46),1))</f>
        <v/>
      </c>
      <c r="L46" s="28" t="str">
        <f aca="false">IF(E46="","",IFERROR(INDEX(Settings!$K$8:$K$38,MATCH(E46,Settings!$H$8:$H$38,0))&amp;"",""))</f>
        <v/>
      </c>
    </row>
    <row r="47" customFormat="false" ht="15" hidden="false" customHeight="false" outlineLevel="0" collapsed="false">
      <c r="A47" s="33"/>
      <c r="B47" s="27"/>
      <c r="C47" s="27"/>
      <c r="D47" s="27"/>
      <c r="E47" s="27"/>
      <c r="F47" s="34"/>
      <c r="G47" s="27"/>
      <c r="H47" s="27"/>
      <c r="I47" s="28" t="str">
        <f aca="false">IF(C47="","",IFERROR(INDEX(Settings!$C$8:$C$19,MATCH(C47,Settings!$B$8:$B$19,0)),"?"))</f>
        <v/>
      </c>
      <c r="J47" s="28" t="str">
        <f aca="false">IF(G47="","",IFERROR(INDEX(Settings!$C$8:$C$19,MATCH(G47,Settings!$B$8:$B$19,0)),"?"))</f>
        <v/>
      </c>
      <c r="K47" s="35" t="str">
        <f aca="false">IF(A47="","",DATE(YEAR(A47),MONTH(A47),1))</f>
        <v/>
      </c>
      <c r="L47" s="28" t="str">
        <f aca="false">IF(E47="","",IFERROR(INDEX(Settings!$K$8:$K$38,MATCH(E47,Settings!$H$8:$H$38,0))&amp;"",""))</f>
        <v/>
      </c>
    </row>
    <row r="48" customFormat="false" ht="15" hidden="false" customHeight="false" outlineLevel="0" collapsed="false">
      <c r="A48" s="33"/>
      <c r="B48" s="27"/>
      <c r="C48" s="27"/>
      <c r="D48" s="27"/>
      <c r="E48" s="27"/>
      <c r="F48" s="34"/>
      <c r="G48" s="27"/>
      <c r="H48" s="27"/>
      <c r="I48" s="28" t="str">
        <f aca="false">IF(C48="","",IFERROR(INDEX(Settings!$C$8:$C$19,MATCH(C48,Settings!$B$8:$B$19,0)),"?"))</f>
        <v/>
      </c>
      <c r="J48" s="28" t="str">
        <f aca="false">IF(G48="","",IFERROR(INDEX(Settings!$C$8:$C$19,MATCH(G48,Settings!$B$8:$B$19,0)),"?"))</f>
        <v/>
      </c>
      <c r="K48" s="35" t="str">
        <f aca="false">IF(A48="","",DATE(YEAR(A48),MONTH(A48),1))</f>
        <v/>
      </c>
      <c r="L48" s="28" t="str">
        <f aca="false">IF(E48="","",IFERROR(INDEX(Settings!$K$8:$K$38,MATCH(E48,Settings!$H$8:$H$38,0))&amp;"",""))</f>
        <v/>
      </c>
    </row>
    <row r="49" customFormat="false" ht="15" hidden="false" customHeight="false" outlineLevel="0" collapsed="false">
      <c r="A49" s="33"/>
      <c r="B49" s="27"/>
      <c r="C49" s="27"/>
      <c r="D49" s="27"/>
      <c r="E49" s="27"/>
      <c r="F49" s="34"/>
      <c r="G49" s="27"/>
      <c r="H49" s="27"/>
      <c r="I49" s="28" t="str">
        <f aca="false">IF(C49="","",IFERROR(INDEX(Settings!$C$8:$C$19,MATCH(C49,Settings!$B$8:$B$19,0)),"?"))</f>
        <v/>
      </c>
      <c r="J49" s="28" t="str">
        <f aca="false">IF(G49="","",IFERROR(INDEX(Settings!$C$8:$C$19,MATCH(G49,Settings!$B$8:$B$19,0)),"?"))</f>
        <v/>
      </c>
      <c r="K49" s="35" t="str">
        <f aca="false">IF(A49="","",DATE(YEAR(A49),MONTH(A49),1))</f>
        <v/>
      </c>
      <c r="L49" s="28" t="str">
        <f aca="false">IF(E49="","",IFERROR(INDEX(Settings!$K$8:$K$38,MATCH(E49,Settings!$H$8:$H$38,0))&amp;"",""))</f>
        <v/>
      </c>
    </row>
    <row r="50" customFormat="false" ht="15" hidden="false" customHeight="false" outlineLevel="0" collapsed="false">
      <c r="A50" s="33"/>
      <c r="B50" s="27"/>
      <c r="C50" s="27"/>
      <c r="D50" s="27"/>
      <c r="E50" s="27"/>
      <c r="F50" s="34"/>
      <c r="G50" s="27"/>
      <c r="H50" s="27"/>
      <c r="I50" s="28" t="str">
        <f aca="false">IF(C50="","",IFERROR(INDEX(Settings!$C$8:$C$19,MATCH(C50,Settings!$B$8:$B$19,0)),"?"))</f>
        <v/>
      </c>
      <c r="J50" s="28" t="str">
        <f aca="false">IF(G50="","",IFERROR(INDEX(Settings!$C$8:$C$19,MATCH(G50,Settings!$B$8:$B$19,0)),"?"))</f>
        <v/>
      </c>
      <c r="K50" s="35" t="str">
        <f aca="false">IF(A50="","",DATE(YEAR(A50),MONTH(A50),1))</f>
        <v/>
      </c>
      <c r="L50" s="28" t="str">
        <f aca="false">IF(E50="","",IFERROR(INDEX(Settings!$K$8:$K$38,MATCH(E50,Settings!$H$8:$H$38,0))&amp;"",""))</f>
        <v/>
      </c>
    </row>
    <row r="51" customFormat="false" ht="15" hidden="false" customHeight="false" outlineLevel="0" collapsed="false">
      <c r="A51" s="33"/>
      <c r="B51" s="27"/>
      <c r="C51" s="27"/>
      <c r="D51" s="27"/>
      <c r="E51" s="27"/>
      <c r="F51" s="34"/>
      <c r="G51" s="27"/>
      <c r="H51" s="27"/>
      <c r="I51" s="28" t="str">
        <f aca="false">IF(C51="","",IFERROR(INDEX(Settings!$C$8:$C$19,MATCH(C51,Settings!$B$8:$B$19,0)),"?"))</f>
        <v/>
      </c>
      <c r="J51" s="28" t="str">
        <f aca="false">IF(G51="","",IFERROR(INDEX(Settings!$C$8:$C$19,MATCH(G51,Settings!$B$8:$B$19,0)),"?"))</f>
        <v/>
      </c>
      <c r="K51" s="35" t="str">
        <f aca="false">IF(A51="","",DATE(YEAR(A51),MONTH(A51),1))</f>
        <v/>
      </c>
      <c r="L51" s="28" t="str">
        <f aca="false">IF(E51="","",IFERROR(INDEX(Settings!$K$8:$K$38,MATCH(E51,Settings!$H$8:$H$38,0))&amp;"",""))</f>
        <v/>
      </c>
    </row>
    <row r="52" customFormat="false" ht="15" hidden="false" customHeight="false" outlineLevel="0" collapsed="false">
      <c r="A52" s="33"/>
      <c r="B52" s="27"/>
      <c r="C52" s="27"/>
      <c r="D52" s="27"/>
      <c r="E52" s="27"/>
      <c r="F52" s="34"/>
      <c r="G52" s="27"/>
      <c r="H52" s="27"/>
      <c r="I52" s="28" t="str">
        <f aca="false">IF(C52="","",IFERROR(INDEX(Settings!$C$8:$C$19,MATCH(C52,Settings!$B$8:$B$19,0)),"?"))</f>
        <v/>
      </c>
      <c r="J52" s="28" t="str">
        <f aca="false">IF(G52="","",IFERROR(INDEX(Settings!$C$8:$C$19,MATCH(G52,Settings!$B$8:$B$19,0)),"?"))</f>
        <v/>
      </c>
      <c r="K52" s="35" t="str">
        <f aca="false">IF(A52="","",DATE(YEAR(A52),MONTH(A52),1))</f>
        <v/>
      </c>
      <c r="L52" s="28" t="str">
        <f aca="false">IF(E52="","",IFERROR(INDEX(Settings!$K$8:$K$38,MATCH(E52,Settings!$H$8:$H$38,0))&amp;"",""))</f>
        <v/>
      </c>
    </row>
    <row r="53" customFormat="false" ht="15" hidden="false" customHeight="false" outlineLevel="0" collapsed="false">
      <c r="A53" s="33"/>
      <c r="B53" s="27"/>
      <c r="C53" s="27"/>
      <c r="D53" s="27"/>
      <c r="E53" s="27"/>
      <c r="F53" s="34"/>
      <c r="G53" s="27"/>
      <c r="H53" s="27"/>
      <c r="I53" s="28" t="str">
        <f aca="false">IF(C53="","",IFERROR(INDEX(Settings!$C$8:$C$19,MATCH(C53,Settings!$B$8:$B$19,0)),"?"))</f>
        <v/>
      </c>
      <c r="J53" s="28" t="str">
        <f aca="false">IF(G53="","",IFERROR(INDEX(Settings!$C$8:$C$19,MATCH(G53,Settings!$B$8:$B$19,0)),"?"))</f>
        <v/>
      </c>
      <c r="K53" s="35" t="str">
        <f aca="false">IF(A53="","",DATE(YEAR(A53),MONTH(A53),1))</f>
        <v/>
      </c>
      <c r="L53" s="28" t="str">
        <f aca="false">IF(E53="","",IFERROR(INDEX(Settings!$K$8:$K$38,MATCH(E53,Settings!$H$8:$H$38,0))&amp;"",""))</f>
        <v/>
      </c>
    </row>
    <row r="54" customFormat="false" ht="15" hidden="false" customHeight="false" outlineLevel="0" collapsed="false">
      <c r="A54" s="33"/>
      <c r="B54" s="27"/>
      <c r="C54" s="27"/>
      <c r="D54" s="27"/>
      <c r="E54" s="27"/>
      <c r="F54" s="34"/>
      <c r="G54" s="27"/>
      <c r="H54" s="27"/>
      <c r="I54" s="28" t="str">
        <f aca="false">IF(C54="","",IFERROR(INDEX(Settings!$C$8:$C$19,MATCH(C54,Settings!$B$8:$B$19,0)),"?"))</f>
        <v/>
      </c>
      <c r="J54" s="28" t="str">
        <f aca="false">IF(G54="","",IFERROR(INDEX(Settings!$C$8:$C$19,MATCH(G54,Settings!$B$8:$B$19,0)),"?"))</f>
        <v/>
      </c>
      <c r="K54" s="35" t="str">
        <f aca="false">IF(A54="","",DATE(YEAR(A54),MONTH(A54),1))</f>
        <v/>
      </c>
      <c r="L54" s="28" t="str">
        <f aca="false">IF(E54="","",IFERROR(INDEX(Settings!$K$8:$K$38,MATCH(E54,Settings!$H$8:$H$38,0))&amp;"",""))</f>
        <v/>
      </c>
    </row>
    <row r="55" customFormat="false" ht="15" hidden="false" customHeight="false" outlineLevel="0" collapsed="false">
      <c r="A55" s="33"/>
      <c r="B55" s="27"/>
      <c r="C55" s="27"/>
      <c r="D55" s="27"/>
      <c r="E55" s="27"/>
      <c r="F55" s="34"/>
      <c r="G55" s="27"/>
      <c r="H55" s="27"/>
      <c r="I55" s="28" t="str">
        <f aca="false">IF(C55="","",IFERROR(INDEX(Settings!$C$8:$C$19,MATCH(C55,Settings!$B$8:$B$19,0)),"?"))</f>
        <v/>
      </c>
      <c r="J55" s="28" t="str">
        <f aca="false">IF(G55="","",IFERROR(INDEX(Settings!$C$8:$C$19,MATCH(G55,Settings!$B$8:$B$19,0)),"?"))</f>
        <v/>
      </c>
      <c r="K55" s="35" t="str">
        <f aca="false">IF(A55="","",DATE(YEAR(A55),MONTH(A55),1))</f>
        <v/>
      </c>
      <c r="L55" s="28" t="str">
        <f aca="false">IF(E55="","",IFERROR(INDEX(Settings!$K$8:$K$38,MATCH(E55,Settings!$H$8:$H$38,0))&amp;"",""))</f>
        <v/>
      </c>
    </row>
    <row r="56" customFormat="false" ht="15" hidden="false" customHeight="false" outlineLevel="0" collapsed="false">
      <c r="A56" s="33"/>
      <c r="B56" s="27"/>
      <c r="C56" s="27"/>
      <c r="D56" s="27"/>
      <c r="E56" s="27"/>
      <c r="F56" s="34"/>
      <c r="G56" s="27"/>
      <c r="H56" s="27"/>
      <c r="I56" s="28" t="str">
        <f aca="false">IF(C56="","",IFERROR(INDEX(Settings!$C$8:$C$19,MATCH(C56,Settings!$B$8:$B$19,0)),"?"))</f>
        <v/>
      </c>
      <c r="J56" s="28" t="str">
        <f aca="false">IF(G56="","",IFERROR(INDEX(Settings!$C$8:$C$19,MATCH(G56,Settings!$B$8:$B$19,0)),"?"))</f>
        <v/>
      </c>
      <c r="K56" s="35" t="str">
        <f aca="false">IF(A56="","",DATE(YEAR(A56),MONTH(A56),1))</f>
        <v/>
      </c>
      <c r="L56" s="28" t="str">
        <f aca="false">IF(E56="","",IFERROR(INDEX(Settings!$K$8:$K$38,MATCH(E56,Settings!$H$8:$H$38,0))&amp;"",""))</f>
        <v/>
      </c>
    </row>
    <row r="57" customFormat="false" ht="15" hidden="false" customHeight="false" outlineLevel="0" collapsed="false">
      <c r="A57" s="33"/>
      <c r="B57" s="27"/>
      <c r="C57" s="27"/>
      <c r="D57" s="27"/>
      <c r="E57" s="27"/>
      <c r="F57" s="34"/>
      <c r="G57" s="27"/>
      <c r="H57" s="27"/>
      <c r="I57" s="28" t="str">
        <f aca="false">IF(C57="","",IFERROR(INDEX(Settings!$C$8:$C$19,MATCH(C57,Settings!$B$8:$B$19,0)),"?"))</f>
        <v/>
      </c>
      <c r="J57" s="28" t="str">
        <f aca="false">IF(G57="","",IFERROR(INDEX(Settings!$C$8:$C$19,MATCH(G57,Settings!$B$8:$B$19,0)),"?"))</f>
        <v/>
      </c>
      <c r="K57" s="35" t="str">
        <f aca="false">IF(A57="","",DATE(YEAR(A57),MONTH(A57),1))</f>
        <v/>
      </c>
      <c r="L57" s="28" t="str">
        <f aca="false">IF(E57="","",IFERROR(INDEX(Settings!$K$8:$K$38,MATCH(E57,Settings!$H$8:$H$38,0))&amp;"",""))</f>
        <v/>
      </c>
    </row>
    <row r="58" customFormat="false" ht="15" hidden="false" customHeight="false" outlineLevel="0" collapsed="false">
      <c r="A58" s="33"/>
      <c r="B58" s="27"/>
      <c r="C58" s="27"/>
      <c r="D58" s="27"/>
      <c r="E58" s="27"/>
      <c r="F58" s="34"/>
      <c r="G58" s="27"/>
      <c r="H58" s="27"/>
      <c r="I58" s="28" t="str">
        <f aca="false">IF(C58="","",IFERROR(INDEX(Settings!$C$8:$C$19,MATCH(C58,Settings!$B$8:$B$19,0)),"?"))</f>
        <v/>
      </c>
      <c r="J58" s="28" t="str">
        <f aca="false">IF(G58="","",IFERROR(INDEX(Settings!$C$8:$C$19,MATCH(G58,Settings!$B$8:$B$19,0)),"?"))</f>
        <v/>
      </c>
      <c r="K58" s="35" t="str">
        <f aca="false">IF(A58="","",DATE(YEAR(A58),MONTH(A58),1))</f>
        <v/>
      </c>
      <c r="L58" s="28" t="str">
        <f aca="false">IF(E58="","",IFERROR(INDEX(Settings!$K$8:$K$38,MATCH(E58,Settings!$H$8:$H$38,0))&amp;"",""))</f>
        <v/>
      </c>
    </row>
    <row r="59" customFormat="false" ht="15" hidden="false" customHeight="false" outlineLevel="0" collapsed="false">
      <c r="A59" s="33"/>
      <c r="B59" s="27"/>
      <c r="C59" s="27"/>
      <c r="D59" s="27"/>
      <c r="E59" s="27"/>
      <c r="F59" s="34"/>
      <c r="G59" s="27"/>
      <c r="H59" s="27"/>
      <c r="I59" s="28" t="str">
        <f aca="false">IF(C59="","",IFERROR(INDEX(Settings!$C$8:$C$19,MATCH(C59,Settings!$B$8:$B$19,0)),"?"))</f>
        <v/>
      </c>
      <c r="J59" s="28" t="str">
        <f aca="false">IF(G59="","",IFERROR(INDEX(Settings!$C$8:$C$19,MATCH(G59,Settings!$B$8:$B$19,0)),"?"))</f>
        <v/>
      </c>
      <c r="K59" s="35" t="str">
        <f aca="false">IF(A59="","",DATE(YEAR(A59),MONTH(A59),1))</f>
        <v/>
      </c>
      <c r="L59" s="28" t="str">
        <f aca="false">IF(E59="","",IFERROR(INDEX(Settings!$K$8:$K$38,MATCH(E59,Settings!$H$8:$H$38,0))&amp;"",""))</f>
        <v/>
      </c>
    </row>
    <row r="60" customFormat="false" ht="15" hidden="false" customHeight="false" outlineLevel="0" collapsed="false">
      <c r="A60" s="33"/>
      <c r="B60" s="27"/>
      <c r="C60" s="27"/>
      <c r="D60" s="27"/>
      <c r="E60" s="27"/>
      <c r="F60" s="34"/>
      <c r="G60" s="27"/>
      <c r="H60" s="27"/>
      <c r="I60" s="28" t="str">
        <f aca="false">IF(C60="","",IFERROR(INDEX(Settings!$C$8:$C$19,MATCH(C60,Settings!$B$8:$B$19,0)),"?"))</f>
        <v/>
      </c>
      <c r="J60" s="28" t="str">
        <f aca="false">IF(G60="","",IFERROR(INDEX(Settings!$C$8:$C$19,MATCH(G60,Settings!$B$8:$B$19,0)),"?"))</f>
        <v/>
      </c>
      <c r="K60" s="35" t="str">
        <f aca="false">IF(A60="","",DATE(YEAR(A60),MONTH(A60),1))</f>
        <v/>
      </c>
      <c r="L60" s="28" t="str">
        <f aca="false">IF(E60="","",IFERROR(INDEX(Settings!$K$8:$K$38,MATCH(E60,Settings!$H$8:$H$38,0))&amp;"",""))</f>
        <v/>
      </c>
    </row>
    <row r="61" customFormat="false" ht="15" hidden="false" customHeight="false" outlineLevel="0" collapsed="false">
      <c r="A61" s="33"/>
      <c r="B61" s="27"/>
      <c r="C61" s="27"/>
      <c r="D61" s="27"/>
      <c r="E61" s="27"/>
      <c r="F61" s="34"/>
      <c r="G61" s="27"/>
      <c r="H61" s="27"/>
      <c r="I61" s="28" t="str">
        <f aca="false">IF(C61="","",IFERROR(INDEX(Settings!$C$8:$C$19,MATCH(C61,Settings!$B$8:$B$19,0)),"?"))</f>
        <v/>
      </c>
      <c r="J61" s="28" t="str">
        <f aca="false">IF(G61="","",IFERROR(INDEX(Settings!$C$8:$C$19,MATCH(G61,Settings!$B$8:$B$19,0)),"?"))</f>
        <v/>
      </c>
      <c r="K61" s="35" t="str">
        <f aca="false">IF(A61="","",DATE(YEAR(A61),MONTH(A61),1))</f>
        <v/>
      </c>
      <c r="L61" s="28" t="str">
        <f aca="false">IF(E61="","",IFERROR(INDEX(Settings!$K$8:$K$38,MATCH(E61,Settings!$H$8:$H$38,0))&amp;"",""))</f>
        <v/>
      </c>
    </row>
    <row r="62" customFormat="false" ht="15" hidden="false" customHeight="false" outlineLevel="0" collapsed="false">
      <c r="A62" s="33"/>
      <c r="B62" s="27"/>
      <c r="C62" s="27"/>
      <c r="D62" s="27"/>
      <c r="E62" s="27"/>
      <c r="F62" s="34"/>
      <c r="G62" s="27"/>
      <c r="H62" s="27"/>
      <c r="I62" s="28" t="str">
        <f aca="false">IF(C62="","",IFERROR(INDEX(Settings!$C$8:$C$19,MATCH(C62,Settings!$B$8:$B$19,0)),"?"))</f>
        <v/>
      </c>
      <c r="J62" s="28" t="str">
        <f aca="false">IF(G62="","",IFERROR(INDEX(Settings!$C$8:$C$19,MATCH(G62,Settings!$B$8:$B$19,0)),"?"))</f>
        <v/>
      </c>
      <c r="K62" s="35" t="str">
        <f aca="false">IF(A62="","",DATE(YEAR(A62),MONTH(A62),1))</f>
        <v/>
      </c>
      <c r="L62" s="28" t="str">
        <f aca="false">IF(E62="","",IFERROR(INDEX(Settings!$K$8:$K$38,MATCH(E62,Settings!$H$8:$H$38,0))&amp;"",""))</f>
        <v/>
      </c>
    </row>
    <row r="63" customFormat="false" ht="15" hidden="false" customHeight="false" outlineLevel="0" collapsed="false">
      <c r="A63" s="33"/>
      <c r="B63" s="27"/>
      <c r="C63" s="27"/>
      <c r="D63" s="27"/>
      <c r="E63" s="27"/>
      <c r="F63" s="34"/>
      <c r="G63" s="27"/>
      <c r="H63" s="27"/>
      <c r="I63" s="28" t="str">
        <f aca="false">IF(C63="","",IFERROR(INDEX(Settings!$C$8:$C$19,MATCH(C63,Settings!$B$8:$B$19,0)),"?"))</f>
        <v/>
      </c>
      <c r="J63" s="28" t="str">
        <f aca="false">IF(G63="","",IFERROR(INDEX(Settings!$C$8:$C$19,MATCH(G63,Settings!$B$8:$B$19,0)),"?"))</f>
        <v/>
      </c>
      <c r="K63" s="35" t="str">
        <f aca="false">IF(A63="","",DATE(YEAR(A63),MONTH(A63),1))</f>
        <v/>
      </c>
      <c r="L63" s="28" t="str">
        <f aca="false">IF(E63="","",IFERROR(INDEX(Settings!$K$8:$K$38,MATCH(E63,Settings!$H$8:$H$38,0))&amp;"",""))</f>
        <v/>
      </c>
    </row>
    <row r="64" customFormat="false" ht="15" hidden="false" customHeight="false" outlineLevel="0" collapsed="false">
      <c r="A64" s="33"/>
      <c r="B64" s="27"/>
      <c r="C64" s="27"/>
      <c r="D64" s="27"/>
      <c r="E64" s="27"/>
      <c r="F64" s="34"/>
      <c r="G64" s="27"/>
      <c r="H64" s="27"/>
      <c r="I64" s="28" t="str">
        <f aca="false">IF(C64="","",IFERROR(INDEX(Settings!$C$8:$C$19,MATCH(C64,Settings!$B$8:$B$19,0)),"?"))</f>
        <v/>
      </c>
      <c r="J64" s="28" t="str">
        <f aca="false">IF(G64="","",IFERROR(INDEX(Settings!$C$8:$C$19,MATCH(G64,Settings!$B$8:$B$19,0)),"?"))</f>
        <v/>
      </c>
      <c r="K64" s="35" t="str">
        <f aca="false">IF(A64="","",DATE(YEAR(A64),MONTH(A64),1))</f>
        <v/>
      </c>
      <c r="L64" s="28" t="str">
        <f aca="false">IF(E64="","",IFERROR(INDEX(Settings!$K$8:$K$38,MATCH(E64,Settings!$H$8:$H$38,0))&amp;"",""))</f>
        <v/>
      </c>
    </row>
    <row r="65" customFormat="false" ht="15" hidden="false" customHeight="false" outlineLevel="0" collapsed="false">
      <c r="A65" s="33"/>
      <c r="B65" s="27"/>
      <c r="C65" s="27"/>
      <c r="D65" s="27"/>
      <c r="E65" s="27"/>
      <c r="F65" s="34"/>
      <c r="G65" s="27"/>
      <c r="H65" s="27"/>
      <c r="I65" s="28" t="str">
        <f aca="false">IF(C65="","",IFERROR(INDEX(Settings!$C$8:$C$19,MATCH(C65,Settings!$B$8:$B$19,0)),"?"))</f>
        <v/>
      </c>
      <c r="J65" s="28" t="str">
        <f aca="false">IF(G65="","",IFERROR(INDEX(Settings!$C$8:$C$19,MATCH(G65,Settings!$B$8:$B$19,0)),"?"))</f>
        <v/>
      </c>
      <c r="K65" s="35" t="str">
        <f aca="false">IF(A65="","",DATE(YEAR(A65),MONTH(A65),1))</f>
        <v/>
      </c>
      <c r="L65" s="28" t="str">
        <f aca="false">IF(E65="","",IFERROR(INDEX(Settings!$K$8:$K$38,MATCH(E65,Settings!$H$8:$H$38,0))&amp;"",""))</f>
        <v/>
      </c>
    </row>
    <row r="66" customFormat="false" ht="15" hidden="false" customHeight="false" outlineLevel="0" collapsed="false">
      <c r="A66" s="33"/>
      <c r="B66" s="27"/>
      <c r="C66" s="27"/>
      <c r="D66" s="27"/>
      <c r="E66" s="27"/>
      <c r="F66" s="34"/>
      <c r="G66" s="27"/>
      <c r="H66" s="27"/>
      <c r="I66" s="28" t="str">
        <f aca="false">IF(C66="","",IFERROR(INDEX(Settings!$C$8:$C$19,MATCH(C66,Settings!$B$8:$B$19,0)),"?"))</f>
        <v/>
      </c>
      <c r="J66" s="28" t="str">
        <f aca="false">IF(G66="","",IFERROR(INDEX(Settings!$C$8:$C$19,MATCH(G66,Settings!$B$8:$B$19,0)),"?"))</f>
        <v/>
      </c>
      <c r="K66" s="35" t="str">
        <f aca="false">IF(A66="","",DATE(YEAR(A66),MONTH(A66),1))</f>
        <v/>
      </c>
      <c r="L66" s="28" t="str">
        <f aca="false">IF(E66="","",IFERROR(INDEX(Settings!$K$8:$K$38,MATCH(E66,Settings!$H$8:$H$38,0))&amp;"",""))</f>
        <v/>
      </c>
    </row>
    <row r="67" customFormat="false" ht="15" hidden="false" customHeight="false" outlineLevel="0" collapsed="false">
      <c r="A67" s="33"/>
      <c r="B67" s="27"/>
      <c r="C67" s="27"/>
      <c r="D67" s="27"/>
      <c r="E67" s="27"/>
      <c r="F67" s="34"/>
      <c r="G67" s="27"/>
      <c r="H67" s="27"/>
      <c r="I67" s="28" t="str">
        <f aca="false">IF(C67="","",IFERROR(INDEX(Settings!$C$8:$C$19,MATCH(C67,Settings!$B$8:$B$19,0)),"?"))</f>
        <v/>
      </c>
      <c r="J67" s="28" t="str">
        <f aca="false">IF(G67="","",IFERROR(INDEX(Settings!$C$8:$C$19,MATCH(G67,Settings!$B$8:$B$19,0)),"?"))</f>
        <v/>
      </c>
      <c r="K67" s="35" t="str">
        <f aca="false">IF(A67="","",DATE(YEAR(A67),MONTH(A67),1))</f>
        <v/>
      </c>
      <c r="L67" s="28" t="str">
        <f aca="false">IF(E67="","",IFERROR(INDEX(Settings!$K$8:$K$38,MATCH(E67,Settings!$H$8:$H$38,0))&amp;"",""))</f>
        <v/>
      </c>
    </row>
    <row r="68" customFormat="false" ht="15" hidden="false" customHeight="false" outlineLevel="0" collapsed="false">
      <c r="A68" s="33"/>
      <c r="B68" s="27"/>
      <c r="C68" s="27"/>
      <c r="D68" s="27"/>
      <c r="E68" s="27"/>
      <c r="F68" s="34"/>
      <c r="G68" s="27"/>
      <c r="H68" s="27"/>
      <c r="I68" s="28" t="str">
        <f aca="false">IF(C68="","",IFERROR(INDEX(Settings!$C$8:$C$19,MATCH(C68,Settings!$B$8:$B$19,0)),"?"))</f>
        <v/>
      </c>
      <c r="J68" s="28" t="str">
        <f aca="false">IF(G68="","",IFERROR(INDEX(Settings!$C$8:$C$19,MATCH(G68,Settings!$B$8:$B$19,0)),"?"))</f>
        <v/>
      </c>
      <c r="K68" s="35" t="str">
        <f aca="false">IF(A68="","",DATE(YEAR(A68),MONTH(A68),1))</f>
        <v/>
      </c>
      <c r="L68" s="28" t="str">
        <f aca="false">IF(E68="","",IFERROR(INDEX(Settings!$K$8:$K$38,MATCH(E68,Settings!$H$8:$H$38,0))&amp;"",""))</f>
        <v/>
      </c>
    </row>
    <row r="69" customFormat="false" ht="15" hidden="false" customHeight="false" outlineLevel="0" collapsed="false">
      <c r="A69" s="33"/>
      <c r="B69" s="27"/>
      <c r="C69" s="27"/>
      <c r="D69" s="27"/>
      <c r="E69" s="27"/>
      <c r="F69" s="34"/>
      <c r="G69" s="27"/>
      <c r="H69" s="27"/>
      <c r="I69" s="28" t="str">
        <f aca="false">IF(C69="","",IFERROR(INDEX(Settings!$C$8:$C$19,MATCH(C69,Settings!$B$8:$B$19,0)),"?"))</f>
        <v/>
      </c>
      <c r="J69" s="28" t="str">
        <f aca="false">IF(G69="","",IFERROR(INDEX(Settings!$C$8:$C$19,MATCH(G69,Settings!$B$8:$B$19,0)),"?"))</f>
        <v/>
      </c>
      <c r="K69" s="35" t="str">
        <f aca="false">IF(A69="","",DATE(YEAR(A69),MONTH(A69),1))</f>
        <v/>
      </c>
      <c r="L69" s="28" t="str">
        <f aca="false">IF(E69="","",IFERROR(INDEX(Settings!$K$8:$K$38,MATCH(E69,Settings!$H$8:$H$38,0))&amp;"",""))</f>
        <v/>
      </c>
    </row>
    <row r="70" customFormat="false" ht="15" hidden="false" customHeight="false" outlineLevel="0" collapsed="false">
      <c r="A70" s="33"/>
      <c r="B70" s="27"/>
      <c r="C70" s="27"/>
      <c r="D70" s="27"/>
      <c r="E70" s="27"/>
      <c r="F70" s="34"/>
      <c r="G70" s="27"/>
      <c r="H70" s="27"/>
      <c r="I70" s="28" t="str">
        <f aca="false">IF(C70="","",IFERROR(INDEX(Settings!$C$8:$C$19,MATCH(C70,Settings!$B$8:$B$19,0)),"?"))</f>
        <v/>
      </c>
      <c r="J70" s="28" t="str">
        <f aca="false">IF(G70="","",IFERROR(INDEX(Settings!$C$8:$C$19,MATCH(G70,Settings!$B$8:$B$19,0)),"?"))</f>
        <v/>
      </c>
      <c r="K70" s="35" t="str">
        <f aca="false">IF(A70="","",DATE(YEAR(A70),MONTH(A70),1))</f>
        <v/>
      </c>
      <c r="L70" s="28" t="str">
        <f aca="false">IF(E70="","",IFERROR(INDEX(Settings!$K$8:$K$38,MATCH(E70,Settings!$H$8:$H$38,0))&amp;"",""))</f>
        <v/>
      </c>
    </row>
    <row r="71" customFormat="false" ht="15" hidden="false" customHeight="false" outlineLevel="0" collapsed="false">
      <c r="A71" s="33"/>
      <c r="B71" s="27"/>
      <c r="C71" s="27"/>
      <c r="D71" s="27"/>
      <c r="E71" s="27"/>
      <c r="F71" s="34"/>
      <c r="G71" s="27"/>
      <c r="H71" s="27"/>
      <c r="I71" s="28" t="str">
        <f aca="false">IF(C71="","",IFERROR(INDEX(Settings!$C$8:$C$19,MATCH(C71,Settings!$B$8:$B$19,0)),"?"))</f>
        <v/>
      </c>
      <c r="J71" s="28" t="str">
        <f aca="false">IF(G71="","",IFERROR(INDEX(Settings!$C$8:$C$19,MATCH(G71,Settings!$B$8:$B$19,0)),"?"))</f>
        <v/>
      </c>
      <c r="K71" s="35" t="str">
        <f aca="false">IF(A71="","",DATE(YEAR(A71),MONTH(A71),1))</f>
        <v/>
      </c>
      <c r="L71" s="28" t="str">
        <f aca="false">IF(E71="","",IFERROR(INDEX(Settings!$K$8:$K$38,MATCH(E71,Settings!$H$8:$H$38,0))&amp;"",""))</f>
        <v/>
      </c>
    </row>
    <row r="72" customFormat="false" ht="15" hidden="false" customHeight="false" outlineLevel="0" collapsed="false">
      <c r="A72" s="33"/>
      <c r="B72" s="27"/>
      <c r="C72" s="27"/>
      <c r="D72" s="27"/>
      <c r="E72" s="27"/>
      <c r="F72" s="34"/>
      <c r="G72" s="27"/>
      <c r="H72" s="27"/>
      <c r="I72" s="28" t="str">
        <f aca="false">IF(C72="","",IFERROR(INDEX(Settings!$C$8:$C$19,MATCH(C72,Settings!$B$8:$B$19,0)),"?"))</f>
        <v/>
      </c>
      <c r="J72" s="28" t="str">
        <f aca="false">IF(G72="","",IFERROR(INDEX(Settings!$C$8:$C$19,MATCH(G72,Settings!$B$8:$B$19,0)),"?"))</f>
        <v/>
      </c>
      <c r="K72" s="35" t="str">
        <f aca="false">IF(A72="","",DATE(YEAR(A72),MONTH(A72),1))</f>
        <v/>
      </c>
      <c r="L72" s="28" t="str">
        <f aca="false">IF(E72="","",IFERROR(INDEX(Settings!$K$8:$K$38,MATCH(E72,Settings!$H$8:$H$38,0))&amp;"",""))</f>
        <v/>
      </c>
    </row>
    <row r="73" customFormat="false" ht="15" hidden="false" customHeight="false" outlineLevel="0" collapsed="false">
      <c r="A73" s="33"/>
      <c r="B73" s="27"/>
      <c r="C73" s="27"/>
      <c r="D73" s="27"/>
      <c r="E73" s="27"/>
      <c r="F73" s="34"/>
      <c r="G73" s="27"/>
      <c r="H73" s="27"/>
      <c r="I73" s="28" t="str">
        <f aca="false">IF(C73="","",IFERROR(INDEX(Settings!$C$8:$C$19,MATCH(C73,Settings!$B$8:$B$19,0)),"?"))</f>
        <v/>
      </c>
      <c r="J73" s="28" t="str">
        <f aca="false">IF(G73="","",IFERROR(INDEX(Settings!$C$8:$C$19,MATCH(G73,Settings!$B$8:$B$19,0)),"?"))</f>
        <v/>
      </c>
      <c r="K73" s="35" t="str">
        <f aca="false">IF(A73="","",DATE(YEAR(A73),MONTH(A73),1))</f>
        <v/>
      </c>
      <c r="L73" s="28" t="str">
        <f aca="false">IF(E73="","",IFERROR(INDEX(Settings!$K$8:$K$38,MATCH(E73,Settings!$H$8:$H$38,0))&amp;"",""))</f>
        <v/>
      </c>
    </row>
    <row r="74" customFormat="false" ht="15" hidden="false" customHeight="false" outlineLevel="0" collapsed="false">
      <c r="A74" s="33"/>
      <c r="B74" s="27"/>
      <c r="C74" s="27"/>
      <c r="D74" s="27"/>
      <c r="E74" s="27"/>
      <c r="F74" s="34"/>
      <c r="G74" s="27"/>
      <c r="H74" s="27"/>
      <c r="I74" s="28" t="str">
        <f aca="false">IF(C74="","",IFERROR(INDEX(Settings!$C$8:$C$19,MATCH(C74,Settings!$B$8:$B$19,0)),"?"))</f>
        <v/>
      </c>
      <c r="J74" s="28" t="str">
        <f aca="false">IF(G74="","",IFERROR(INDEX(Settings!$C$8:$C$19,MATCH(G74,Settings!$B$8:$B$19,0)),"?"))</f>
        <v/>
      </c>
      <c r="K74" s="35" t="str">
        <f aca="false">IF(A74="","",DATE(YEAR(A74),MONTH(A74),1))</f>
        <v/>
      </c>
      <c r="L74" s="28" t="str">
        <f aca="false">IF(E74="","",IFERROR(INDEX(Settings!$K$8:$K$38,MATCH(E74,Settings!$H$8:$H$38,0))&amp;"",""))</f>
        <v/>
      </c>
    </row>
    <row r="75" customFormat="false" ht="15" hidden="false" customHeight="false" outlineLevel="0" collapsed="false">
      <c r="A75" s="33"/>
      <c r="B75" s="27"/>
      <c r="C75" s="27"/>
      <c r="D75" s="27"/>
      <c r="E75" s="27"/>
      <c r="F75" s="34"/>
      <c r="G75" s="27"/>
      <c r="H75" s="27"/>
      <c r="I75" s="28" t="str">
        <f aca="false">IF(C75="","",IFERROR(INDEX(Settings!$C$8:$C$19,MATCH(C75,Settings!$B$8:$B$19,0)),"?"))</f>
        <v/>
      </c>
      <c r="J75" s="28" t="str">
        <f aca="false">IF(G75="","",IFERROR(INDEX(Settings!$C$8:$C$19,MATCH(G75,Settings!$B$8:$B$19,0)),"?"))</f>
        <v/>
      </c>
      <c r="K75" s="35" t="str">
        <f aca="false">IF(A75="","",DATE(YEAR(A75),MONTH(A75),1))</f>
        <v/>
      </c>
      <c r="L75" s="28" t="str">
        <f aca="false">IF(E75="","",IFERROR(INDEX(Settings!$K$8:$K$38,MATCH(E75,Settings!$H$8:$H$38,0))&amp;"",""))</f>
        <v/>
      </c>
    </row>
    <row r="76" customFormat="false" ht="15" hidden="false" customHeight="false" outlineLevel="0" collapsed="false">
      <c r="A76" s="33"/>
      <c r="B76" s="27"/>
      <c r="C76" s="27"/>
      <c r="D76" s="27"/>
      <c r="E76" s="27"/>
      <c r="F76" s="34"/>
      <c r="G76" s="27"/>
      <c r="H76" s="27"/>
      <c r="I76" s="28" t="str">
        <f aca="false">IF(C76="","",IFERROR(INDEX(Settings!$C$8:$C$19,MATCH(C76,Settings!$B$8:$B$19,0)),"?"))</f>
        <v/>
      </c>
      <c r="J76" s="28" t="str">
        <f aca="false">IF(G76="","",IFERROR(INDEX(Settings!$C$8:$C$19,MATCH(G76,Settings!$B$8:$B$19,0)),"?"))</f>
        <v/>
      </c>
      <c r="K76" s="35" t="str">
        <f aca="false">IF(A76="","",DATE(YEAR(A76),MONTH(A76),1))</f>
        <v/>
      </c>
      <c r="L76" s="28" t="str">
        <f aca="false">IF(E76="","",IFERROR(INDEX(Settings!$K$8:$K$38,MATCH(E76,Settings!$H$8:$H$38,0))&amp;"",""))</f>
        <v/>
      </c>
    </row>
    <row r="77" customFormat="false" ht="15" hidden="false" customHeight="false" outlineLevel="0" collapsed="false">
      <c r="A77" s="33"/>
      <c r="B77" s="27"/>
      <c r="C77" s="27"/>
      <c r="D77" s="27"/>
      <c r="E77" s="27"/>
      <c r="F77" s="34"/>
      <c r="G77" s="27"/>
      <c r="H77" s="27"/>
      <c r="I77" s="28" t="str">
        <f aca="false">IF(C77="","",IFERROR(INDEX(Settings!$C$8:$C$19,MATCH(C77,Settings!$B$8:$B$19,0)),"?"))</f>
        <v/>
      </c>
      <c r="J77" s="28" t="str">
        <f aca="false">IF(G77="","",IFERROR(INDEX(Settings!$C$8:$C$19,MATCH(G77,Settings!$B$8:$B$19,0)),"?"))</f>
        <v/>
      </c>
      <c r="K77" s="35" t="str">
        <f aca="false">IF(A77="","",DATE(YEAR(A77),MONTH(A77),1))</f>
        <v/>
      </c>
      <c r="L77" s="28" t="str">
        <f aca="false">IF(E77="","",IFERROR(INDEX(Settings!$K$8:$K$38,MATCH(E77,Settings!$H$8:$H$38,0))&amp;"",""))</f>
        <v/>
      </c>
    </row>
    <row r="78" customFormat="false" ht="15" hidden="false" customHeight="false" outlineLevel="0" collapsed="false">
      <c r="A78" s="33"/>
      <c r="B78" s="27"/>
      <c r="C78" s="27"/>
      <c r="D78" s="27"/>
      <c r="E78" s="27"/>
      <c r="F78" s="34"/>
      <c r="G78" s="27"/>
      <c r="H78" s="27"/>
      <c r="I78" s="28" t="str">
        <f aca="false">IF(C78="","",IFERROR(INDEX(Settings!$C$8:$C$19,MATCH(C78,Settings!$B$8:$B$19,0)),"?"))</f>
        <v/>
      </c>
      <c r="J78" s="28" t="str">
        <f aca="false">IF(G78="","",IFERROR(INDEX(Settings!$C$8:$C$19,MATCH(G78,Settings!$B$8:$B$19,0)),"?"))</f>
        <v/>
      </c>
      <c r="K78" s="35" t="str">
        <f aca="false">IF(A78="","",DATE(YEAR(A78),MONTH(A78),1))</f>
        <v/>
      </c>
      <c r="L78" s="28" t="str">
        <f aca="false">IF(E78="","",IFERROR(INDEX(Settings!$K$8:$K$38,MATCH(E78,Settings!$H$8:$H$38,0))&amp;"",""))</f>
        <v/>
      </c>
    </row>
    <row r="79" customFormat="false" ht="15" hidden="false" customHeight="false" outlineLevel="0" collapsed="false">
      <c r="A79" s="33"/>
      <c r="B79" s="27"/>
      <c r="C79" s="27"/>
      <c r="D79" s="27"/>
      <c r="E79" s="27"/>
      <c r="F79" s="34"/>
      <c r="G79" s="27"/>
      <c r="H79" s="27"/>
      <c r="I79" s="28" t="str">
        <f aca="false">IF(C79="","",IFERROR(INDEX(Settings!$C$8:$C$19,MATCH(C79,Settings!$B$8:$B$19,0)),"?"))</f>
        <v/>
      </c>
      <c r="J79" s="28" t="str">
        <f aca="false">IF(G79="","",IFERROR(INDEX(Settings!$C$8:$C$19,MATCH(G79,Settings!$B$8:$B$19,0)),"?"))</f>
        <v/>
      </c>
      <c r="K79" s="35" t="str">
        <f aca="false">IF(A79="","",DATE(YEAR(A79),MONTH(A79),1))</f>
        <v/>
      </c>
      <c r="L79" s="28" t="str">
        <f aca="false">IF(E79="","",IFERROR(INDEX(Settings!$K$8:$K$38,MATCH(E79,Settings!$H$8:$H$38,0))&amp;"",""))</f>
        <v/>
      </c>
    </row>
    <row r="80" customFormat="false" ht="15" hidden="false" customHeight="false" outlineLevel="0" collapsed="false">
      <c r="A80" s="33"/>
      <c r="B80" s="27"/>
      <c r="C80" s="27"/>
      <c r="D80" s="27"/>
      <c r="E80" s="27"/>
      <c r="F80" s="34"/>
      <c r="G80" s="27"/>
      <c r="H80" s="27"/>
      <c r="I80" s="28" t="str">
        <f aca="false">IF(C80="","",IFERROR(INDEX(Settings!$C$8:$C$19,MATCH(C80,Settings!$B$8:$B$19,0)),"?"))</f>
        <v/>
      </c>
      <c r="J80" s="28" t="str">
        <f aca="false">IF(G80="","",IFERROR(INDEX(Settings!$C$8:$C$19,MATCH(G80,Settings!$B$8:$B$19,0)),"?"))</f>
        <v/>
      </c>
      <c r="K80" s="35" t="str">
        <f aca="false">IF(A80="","",DATE(YEAR(A80),MONTH(A80),1))</f>
        <v/>
      </c>
      <c r="L80" s="28" t="str">
        <f aca="false">IF(E80="","",IFERROR(INDEX(Settings!$K$8:$K$38,MATCH(E80,Settings!$H$8:$H$38,0))&amp;"",""))</f>
        <v/>
      </c>
    </row>
    <row r="81" customFormat="false" ht="15" hidden="false" customHeight="false" outlineLevel="0" collapsed="false">
      <c r="A81" s="33"/>
      <c r="B81" s="27"/>
      <c r="C81" s="27"/>
      <c r="D81" s="27"/>
      <c r="E81" s="27"/>
      <c r="F81" s="34"/>
      <c r="G81" s="27"/>
      <c r="H81" s="27"/>
      <c r="I81" s="28" t="str">
        <f aca="false">IF(C81="","",IFERROR(INDEX(Settings!$C$8:$C$19,MATCH(C81,Settings!$B$8:$B$19,0)),"?"))</f>
        <v/>
      </c>
      <c r="J81" s="28" t="str">
        <f aca="false">IF(G81="","",IFERROR(INDEX(Settings!$C$8:$C$19,MATCH(G81,Settings!$B$8:$B$19,0)),"?"))</f>
        <v/>
      </c>
      <c r="K81" s="35" t="str">
        <f aca="false">IF(A81="","",DATE(YEAR(A81),MONTH(A81),1))</f>
        <v/>
      </c>
      <c r="L81" s="28" t="str">
        <f aca="false">IF(E81="","",IFERROR(INDEX(Settings!$K$8:$K$38,MATCH(E81,Settings!$H$8:$H$38,0))&amp;"",""))</f>
        <v/>
      </c>
    </row>
    <row r="82" customFormat="false" ht="15" hidden="false" customHeight="false" outlineLevel="0" collapsed="false">
      <c r="A82" s="33"/>
      <c r="B82" s="27"/>
      <c r="C82" s="27"/>
      <c r="D82" s="27"/>
      <c r="E82" s="27"/>
      <c r="F82" s="34"/>
      <c r="G82" s="27"/>
      <c r="H82" s="27"/>
      <c r="I82" s="28" t="str">
        <f aca="false">IF(C82="","",IFERROR(INDEX(Settings!$C$8:$C$19,MATCH(C82,Settings!$B$8:$B$19,0)),"?"))</f>
        <v/>
      </c>
      <c r="J82" s="28" t="str">
        <f aca="false">IF(G82="","",IFERROR(INDEX(Settings!$C$8:$C$19,MATCH(G82,Settings!$B$8:$B$19,0)),"?"))</f>
        <v/>
      </c>
      <c r="K82" s="35" t="str">
        <f aca="false">IF(A82="","",DATE(YEAR(A82),MONTH(A82),1))</f>
        <v/>
      </c>
      <c r="L82" s="28" t="str">
        <f aca="false">IF(E82="","",IFERROR(INDEX(Settings!$K$8:$K$38,MATCH(E82,Settings!$H$8:$H$38,0))&amp;"",""))</f>
        <v/>
      </c>
    </row>
    <row r="83" customFormat="false" ht="15" hidden="false" customHeight="false" outlineLevel="0" collapsed="false">
      <c r="A83" s="33"/>
      <c r="B83" s="27"/>
      <c r="C83" s="27"/>
      <c r="D83" s="27"/>
      <c r="E83" s="27"/>
      <c r="F83" s="34"/>
      <c r="G83" s="27"/>
      <c r="H83" s="27"/>
      <c r="I83" s="28" t="str">
        <f aca="false">IF(C83="","",IFERROR(INDEX(Settings!$C$8:$C$19,MATCH(C83,Settings!$B$8:$B$19,0)),"?"))</f>
        <v/>
      </c>
      <c r="J83" s="28" t="str">
        <f aca="false">IF(G83="","",IFERROR(INDEX(Settings!$C$8:$C$19,MATCH(G83,Settings!$B$8:$B$19,0)),"?"))</f>
        <v/>
      </c>
      <c r="K83" s="35" t="str">
        <f aca="false">IF(A83="","",DATE(YEAR(A83),MONTH(A83),1))</f>
        <v/>
      </c>
      <c r="L83" s="28" t="str">
        <f aca="false">IF(E83="","",IFERROR(INDEX(Settings!$K$8:$K$38,MATCH(E83,Settings!$H$8:$H$38,0))&amp;"",""))</f>
        <v/>
      </c>
    </row>
    <row r="84" customFormat="false" ht="15" hidden="false" customHeight="false" outlineLevel="0" collapsed="false">
      <c r="A84" s="33"/>
      <c r="B84" s="27"/>
      <c r="C84" s="27"/>
      <c r="D84" s="27"/>
      <c r="E84" s="27"/>
      <c r="F84" s="34"/>
      <c r="G84" s="27"/>
      <c r="H84" s="27"/>
      <c r="I84" s="28" t="str">
        <f aca="false">IF(C84="","",IFERROR(INDEX(Settings!$C$8:$C$19,MATCH(C84,Settings!$B$8:$B$19,0)),"?"))</f>
        <v/>
      </c>
      <c r="J84" s="28" t="str">
        <f aca="false">IF(G84="","",IFERROR(INDEX(Settings!$C$8:$C$19,MATCH(G84,Settings!$B$8:$B$19,0)),"?"))</f>
        <v/>
      </c>
      <c r="K84" s="35" t="str">
        <f aca="false">IF(A84="","",DATE(YEAR(A84),MONTH(A84),1))</f>
        <v/>
      </c>
      <c r="L84" s="28" t="str">
        <f aca="false">IF(E84="","",IFERROR(INDEX(Settings!$K$8:$K$38,MATCH(E84,Settings!$H$8:$H$38,0))&amp;"",""))</f>
        <v/>
      </c>
    </row>
    <row r="85" customFormat="false" ht="15" hidden="false" customHeight="false" outlineLevel="0" collapsed="false">
      <c r="A85" s="33"/>
      <c r="B85" s="27"/>
      <c r="C85" s="27"/>
      <c r="D85" s="27"/>
      <c r="E85" s="27"/>
      <c r="F85" s="34"/>
      <c r="G85" s="27"/>
      <c r="H85" s="27"/>
      <c r="I85" s="28" t="str">
        <f aca="false">IF(C85="","",IFERROR(INDEX(Settings!$C$8:$C$19,MATCH(C85,Settings!$B$8:$B$19,0)),"?"))</f>
        <v/>
      </c>
      <c r="J85" s="28" t="str">
        <f aca="false">IF(G85="","",IFERROR(INDEX(Settings!$C$8:$C$19,MATCH(G85,Settings!$B$8:$B$19,0)),"?"))</f>
        <v/>
      </c>
      <c r="K85" s="35" t="str">
        <f aca="false">IF(A85="","",DATE(YEAR(A85),MONTH(A85),1))</f>
        <v/>
      </c>
      <c r="L85" s="28" t="str">
        <f aca="false">IF(E85="","",IFERROR(INDEX(Settings!$K$8:$K$38,MATCH(E85,Settings!$H$8:$H$38,0))&amp;"",""))</f>
        <v/>
      </c>
    </row>
    <row r="86" customFormat="false" ht="15" hidden="false" customHeight="false" outlineLevel="0" collapsed="false">
      <c r="A86" s="33"/>
      <c r="B86" s="27"/>
      <c r="C86" s="27"/>
      <c r="D86" s="27"/>
      <c r="E86" s="27"/>
      <c r="F86" s="34"/>
      <c r="G86" s="27"/>
      <c r="H86" s="27"/>
      <c r="I86" s="28" t="str">
        <f aca="false">IF(C86="","",IFERROR(INDEX(Settings!$C$8:$C$19,MATCH(C86,Settings!$B$8:$B$19,0)),"?"))</f>
        <v/>
      </c>
      <c r="J86" s="28" t="str">
        <f aca="false">IF(G86="","",IFERROR(INDEX(Settings!$C$8:$C$19,MATCH(G86,Settings!$B$8:$B$19,0)),"?"))</f>
        <v/>
      </c>
      <c r="K86" s="35" t="str">
        <f aca="false">IF(A86="","",DATE(YEAR(A86),MONTH(A86),1))</f>
        <v/>
      </c>
      <c r="L86" s="28" t="str">
        <f aca="false">IF(E86="","",IFERROR(INDEX(Settings!$K$8:$K$38,MATCH(E86,Settings!$H$8:$H$38,0))&amp;"",""))</f>
        <v/>
      </c>
    </row>
    <row r="87" customFormat="false" ht="15" hidden="false" customHeight="false" outlineLevel="0" collapsed="false">
      <c r="A87" s="33"/>
      <c r="B87" s="27"/>
      <c r="C87" s="27"/>
      <c r="D87" s="27"/>
      <c r="E87" s="27"/>
      <c r="F87" s="34"/>
      <c r="G87" s="27"/>
      <c r="H87" s="27"/>
      <c r="I87" s="28" t="str">
        <f aca="false">IF(C87="","",IFERROR(INDEX(Settings!$C$8:$C$19,MATCH(C87,Settings!$B$8:$B$19,0)),"?"))</f>
        <v/>
      </c>
      <c r="J87" s="28" t="str">
        <f aca="false">IF(G87="","",IFERROR(INDEX(Settings!$C$8:$C$19,MATCH(G87,Settings!$B$8:$B$19,0)),"?"))</f>
        <v/>
      </c>
      <c r="K87" s="35" t="str">
        <f aca="false">IF(A87="","",DATE(YEAR(A87),MONTH(A87),1))</f>
        <v/>
      </c>
      <c r="L87" s="28" t="str">
        <f aca="false">IF(E87="","",IFERROR(INDEX(Settings!$K$8:$K$38,MATCH(E87,Settings!$H$8:$H$38,0))&amp;"",""))</f>
        <v/>
      </c>
    </row>
    <row r="88" customFormat="false" ht="15" hidden="false" customHeight="false" outlineLevel="0" collapsed="false">
      <c r="A88" s="33"/>
      <c r="B88" s="27"/>
      <c r="C88" s="27"/>
      <c r="D88" s="27"/>
      <c r="E88" s="27"/>
      <c r="F88" s="34"/>
      <c r="G88" s="27"/>
      <c r="H88" s="27"/>
      <c r="I88" s="28" t="str">
        <f aca="false">IF(C88="","",IFERROR(INDEX(Settings!$C$8:$C$19,MATCH(C88,Settings!$B$8:$B$19,0)),"?"))</f>
        <v/>
      </c>
      <c r="J88" s="28" t="str">
        <f aca="false">IF(G88="","",IFERROR(INDEX(Settings!$C$8:$C$19,MATCH(G88,Settings!$B$8:$B$19,0)),"?"))</f>
        <v/>
      </c>
      <c r="K88" s="35" t="str">
        <f aca="false">IF(A88="","",DATE(YEAR(A88),MONTH(A88),1))</f>
        <v/>
      </c>
      <c r="L88" s="28" t="str">
        <f aca="false">IF(E88="","",IFERROR(INDEX(Settings!$K$8:$K$38,MATCH(E88,Settings!$H$8:$H$38,0))&amp;"",""))</f>
        <v/>
      </c>
    </row>
    <row r="89" customFormat="false" ht="15" hidden="false" customHeight="false" outlineLevel="0" collapsed="false">
      <c r="A89" s="33"/>
      <c r="B89" s="27"/>
      <c r="C89" s="27"/>
      <c r="D89" s="27"/>
      <c r="E89" s="27"/>
      <c r="F89" s="34"/>
      <c r="G89" s="27"/>
      <c r="H89" s="27"/>
      <c r="I89" s="28" t="str">
        <f aca="false">IF(C89="","",IFERROR(INDEX(Settings!$C$8:$C$19,MATCH(C89,Settings!$B$8:$B$19,0)),"?"))</f>
        <v/>
      </c>
      <c r="J89" s="28" t="str">
        <f aca="false">IF(G89="","",IFERROR(INDEX(Settings!$C$8:$C$19,MATCH(G89,Settings!$B$8:$B$19,0)),"?"))</f>
        <v/>
      </c>
      <c r="K89" s="35" t="str">
        <f aca="false">IF(A89="","",DATE(YEAR(A89),MONTH(A89),1))</f>
        <v/>
      </c>
      <c r="L89" s="28" t="str">
        <f aca="false">IF(E89="","",IFERROR(INDEX(Settings!$K$8:$K$38,MATCH(E89,Settings!$H$8:$H$38,0))&amp;"",""))</f>
        <v/>
      </c>
    </row>
    <row r="90" customFormat="false" ht="15" hidden="false" customHeight="false" outlineLevel="0" collapsed="false">
      <c r="A90" s="33"/>
      <c r="B90" s="27"/>
      <c r="C90" s="27"/>
      <c r="D90" s="27"/>
      <c r="E90" s="27"/>
      <c r="F90" s="34"/>
      <c r="G90" s="27"/>
      <c r="H90" s="27"/>
      <c r="I90" s="28" t="str">
        <f aca="false">IF(C90="","",IFERROR(INDEX(Settings!$C$8:$C$19,MATCH(C90,Settings!$B$8:$B$19,0)),"?"))</f>
        <v/>
      </c>
      <c r="J90" s="28" t="str">
        <f aca="false">IF(G90="","",IFERROR(INDEX(Settings!$C$8:$C$19,MATCH(G90,Settings!$B$8:$B$19,0)),"?"))</f>
        <v/>
      </c>
      <c r="K90" s="35" t="str">
        <f aca="false">IF(A90="","",DATE(YEAR(A90),MONTH(A90),1))</f>
        <v/>
      </c>
      <c r="L90" s="28" t="str">
        <f aca="false">IF(E90="","",IFERROR(INDEX(Settings!$K$8:$K$38,MATCH(E90,Settings!$H$8:$H$38,0))&amp;"",""))</f>
        <v/>
      </c>
    </row>
    <row r="91" customFormat="false" ht="15" hidden="false" customHeight="false" outlineLevel="0" collapsed="false">
      <c r="A91" s="33"/>
      <c r="B91" s="27"/>
      <c r="C91" s="27"/>
      <c r="D91" s="27"/>
      <c r="E91" s="27"/>
      <c r="F91" s="34"/>
      <c r="G91" s="27"/>
      <c r="H91" s="27"/>
      <c r="I91" s="28" t="str">
        <f aca="false">IF(C91="","",IFERROR(INDEX(Settings!$C$8:$C$19,MATCH(C91,Settings!$B$8:$B$19,0)),"?"))</f>
        <v/>
      </c>
      <c r="J91" s="28" t="str">
        <f aca="false">IF(G91="","",IFERROR(INDEX(Settings!$C$8:$C$19,MATCH(G91,Settings!$B$8:$B$19,0)),"?"))</f>
        <v/>
      </c>
      <c r="K91" s="35" t="str">
        <f aca="false">IF(A91="","",DATE(YEAR(A91),MONTH(A91),1))</f>
        <v/>
      </c>
      <c r="L91" s="28" t="str">
        <f aca="false">IF(E91="","",IFERROR(INDEX(Settings!$K$8:$K$38,MATCH(E91,Settings!$H$8:$H$38,0))&amp;"",""))</f>
        <v/>
      </c>
    </row>
    <row r="92" customFormat="false" ht="15" hidden="false" customHeight="false" outlineLevel="0" collapsed="false">
      <c r="A92" s="33"/>
      <c r="B92" s="27"/>
      <c r="C92" s="27"/>
      <c r="D92" s="27"/>
      <c r="E92" s="27"/>
      <c r="F92" s="34"/>
      <c r="G92" s="27"/>
      <c r="H92" s="27"/>
      <c r="I92" s="28" t="str">
        <f aca="false">IF(C92="","",IFERROR(INDEX(Settings!$C$8:$C$19,MATCH(C92,Settings!$B$8:$B$19,0)),"?"))</f>
        <v/>
      </c>
      <c r="J92" s="28" t="str">
        <f aca="false">IF(G92="","",IFERROR(INDEX(Settings!$C$8:$C$19,MATCH(G92,Settings!$B$8:$B$19,0)),"?"))</f>
        <v/>
      </c>
      <c r="K92" s="35" t="str">
        <f aca="false">IF(A92="","",DATE(YEAR(A92),MONTH(A92),1))</f>
        <v/>
      </c>
      <c r="L92" s="28" t="str">
        <f aca="false">IF(E92="","",IFERROR(INDEX(Settings!$K$8:$K$38,MATCH(E92,Settings!$H$8:$H$38,0))&amp;"",""))</f>
        <v/>
      </c>
    </row>
    <row r="93" customFormat="false" ht="15" hidden="false" customHeight="false" outlineLevel="0" collapsed="false">
      <c r="A93" s="33"/>
      <c r="B93" s="27"/>
      <c r="C93" s="27"/>
      <c r="D93" s="27"/>
      <c r="E93" s="27"/>
      <c r="F93" s="34"/>
      <c r="G93" s="27"/>
      <c r="H93" s="27"/>
      <c r="I93" s="28" t="str">
        <f aca="false">IF(C93="","",IFERROR(INDEX(Settings!$C$8:$C$19,MATCH(C93,Settings!$B$8:$B$19,0)),"?"))</f>
        <v/>
      </c>
      <c r="J93" s="28" t="str">
        <f aca="false">IF(G93="","",IFERROR(INDEX(Settings!$C$8:$C$19,MATCH(G93,Settings!$B$8:$B$19,0)),"?"))</f>
        <v/>
      </c>
      <c r="K93" s="35" t="str">
        <f aca="false">IF(A93="","",DATE(YEAR(A93),MONTH(A93),1))</f>
        <v/>
      </c>
      <c r="L93" s="28" t="str">
        <f aca="false">IF(E93="","",IFERROR(INDEX(Settings!$K$8:$K$38,MATCH(E93,Settings!$H$8:$H$38,0))&amp;"",""))</f>
        <v/>
      </c>
    </row>
    <row r="94" customFormat="false" ht="15" hidden="false" customHeight="false" outlineLevel="0" collapsed="false">
      <c r="A94" s="33"/>
      <c r="B94" s="27"/>
      <c r="C94" s="27"/>
      <c r="D94" s="27"/>
      <c r="E94" s="27"/>
      <c r="F94" s="34"/>
      <c r="G94" s="27"/>
      <c r="H94" s="27"/>
      <c r="I94" s="28" t="str">
        <f aca="false">IF(C94="","",IFERROR(INDEX(Settings!$C$8:$C$19,MATCH(C94,Settings!$B$8:$B$19,0)),"?"))</f>
        <v/>
      </c>
      <c r="J94" s="28" t="str">
        <f aca="false">IF(G94="","",IFERROR(INDEX(Settings!$C$8:$C$19,MATCH(G94,Settings!$B$8:$B$19,0)),"?"))</f>
        <v/>
      </c>
      <c r="K94" s="35" t="str">
        <f aca="false">IF(A94="","",DATE(YEAR(A94),MONTH(A94),1))</f>
        <v/>
      </c>
      <c r="L94" s="28" t="str">
        <f aca="false">IF(E94="","",IFERROR(INDEX(Settings!$K$8:$K$38,MATCH(E94,Settings!$H$8:$H$38,0))&amp;"",""))</f>
        <v/>
      </c>
    </row>
    <row r="95" customFormat="false" ht="15" hidden="false" customHeight="false" outlineLevel="0" collapsed="false">
      <c r="A95" s="33"/>
      <c r="B95" s="27"/>
      <c r="C95" s="27"/>
      <c r="D95" s="27"/>
      <c r="E95" s="27"/>
      <c r="F95" s="34"/>
      <c r="G95" s="27"/>
      <c r="H95" s="27"/>
      <c r="I95" s="28" t="str">
        <f aca="false">IF(C95="","",IFERROR(INDEX(Settings!$C$8:$C$19,MATCH(C95,Settings!$B$8:$B$19,0)),"?"))</f>
        <v/>
      </c>
      <c r="J95" s="28" t="str">
        <f aca="false">IF(G95="","",IFERROR(INDEX(Settings!$C$8:$C$19,MATCH(G95,Settings!$B$8:$B$19,0)),"?"))</f>
        <v/>
      </c>
      <c r="K95" s="35" t="str">
        <f aca="false">IF(A95="","",DATE(YEAR(A95),MONTH(A95),1))</f>
        <v/>
      </c>
      <c r="L95" s="28" t="str">
        <f aca="false">IF(E95="","",IFERROR(INDEX(Settings!$K$8:$K$38,MATCH(E95,Settings!$H$8:$H$38,0))&amp;"",""))</f>
        <v/>
      </c>
    </row>
    <row r="96" customFormat="false" ht="15" hidden="false" customHeight="false" outlineLevel="0" collapsed="false">
      <c r="A96" s="33"/>
      <c r="B96" s="27"/>
      <c r="C96" s="27"/>
      <c r="D96" s="27"/>
      <c r="E96" s="27"/>
      <c r="F96" s="34"/>
      <c r="G96" s="27"/>
      <c r="H96" s="27"/>
      <c r="I96" s="28" t="str">
        <f aca="false">IF(C96="","",IFERROR(INDEX(Settings!$C$8:$C$19,MATCH(C96,Settings!$B$8:$B$19,0)),"?"))</f>
        <v/>
      </c>
      <c r="J96" s="28" t="str">
        <f aca="false">IF(G96="","",IFERROR(INDEX(Settings!$C$8:$C$19,MATCH(G96,Settings!$B$8:$B$19,0)),"?"))</f>
        <v/>
      </c>
      <c r="K96" s="35" t="str">
        <f aca="false">IF(A96="","",DATE(YEAR(A96),MONTH(A96),1))</f>
        <v/>
      </c>
      <c r="L96" s="28" t="str">
        <f aca="false">IF(E96="","",IFERROR(INDEX(Settings!$K$8:$K$38,MATCH(E96,Settings!$H$8:$H$38,0))&amp;"",""))</f>
        <v/>
      </c>
    </row>
    <row r="97" customFormat="false" ht="15" hidden="false" customHeight="false" outlineLevel="0" collapsed="false">
      <c r="A97" s="33"/>
      <c r="B97" s="27"/>
      <c r="C97" s="27"/>
      <c r="D97" s="27"/>
      <c r="E97" s="27"/>
      <c r="F97" s="34"/>
      <c r="G97" s="27"/>
      <c r="H97" s="27"/>
      <c r="I97" s="28" t="str">
        <f aca="false">IF(C97="","",IFERROR(INDEX(Settings!$C$8:$C$19,MATCH(C97,Settings!$B$8:$B$19,0)),"?"))</f>
        <v/>
      </c>
      <c r="J97" s="28" t="str">
        <f aca="false">IF(G97="","",IFERROR(INDEX(Settings!$C$8:$C$19,MATCH(G97,Settings!$B$8:$B$19,0)),"?"))</f>
        <v/>
      </c>
      <c r="K97" s="35" t="str">
        <f aca="false">IF(A97="","",DATE(YEAR(A97),MONTH(A97),1))</f>
        <v/>
      </c>
      <c r="L97" s="28" t="str">
        <f aca="false">IF(E97="","",IFERROR(INDEX(Settings!$K$8:$K$38,MATCH(E97,Settings!$H$8:$H$38,0))&amp;"",""))</f>
        <v/>
      </c>
    </row>
    <row r="98" customFormat="false" ht="15" hidden="false" customHeight="false" outlineLevel="0" collapsed="false">
      <c r="A98" s="33"/>
      <c r="B98" s="27"/>
      <c r="C98" s="27"/>
      <c r="D98" s="27"/>
      <c r="E98" s="27"/>
      <c r="F98" s="34"/>
      <c r="G98" s="27"/>
      <c r="H98" s="27"/>
      <c r="I98" s="28" t="str">
        <f aca="false">IF(C98="","",IFERROR(INDEX(Settings!$C$8:$C$19,MATCH(C98,Settings!$B$8:$B$19,0)),"?"))</f>
        <v/>
      </c>
      <c r="J98" s="28" t="str">
        <f aca="false">IF(G98="","",IFERROR(INDEX(Settings!$C$8:$C$19,MATCH(G98,Settings!$B$8:$B$19,0)),"?"))</f>
        <v/>
      </c>
      <c r="K98" s="35" t="str">
        <f aca="false">IF(A98="","",DATE(YEAR(A98),MONTH(A98),1))</f>
        <v/>
      </c>
      <c r="L98" s="28" t="str">
        <f aca="false">IF(E98="","",IFERROR(INDEX(Settings!$K$8:$K$38,MATCH(E98,Settings!$H$8:$H$38,0))&amp;"",""))</f>
        <v/>
      </c>
    </row>
    <row r="99" customFormat="false" ht="15" hidden="false" customHeight="false" outlineLevel="0" collapsed="false">
      <c r="A99" s="33"/>
      <c r="B99" s="27"/>
      <c r="C99" s="27"/>
      <c r="D99" s="27"/>
      <c r="E99" s="27"/>
      <c r="F99" s="34"/>
      <c r="G99" s="27"/>
      <c r="H99" s="27"/>
      <c r="I99" s="28" t="str">
        <f aca="false">IF(C99="","",IFERROR(INDEX(Settings!$C$8:$C$19,MATCH(C99,Settings!$B$8:$B$19,0)),"?"))</f>
        <v/>
      </c>
      <c r="J99" s="28" t="str">
        <f aca="false">IF(G99="","",IFERROR(INDEX(Settings!$C$8:$C$19,MATCH(G99,Settings!$B$8:$B$19,0)),"?"))</f>
        <v/>
      </c>
      <c r="K99" s="35" t="str">
        <f aca="false">IF(A99="","",DATE(YEAR(A99),MONTH(A99),1))</f>
        <v/>
      </c>
      <c r="L99" s="28" t="str">
        <f aca="false">IF(E99="","",IFERROR(INDEX(Settings!$K$8:$K$38,MATCH(E99,Settings!$H$8:$H$38,0))&amp;"",""))</f>
        <v/>
      </c>
    </row>
    <row r="100" customFormat="false" ht="15" hidden="false" customHeight="false" outlineLevel="0" collapsed="false">
      <c r="A100" s="33"/>
      <c r="B100" s="27"/>
      <c r="C100" s="27"/>
      <c r="D100" s="27"/>
      <c r="E100" s="27"/>
      <c r="F100" s="34"/>
      <c r="G100" s="27"/>
      <c r="H100" s="27"/>
      <c r="I100" s="28" t="str">
        <f aca="false">IF(C100="","",IFERROR(INDEX(Settings!$C$8:$C$19,MATCH(C100,Settings!$B$8:$B$19,0)),"?"))</f>
        <v/>
      </c>
      <c r="J100" s="28" t="str">
        <f aca="false">IF(G100="","",IFERROR(INDEX(Settings!$C$8:$C$19,MATCH(G100,Settings!$B$8:$B$19,0)),"?"))</f>
        <v/>
      </c>
      <c r="K100" s="35" t="str">
        <f aca="false">IF(A100="","",DATE(YEAR(A100),MONTH(A100),1))</f>
        <v/>
      </c>
      <c r="L100" s="28" t="str">
        <f aca="false">IF(E100="","",IFERROR(INDEX(Settings!$K$8:$K$38,MATCH(E100,Settings!$H$8:$H$38,0))&amp;"",""))</f>
        <v/>
      </c>
    </row>
    <row r="101" customFormat="false" ht="15" hidden="false" customHeight="false" outlineLevel="0" collapsed="false">
      <c r="A101" s="33"/>
      <c r="B101" s="27"/>
      <c r="C101" s="27"/>
      <c r="D101" s="27"/>
      <c r="E101" s="27"/>
      <c r="F101" s="34"/>
      <c r="G101" s="27"/>
      <c r="H101" s="27"/>
      <c r="I101" s="28" t="str">
        <f aca="false">IF(C101="","",IFERROR(INDEX(Settings!$C$8:$C$19,MATCH(C101,Settings!$B$8:$B$19,0)),"?"))</f>
        <v/>
      </c>
      <c r="J101" s="28" t="str">
        <f aca="false">IF(G101="","",IFERROR(INDEX(Settings!$C$8:$C$19,MATCH(G101,Settings!$B$8:$B$19,0)),"?"))</f>
        <v/>
      </c>
      <c r="K101" s="35" t="str">
        <f aca="false">IF(A101="","",DATE(YEAR(A101),MONTH(A101),1))</f>
        <v/>
      </c>
      <c r="L101" s="28" t="str">
        <f aca="false">IF(E101="","",IFERROR(INDEX(Settings!$K$8:$K$38,MATCH(E101,Settings!$H$8:$H$38,0))&amp;"",""))</f>
        <v/>
      </c>
    </row>
    <row r="102" customFormat="false" ht="15" hidden="false" customHeight="false" outlineLevel="0" collapsed="false">
      <c r="A102" s="33"/>
      <c r="B102" s="27"/>
      <c r="C102" s="27"/>
      <c r="D102" s="27"/>
      <c r="E102" s="27"/>
      <c r="F102" s="34"/>
      <c r="G102" s="27"/>
      <c r="H102" s="27"/>
      <c r="I102" s="28" t="str">
        <f aca="false">IF(C102="","",IFERROR(INDEX(Settings!$C$8:$C$19,MATCH(C102,Settings!$B$8:$B$19,0)),"?"))</f>
        <v/>
      </c>
      <c r="J102" s="28" t="str">
        <f aca="false">IF(G102="","",IFERROR(INDEX(Settings!$C$8:$C$19,MATCH(G102,Settings!$B$8:$B$19,0)),"?"))</f>
        <v/>
      </c>
      <c r="K102" s="35" t="str">
        <f aca="false">IF(A102="","",DATE(YEAR(A102),MONTH(A102),1))</f>
        <v/>
      </c>
      <c r="L102" s="28" t="str">
        <f aca="false">IF(E102="","",IFERROR(INDEX(Settings!$K$8:$K$38,MATCH(E102,Settings!$H$8:$H$38,0))&amp;"",""))</f>
        <v/>
      </c>
    </row>
    <row r="103" customFormat="false" ht="15" hidden="false" customHeight="false" outlineLevel="0" collapsed="false">
      <c r="A103" s="33"/>
      <c r="B103" s="27"/>
      <c r="C103" s="27"/>
      <c r="D103" s="27"/>
      <c r="E103" s="27"/>
      <c r="F103" s="34"/>
      <c r="G103" s="27"/>
      <c r="H103" s="27"/>
      <c r="I103" s="28" t="str">
        <f aca="false">IF(C103="","",IFERROR(INDEX(Settings!$C$8:$C$19,MATCH(C103,Settings!$B$8:$B$19,0)),"?"))</f>
        <v/>
      </c>
      <c r="J103" s="28" t="str">
        <f aca="false">IF(G103="","",IFERROR(INDEX(Settings!$C$8:$C$19,MATCH(G103,Settings!$B$8:$B$19,0)),"?"))</f>
        <v/>
      </c>
      <c r="K103" s="35" t="str">
        <f aca="false">IF(A103="","",DATE(YEAR(A103),MONTH(A103),1))</f>
        <v/>
      </c>
      <c r="L103" s="28" t="str">
        <f aca="false">IF(E103="","",IFERROR(INDEX(Settings!$K$8:$K$38,MATCH(E103,Settings!$H$8:$H$38,0))&amp;"",""))</f>
        <v/>
      </c>
    </row>
    <row r="104" customFormat="false" ht="15" hidden="false" customHeight="false" outlineLevel="0" collapsed="false">
      <c r="A104" s="33"/>
      <c r="B104" s="27"/>
      <c r="C104" s="27"/>
      <c r="D104" s="27"/>
      <c r="E104" s="27"/>
      <c r="F104" s="34"/>
      <c r="G104" s="27"/>
      <c r="H104" s="27"/>
      <c r="I104" s="28" t="str">
        <f aca="false">IF(C104="","",IFERROR(INDEX(Settings!$C$8:$C$19,MATCH(C104,Settings!$B$8:$B$19,0)),"?"))</f>
        <v/>
      </c>
      <c r="J104" s="28" t="str">
        <f aca="false">IF(G104="","",IFERROR(INDEX(Settings!$C$8:$C$19,MATCH(G104,Settings!$B$8:$B$19,0)),"?"))</f>
        <v/>
      </c>
      <c r="K104" s="35" t="str">
        <f aca="false">IF(A104="","",DATE(YEAR(A104),MONTH(A104),1))</f>
        <v/>
      </c>
      <c r="L104" s="28" t="str">
        <f aca="false">IF(E104="","",IFERROR(INDEX(Settings!$K$8:$K$38,MATCH(E104,Settings!$H$8:$H$38,0))&amp;"",""))</f>
        <v/>
      </c>
    </row>
    <row r="105" customFormat="false" ht="15" hidden="false" customHeight="false" outlineLevel="0" collapsed="false">
      <c r="A105" s="33"/>
      <c r="B105" s="27"/>
      <c r="C105" s="27"/>
      <c r="D105" s="27"/>
      <c r="E105" s="27"/>
      <c r="F105" s="34"/>
      <c r="G105" s="27"/>
      <c r="H105" s="27"/>
      <c r="I105" s="28" t="str">
        <f aca="false">IF(C105="","",IFERROR(INDEX(Settings!$C$8:$C$19,MATCH(C105,Settings!$B$8:$B$19,0)),"?"))</f>
        <v/>
      </c>
      <c r="J105" s="28" t="str">
        <f aca="false">IF(G105="","",IFERROR(INDEX(Settings!$C$8:$C$19,MATCH(G105,Settings!$B$8:$B$19,0)),"?"))</f>
        <v/>
      </c>
      <c r="K105" s="35" t="str">
        <f aca="false">IF(A105="","",DATE(YEAR(A105),MONTH(A105),1))</f>
        <v/>
      </c>
      <c r="L105" s="28" t="str">
        <f aca="false">IF(E105="","",IFERROR(INDEX(Settings!$K$8:$K$38,MATCH(E105,Settings!$H$8:$H$38,0))&amp;"",""))</f>
        <v/>
      </c>
    </row>
    <row r="106" customFormat="false" ht="15" hidden="false" customHeight="false" outlineLevel="0" collapsed="false">
      <c r="A106" s="33"/>
      <c r="B106" s="27"/>
      <c r="C106" s="27"/>
      <c r="D106" s="27"/>
      <c r="E106" s="27"/>
      <c r="F106" s="34"/>
      <c r="G106" s="27"/>
      <c r="H106" s="27"/>
      <c r="I106" s="28" t="str">
        <f aca="false">IF(C106="","",IFERROR(INDEX(Settings!$C$8:$C$19,MATCH(C106,Settings!$B$8:$B$19,0)),"?"))</f>
        <v/>
      </c>
      <c r="J106" s="28" t="str">
        <f aca="false">IF(G106="","",IFERROR(INDEX(Settings!$C$8:$C$19,MATCH(G106,Settings!$B$8:$B$19,0)),"?"))</f>
        <v/>
      </c>
      <c r="K106" s="35" t="str">
        <f aca="false">IF(A106="","",DATE(YEAR(A106),MONTH(A106),1))</f>
        <v/>
      </c>
      <c r="L106" s="28" t="str">
        <f aca="false">IF(E106="","",IFERROR(INDEX(Settings!$K$8:$K$38,MATCH(E106,Settings!$H$8:$H$38,0))&amp;"",""))</f>
        <v/>
      </c>
    </row>
    <row r="107" customFormat="false" ht="15" hidden="false" customHeight="false" outlineLevel="0" collapsed="false">
      <c r="A107" s="33"/>
      <c r="B107" s="27"/>
      <c r="C107" s="27"/>
      <c r="D107" s="27"/>
      <c r="E107" s="27"/>
      <c r="F107" s="34"/>
      <c r="G107" s="27"/>
      <c r="H107" s="27"/>
      <c r="I107" s="28" t="str">
        <f aca="false">IF(C107="","",IFERROR(INDEX(Settings!$C$8:$C$19,MATCH(C107,Settings!$B$8:$B$19,0)),"?"))</f>
        <v/>
      </c>
      <c r="J107" s="28" t="str">
        <f aca="false">IF(G107="","",IFERROR(INDEX(Settings!$C$8:$C$19,MATCH(G107,Settings!$B$8:$B$19,0)),"?"))</f>
        <v/>
      </c>
      <c r="K107" s="35" t="str">
        <f aca="false">IF(A107="","",DATE(YEAR(A107),MONTH(A107),1))</f>
        <v/>
      </c>
      <c r="L107" s="28" t="str">
        <f aca="false">IF(E107="","",IFERROR(INDEX(Settings!$K$8:$K$38,MATCH(E107,Settings!$H$8:$H$38,0))&amp;"",""))</f>
        <v/>
      </c>
    </row>
    <row r="108" customFormat="false" ht="15" hidden="false" customHeight="false" outlineLevel="0" collapsed="false">
      <c r="A108" s="33"/>
      <c r="B108" s="27"/>
      <c r="C108" s="27"/>
      <c r="D108" s="27"/>
      <c r="E108" s="27"/>
      <c r="F108" s="34"/>
      <c r="G108" s="27"/>
      <c r="H108" s="27"/>
      <c r="I108" s="28" t="str">
        <f aca="false">IF(C108="","",IFERROR(INDEX(Settings!$C$8:$C$19,MATCH(C108,Settings!$B$8:$B$19,0)),"?"))</f>
        <v/>
      </c>
      <c r="J108" s="28" t="str">
        <f aca="false">IF(G108="","",IFERROR(INDEX(Settings!$C$8:$C$19,MATCH(G108,Settings!$B$8:$B$19,0)),"?"))</f>
        <v/>
      </c>
      <c r="K108" s="35" t="str">
        <f aca="false">IF(A108="","",DATE(YEAR(A108),MONTH(A108),1))</f>
        <v/>
      </c>
      <c r="L108" s="28" t="str">
        <f aca="false">IF(E108="","",IFERROR(INDEX(Settings!$K$8:$K$38,MATCH(E108,Settings!$H$8:$H$38,0))&amp;"",""))</f>
        <v/>
      </c>
    </row>
    <row r="109" customFormat="false" ht="15" hidden="false" customHeight="false" outlineLevel="0" collapsed="false">
      <c r="A109" s="33"/>
      <c r="B109" s="27"/>
      <c r="C109" s="27"/>
      <c r="D109" s="27"/>
      <c r="E109" s="27"/>
      <c r="F109" s="34"/>
      <c r="G109" s="27"/>
      <c r="H109" s="27"/>
      <c r="I109" s="28" t="str">
        <f aca="false">IF(C109="","",IFERROR(INDEX(Settings!$C$8:$C$19,MATCH(C109,Settings!$B$8:$B$19,0)),"?"))</f>
        <v/>
      </c>
      <c r="J109" s="28" t="str">
        <f aca="false">IF(G109="","",IFERROR(INDEX(Settings!$C$8:$C$19,MATCH(G109,Settings!$B$8:$B$19,0)),"?"))</f>
        <v/>
      </c>
      <c r="K109" s="35" t="str">
        <f aca="false">IF(A109="","",DATE(YEAR(A109),MONTH(A109),1))</f>
        <v/>
      </c>
      <c r="L109" s="28" t="str">
        <f aca="false">IF(E109="","",IFERROR(INDEX(Settings!$K$8:$K$38,MATCH(E109,Settings!$H$8:$H$38,0))&amp;"",""))</f>
        <v/>
      </c>
    </row>
    <row r="110" customFormat="false" ht="15" hidden="false" customHeight="false" outlineLevel="0" collapsed="false">
      <c r="A110" s="33"/>
      <c r="B110" s="27"/>
      <c r="C110" s="27"/>
      <c r="D110" s="27"/>
      <c r="E110" s="27"/>
      <c r="F110" s="34"/>
      <c r="G110" s="27"/>
      <c r="H110" s="27"/>
      <c r="I110" s="28" t="str">
        <f aca="false">IF(C110="","",IFERROR(INDEX(Settings!$C$8:$C$19,MATCH(C110,Settings!$B$8:$B$19,0)),"?"))</f>
        <v/>
      </c>
      <c r="J110" s="28" t="str">
        <f aca="false">IF(G110="","",IFERROR(INDEX(Settings!$C$8:$C$19,MATCH(G110,Settings!$B$8:$B$19,0)),"?"))</f>
        <v/>
      </c>
      <c r="K110" s="35" t="str">
        <f aca="false">IF(A110="","",DATE(YEAR(A110),MONTH(A110),1))</f>
        <v/>
      </c>
      <c r="L110" s="28" t="str">
        <f aca="false">IF(E110="","",IFERROR(INDEX(Settings!$K$8:$K$38,MATCH(E110,Settings!$H$8:$H$38,0))&amp;"",""))</f>
        <v/>
      </c>
    </row>
    <row r="111" customFormat="false" ht="15" hidden="false" customHeight="false" outlineLevel="0" collapsed="false">
      <c r="A111" s="33"/>
      <c r="B111" s="27"/>
      <c r="C111" s="27"/>
      <c r="D111" s="27"/>
      <c r="E111" s="27"/>
      <c r="F111" s="34"/>
      <c r="G111" s="27"/>
      <c r="H111" s="27"/>
      <c r="I111" s="28" t="str">
        <f aca="false">IF(C111="","",IFERROR(INDEX(Settings!$C$8:$C$19,MATCH(C111,Settings!$B$8:$B$19,0)),"?"))</f>
        <v/>
      </c>
      <c r="J111" s="28" t="str">
        <f aca="false">IF(G111="","",IFERROR(INDEX(Settings!$C$8:$C$19,MATCH(G111,Settings!$B$8:$B$19,0)),"?"))</f>
        <v/>
      </c>
      <c r="K111" s="35" t="str">
        <f aca="false">IF(A111="","",DATE(YEAR(A111),MONTH(A111),1))</f>
        <v/>
      </c>
      <c r="L111" s="28" t="str">
        <f aca="false">IF(E111="","",IFERROR(INDEX(Settings!$K$8:$K$38,MATCH(E111,Settings!$H$8:$H$38,0))&amp;"",""))</f>
        <v/>
      </c>
    </row>
    <row r="112" customFormat="false" ht="15" hidden="false" customHeight="false" outlineLevel="0" collapsed="false">
      <c r="A112" s="33"/>
      <c r="B112" s="27"/>
      <c r="C112" s="27"/>
      <c r="D112" s="27"/>
      <c r="E112" s="27"/>
      <c r="F112" s="34"/>
      <c r="G112" s="27"/>
      <c r="H112" s="27"/>
      <c r="I112" s="28" t="str">
        <f aca="false">IF(C112="","",IFERROR(INDEX(Settings!$C$8:$C$19,MATCH(C112,Settings!$B$8:$B$19,0)),"?"))</f>
        <v/>
      </c>
      <c r="J112" s="28" t="str">
        <f aca="false">IF(G112="","",IFERROR(INDEX(Settings!$C$8:$C$19,MATCH(G112,Settings!$B$8:$B$19,0)),"?"))</f>
        <v/>
      </c>
      <c r="K112" s="35" t="str">
        <f aca="false">IF(A112="","",DATE(YEAR(A112),MONTH(A112),1))</f>
        <v/>
      </c>
      <c r="L112" s="28" t="str">
        <f aca="false">IF(E112="","",IFERROR(INDEX(Settings!$K$8:$K$38,MATCH(E112,Settings!$H$8:$H$38,0))&amp;"",""))</f>
        <v/>
      </c>
    </row>
    <row r="113" customFormat="false" ht="15" hidden="false" customHeight="false" outlineLevel="0" collapsed="false">
      <c r="A113" s="33"/>
      <c r="B113" s="27"/>
      <c r="C113" s="27"/>
      <c r="D113" s="27"/>
      <c r="E113" s="27"/>
      <c r="F113" s="34"/>
      <c r="G113" s="27"/>
      <c r="H113" s="27"/>
      <c r="I113" s="28" t="str">
        <f aca="false">IF(C113="","",IFERROR(INDEX(Settings!$C$8:$C$19,MATCH(C113,Settings!$B$8:$B$19,0)),"?"))</f>
        <v/>
      </c>
      <c r="J113" s="28" t="str">
        <f aca="false">IF(G113="","",IFERROR(INDEX(Settings!$C$8:$C$19,MATCH(G113,Settings!$B$8:$B$19,0)),"?"))</f>
        <v/>
      </c>
      <c r="K113" s="35" t="str">
        <f aca="false">IF(A113="","",DATE(YEAR(A113),MONTH(A113),1))</f>
        <v/>
      </c>
      <c r="L113" s="28" t="str">
        <f aca="false">IF(E113="","",IFERROR(INDEX(Settings!$K$8:$K$38,MATCH(E113,Settings!$H$8:$H$38,0))&amp;"",""))</f>
        <v/>
      </c>
    </row>
    <row r="114" customFormat="false" ht="15" hidden="false" customHeight="false" outlineLevel="0" collapsed="false">
      <c r="A114" s="33"/>
      <c r="B114" s="27"/>
      <c r="C114" s="27"/>
      <c r="D114" s="27"/>
      <c r="E114" s="27"/>
      <c r="F114" s="34"/>
      <c r="G114" s="27"/>
      <c r="H114" s="27"/>
      <c r="I114" s="28" t="str">
        <f aca="false">IF(C114="","",IFERROR(INDEX(Settings!$C$8:$C$19,MATCH(C114,Settings!$B$8:$B$19,0)),"?"))</f>
        <v/>
      </c>
      <c r="J114" s="28" t="str">
        <f aca="false">IF(G114="","",IFERROR(INDEX(Settings!$C$8:$C$19,MATCH(G114,Settings!$B$8:$B$19,0)),"?"))</f>
        <v/>
      </c>
      <c r="K114" s="35" t="str">
        <f aca="false">IF(A114="","",DATE(YEAR(A114),MONTH(A114),1))</f>
        <v/>
      </c>
      <c r="L114" s="28" t="str">
        <f aca="false">IF(E114="","",IFERROR(INDEX(Settings!$K$8:$K$38,MATCH(E114,Settings!$H$8:$H$38,0))&amp;"",""))</f>
        <v/>
      </c>
    </row>
    <row r="115" customFormat="false" ht="15" hidden="false" customHeight="false" outlineLevel="0" collapsed="false">
      <c r="A115" s="33"/>
      <c r="B115" s="27"/>
      <c r="C115" s="27"/>
      <c r="D115" s="27"/>
      <c r="E115" s="27"/>
      <c r="F115" s="34"/>
      <c r="G115" s="27"/>
      <c r="H115" s="27"/>
      <c r="I115" s="28" t="str">
        <f aca="false">IF(C115="","",IFERROR(INDEX(Settings!$C$8:$C$19,MATCH(C115,Settings!$B$8:$B$19,0)),"?"))</f>
        <v/>
      </c>
      <c r="J115" s="28" t="str">
        <f aca="false">IF(G115="","",IFERROR(INDEX(Settings!$C$8:$C$19,MATCH(G115,Settings!$B$8:$B$19,0)),"?"))</f>
        <v/>
      </c>
      <c r="K115" s="35" t="str">
        <f aca="false">IF(A115="","",DATE(YEAR(A115),MONTH(A115),1))</f>
        <v/>
      </c>
      <c r="L115" s="28" t="str">
        <f aca="false">IF(E115="","",IFERROR(INDEX(Settings!$K$8:$K$38,MATCH(E115,Settings!$H$8:$H$38,0))&amp;"",""))</f>
        <v/>
      </c>
    </row>
    <row r="116" customFormat="false" ht="15" hidden="false" customHeight="false" outlineLevel="0" collapsed="false">
      <c r="A116" s="33"/>
      <c r="B116" s="27"/>
      <c r="C116" s="27"/>
      <c r="D116" s="27"/>
      <c r="E116" s="27"/>
      <c r="F116" s="34"/>
      <c r="G116" s="27"/>
      <c r="H116" s="27"/>
      <c r="I116" s="28" t="str">
        <f aca="false">IF(C116="","",IFERROR(INDEX(Settings!$C$8:$C$19,MATCH(C116,Settings!$B$8:$B$19,0)),"?"))</f>
        <v/>
      </c>
      <c r="J116" s="28" t="str">
        <f aca="false">IF(G116="","",IFERROR(INDEX(Settings!$C$8:$C$19,MATCH(G116,Settings!$B$8:$B$19,0)),"?"))</f>
        <v/>
      </c>
      <c r="K116" s="35" t="str">
        <f aca="false">IF(A116="","",DATE(YEAR(A116),MONTH(A116),1))</f>
        <v/>
      </c>
      <c r="L116" s="28" t="str">
        <f aca="false">IF(E116="","",IFERROR(INDEX(Settings!$K$8:$K$38,MATCH(E116,Settings!$H$8:$H$38,0))&amp;"",""))</f>
        <v/>
      </c>
    </row>
    <row r="117" customFormat="false" ht="15" hidden="false" customHeight="false" outlineLevel="0" collapsed="false">
      <c r="A117" s="33"/>
      <c r="B117" s="27"/>
      <c r="C117" s="27"/>
      <c r="D117" s="27"/>
      <c r="E117" s="27"/>
      <c r="F117" s="34"/>
      <c r="G117" s="27"/>
      <c r="H117" s="27"/>
      <c r="I117" s="28" t="str">
        <f aca="false">IF(C117="","",IFERROR(INDEX(Settings!$C$8:$C$19,MATCH(C117,Settings!$B$8:$B$19,0)),"?"))</f>
        <v/>
      </c>
      <c r="J117" s="28" t="str">
        <f aca="false">IF(G117="","",IFERROR(INDEX(Settings!$C$8:$C$19,MATCH(G117,Settings!$B$8:$B$19,0)),"?"))</f>
        <v/>
      </c>
      <c r="K117" s="35" t="str">
        <f aca="false">IF(A117="","",DATE(YEAR(A117),MONTH(A117),1))</f>
        <v/>
      </c>
      <c r="L117" s="28" t="str">
        <f aca="false">IF(E117="","",IFERROR(INDEX(Settings!$K$8:$K$38,MATCH(E117,Settings!$H$8:$H$38,0))&amp;"",""))</f>
        <v/>
      </c>
    </row>
    <row r="118" customFormat="false" ht="15" hidden="false" customHeight="false" outlineLevel="0" collapsed="false">
      <c r="A118" s="33"/>
      <c r="B118" s="27"/>
      <c r="C118" s="27"/>
      <c r="D118" s="27"/>
      <c r="E118" s="27"/>
      <c r="F118" s="34"/>
      <c r="G118" s="27"/>
      <c r="H118" s="27"/>
      <c r="I118" s="28" t="str">
        <f aca="false">IF(C118="","",IFERROR(INDEX(Settings!$C$8:$C$19,MATCH(C118,Settings!$B$8:$B$19,0)),"?"))</f>
        <v/>
      </c>
      <c r="J118" s="28" t="str">
        <f aca="false">IF(G118="","",IFERROR(INDEX(Settings!$C$8:$C$19,MATCH(G118,Settings!$B$8:$B$19,0)),"?"))</f>
        <v/>
      </c>
      <c r="K118" s="35" t="str">
        <f aca="false">IF(A118="","",DATE(YEAR(A118),MONTH(A118),1))</f>
        <v/>
      </c>
      <c r="L118" s="28" t="str">
        <f aca="false">IF(E118="","",IFERROR(INDEX(Settings!$K$8:$K$38,MATCH(E118,Settings!$H$8:$H$38,0))&amp;"",""))</f>
        <v/>
      </c>
    </row>
    <row r="119" customFormat="false" ht="15" hidden="false" customHeight="false" outlineLevel="0" collapsed="false">
      <c r="A119" s="33"/>
      <c r="B119" s="27"/>
      <c r="C119" s="27"/>
      <c r="D119" s="27"/>
      <c r="E119" s="27"/>
      <c r="F119" s="34"/>
      <c r="G119" s="27"/>
      <c r="H119" s="27"/>
      <c r="I119" s="28" t="str">
        <f aca="false">IF(C119="","",IFERROR(INDEX(Settings!$C$8:$C$19,MATCH(C119,Settings!$B$8:$B$19,0)),"?"))</f>
        <v/>
      </c>
      <c r="J119" s="28" t="str">
        <f aca="false">IF(G119="","",IFERROR(INDEX(Settings!$C$8:$C$19,MATCH(G119,Settings!$B$8:$B$19,0)),"?"))</f>
        <v/>
      </c>
      <c r="K119" s="35" t="str">
        <f aca="false">IF(A119="","",DATE(YEAR(A119),MONTH(A119),1))</f>
        <v/>
      </c>
      <c r="L119" s="28" t="str">
        <f aca="false">IF(E119="","",IFERROR(INDEX(Settings!$K$8:$K$38,MATCH(E119,Settings!$H$8:$H$38,0))&amp;"",""))</f>
        <v/>
      </c>
    </row>
    <row r="120" customFormat="false" ht="15" hidden="false" customHeight="false" outlineLevel="0" collapsed="false">
      <c r="A120" s="33"/>
      <c r="B120" s="27"/>
      <c r="C120" s="27"/>
      <c r="D120" s="27"/>
      <c r="E120" s="27"/>
      <c r="F120" s="34"/>
      <c r="G120" s="27"/>
      <c r="H120" s="27"/>
      <c r="I120" s="28" t="str">
        <f aca="false">IF(C120="","",IFERROR(INDEX(Settings!$C$8:$C$19,MATCH(C120,Settings!$B$8:$B$19,0)),"?"))</f>
        <v/>
      </c>
      <c r="J120" s="28" t="str">
        <f aca="false">IF(G120="","",IFERROR(INDEX(Settings!$C$8:$C$19,MATCH(G120,Settings!$B$8:$B$19,0)),"?"))</f>
        <v/>
      </c>
      <c r="K120" s="35" t="str">
        <f aca="false">IF(A120="","",DATE(YEAR(A120),MONTH(A120),1))</f>
        <v/>
      </c>
      <c r="L120" s="28" t="str">
        <f aca="false">IF(E120="","",IFERROR(INDEX(Settings!$K$8:$K$38,MATCH(E120,Settings!$H$8:$H$38,0))&amp;"",""))</f>
        <v/>
      </c>
    </row>
    <row r="121" customFormat="false" ht="15" hidden="false" customHeight="false" outlineLevel="0" collapsed="false">
      <c r="A121" s="33"/>
      <c r="B121" s="27"/>
      <c r="C121" s="27"/>
      <c r="D121" s="27"/>
      <c r="E121" s="27"/>
      <c r="F121" s="34"/>
      <c r="G121" s="27"/>
      <c r="H121" s="27"/>
      <c r="I121" s="28" t="str">
        <f aca="false">IF(C121="","",IFERROR(INDEX(Settings!$C$8:$C$19,MATCH(C121,Settings!$B$8:$B$19,0)),"?"))</f>
        <v/>
      </c>
      <c r="J121" s="28" t="str">
        <f aca="false">IF(G121="","",IFERROR(INDEX(Settings!$C$8:$C$19,MATCH(G121,Settings!$B$8:$B$19,0)),"?"))</f>
        <v/>
      </c>
      <c r="K121" s="35" t="str">
        <f aca="false">IF(A121="","",DATE(YEAR(A121),MONTH(A121),1))</f>
        <v/>
      </c>
      <c r="L121" s="28" t="str">
        <f aca="false">IF(E121="","",IFERROR(INDEX(Settings!$K$8:$K$38,MATCH(E121,Settings!$H$8:$H$38,0))&amp;"",""))</f>
        <v/>
      </c>
    </row>
    <row r="122" customFormat="false" ht="15" hidden="false" customHeight="false" outlineLevel="0" collapsed="false">
      <c r="A122" s="33"/>
      <c r="B122" s="27"/>
      <c r="C122" s="27"/>
      <c r="D122" s="27"/>
      <c r="E122" s="27"/>
      <c r="F122" s="34"/>
      <c r="G122" s="27"/>
      <c r="H122" s="27"/>
      <c r="I122" s="28" t="str">
        <f aca="false">IF(C122="","",IFERROR(INDEX(Settings!$C$8:$C$19,MATCH(C122,Settings!$B$8:$B$19,0)),"?"))</f>
        <v/>
      </c>
      <c r="J122" s="28" t="str">
        <f aca="false">IF(G122="","",IFERROR(INDEX(Settings!$C$8:$C$19,MATCH(G122,Settings!$B$8:$B$19,0)),"?"))</f>
        <v/>
      </c>
      <c r="K122" s="35" t="str">
        <f aca="false">IF(A122="","",DATE(YEAR(A122),MONTH(A122),1))</f>
        <v/>
      </c>
      <c r="L122" s="28" t="str">
        <f aca="false">IF(E122="","",IFERROR(INDEX(Settings!$K$8:$K$38,MATCH(E122,Settings!$H$8:$H$38,0))&amp;"",""))</f>
        <v/>
      </c>
    </row>
    <row r="123" customFormat="false" ht="15" hidden="false" customHeight="false" outlineLevel="0" collapsed="false">
      <c r="A123" s="33"/>
      <c r="B123" s="27"/>
      <c r="C123" s="27"/>
      <c r="D123" s="27"/>
      <c r="E123" s="27"/>
      <c r="F123" s="34"/>
      <c r="G123" s="27"/>
      <c r="H123" s="27"/>
      <c r="I123" s="28" t="str">
        <f aca="false">IF(C123="","",IFERROR(INDEX(Settings!$C$8:$C$19,MATCH(C123,Settings!$B$8:$B$19,0)),"?"))</f>
        <v/>
      </c>
      <c r="J123" s="28" t="str">
        <f aca="false">IF(G123="","",IFERROR(INDEX(Settings!$C$8:$C$19,MATCH(G123,Settings!$B$8:$B$19,0)),"?"))</f>
        <v/>
      </c>
      <c r="K123" s="35" t="str">
        <f aca="false">IF(A123="","",DATE(YEAR(A123),MONTH(A123),1))</f>
        <v/>
      </c>
      <c r="L123" s="28" t="str">
        <f aca="false">IF(E123="","",IFERROR(INDEX(Settings!$K$8:$K$38,MATCH(E123,Settings!$H$8:$H$38,0))&amp;"",""))</f>
        <v/>
      </c>
    </row>
    <row r="124" customFormat="false" ht="15" hidden="false" customHeight="false" outlineLevel="0" collapsed="false">
      <c r="A124" s="33"/>
      <c r="B124" s="27"/>
      <c r="C124" s="27"/>
      <c r="D124" s="27"/>
      <c r="E124" s="27"/>
      <c r="F124" s="34"/>
      <c r="G124" s="27"/>
      <c r="H124" s="27"/>
      <c r="I124" s="28" t="str">
        <f aca="false">IF(C124="","",IFERROR(INDEX(Settings!$C$8:$C$19,MATCH(C124,Settings!$B$8:$B$19,0)),"?"))</f>
        <v/>
      </c>
      <c r="J124" s="28" t="str">
        <f aca="false">IF(G124="","",IFERROR(INDEX(Settings!$C$8:$C$19,MATCH(G124,Settings!$B$8:$B$19,0)),"?"))</f>
        <v/>
      </c>
      <c r="K124" s="35" t="str">
        <f aca="false">IF(A124="","",DATE(YEAR(A124),MONTH(A124),1))</f>
        <v/>
      </c>
      <c r="L124" s="28" t="str">
        <f aca="false">IF(E124="","",IFERROR(INDEX(Settings!$K$8:$K$38,MATCH(E124,Settings!$H$8:$H$38,0))&amp;"",""))</f>
        <v/>
      </c>
    </row>
    <row r="125" customFormat="false" ht="15" hidden="false" customHeight="false" outlineLevel="0" collapsed="false">
      <c r="A125" s="33"/>
      <c r="B125" s="27"/>
      <c r="C125" s="27"/>
      <c r="D125" s="27"/>
      <c r="E125" s="27"/>
      <c r="F125" s="34"/>
      <c r="G125" s="27"/>
      <c r="H125" s="27"/>
      <c r="I125" s="28" t="str">
        <f aca="false">IF(C125="","",IFERROR(INDEX(Settings!$C$8:$C$19,MATCH(C125,Settings!$B$8:$B$19,0)),"?"))</f>
        <v/>
      </c>
      <c r="J125" s="28" t="str">
        <f aca="false">IF(G125="","",IFERROR(INDEX(Settings!$C$8:$C$19,MATCH(G125,Settings!$B$8:$B$19,0)),"?"))</f>
        <v/>
      </c>
      <c r="K125" s="35" t="str">
        <f aca="false">IF(A125="","",DATE(YEAR(A125),MONTH(A125),1))</f>
        <v/>
      </c>
      <c r="L125" s="28" t="str">
        <f aca="false">IF(E125="","",IFERROR(INDEX(Settings!$K$8:$K$38,MATCH(E125,Settings!$H$8:$H$38,0))&amp;"",""))</f>
        <v/>
      </c>
    </row>
    <row r="126" customFormat="false" ht="15" hidden="false" customHeight="false" outlineLevel="0" collapsed="false">
      <c r="A126" s="33"/>
      <c r="B126" s="27"/>
      <c r="C126" s="27"/>
      <c r="D126" s="27"/>
      <c r="E126" s="27"/>
      <c r="F126" s="34"/>
      <c r="G126" s="27"/>
      <c r="H126" s="27"/>
      <c r="I126" s="28" t="str">
        <f aca="false">IF(C126="","",IFERROR(INDEX(Settings!$C$8:$C$19,MATCH(C126,Settings!$B$8:$B$19,0)),"?"))</f>
        <v/>
      </c>
      <c r="J126" s="28" t="str">
        <f aca="false">IF(G126="","",IFERROR(INDEX(Settings!$C$8:$C$19,MATCH(G126,Settings!$B$8:$B$19,0)),"?"))</f>
        <v/>
      </c>
      <c r="K126" s="35" t="str">
        <f aca="false">IF(A126="","",DATE(YEAR(A126),MONTH(A126),1))</f>
        <v/>
      </c>
      <c r="L126" s="28" t="str">
        <f aca="false">IF(E126="","",IFERROR(INDEX(Settings!$K$8:$K$38,MATCH(E126,Settings!$H$8:$H$38,0))&amp;"",""))</f>
        <v/>
      </c>
    </row>
    <row r="127" customFormat="false" ht="15" hidden="false" customHeight="false" outlineLevel="0" collapsed="false">
      <c r="A127" s="33"/>
      <c r="B127" s="27"/>
      <c r="C127" s="27"/>
      <c r="D127" s="27"/>
      <c r="E127" s="27"/>
      <c r="F127" s="34"/>
      <c r="G127" s="27"/>
      <c r="H127" s="27"/>
      <c r="I127" s="28" t="str">
        <f aca="false">IF(C127="","",IFERROR(INDEX(Settings!$C$8:$C$19,MATCH(C127,Settings!$B$8:$B$19,0)),"?"))</f>
        <v/>
      </c>
      <c r="J127" s="28" t="str">
        <f aca="false">IF(G127="","",IFERROR(INDEX(Settings!$C$8:$C$19,MATCH(G127,Settings!$B$8:$B$19,0)),"?"))</f>
        <v/>
      </c>
      <c r="K127" s="35" t="str">
        <f aca="false">IF(A127="","",DATE(YEAR(A127),MONTH(A127),1))</f>
        <v/>
      </c>
      <c r="L127" s="28" t="str">
        <f aca="false">IF(E127="","",IFERROR(INDEX(Settings!$K$8:$K$38,MATCH(E127,Settings!$H$8:$H$38,0))&amp;"",""))</f>
        <v/>
      </c>
    </row>
    <row r="128" customFormat="false" ht="15" hidden="false" customHeight="false" outlineLevel="0" collapsed="false">
      <c r="A128" s="33"/>
      <c r="B128" s="27"/>
      <c r="C128" s="27"/>
      <c r="D128" s="27"/>
      <c r="E128" s="27"/>
      <c r="F128" s="34"/>
      <c r="G128" s="27"/>
      <c r="H128" s="27"/>
      <c r="I128" s="28" t="str">
        <f aca="false">IF(C128="","",IFERROR(INDEX(Settings!$C$8:$C$19,MATCH(C128,Settings!$B$8:$B$19,0)),"?"))</f>
        <v/>
      </c>
      <c r="J128" s="28" t="str">
        <f aca="false">IF(G128="","",IFERROR(INDEX(Settings!$C$8:$C$19,MATCH(G128,Settings!$B$8:$B$19,0)),"?"))</f>
        <v/>
      </c>
      <c r="K128" s="35" t="str">
        <f aca="false">IF(A128="","",DATE(YEAR(A128),MONTH(A128),1))</f>
        <v/>
      </c>
      <c r="L128" s="28" t="str">
        <f aca="false">IF(E128="","",IFERROR(INDEX(Settings!$K$8:$K$38,MATCH(E128,Settings!$H$8:$H$38,0))&amp;"",""))</f>
        <v/>
      </c>
    </row>
    <row r="129" customFormat="false" ht="15" hidden="false" customHeight="false" outlineLevel="0" collapsed="false">
      <c r="A129" s="33"/>
      <c r="B129" s="27"/>
      <c r="C129" s="27"/>
      <c r="D129" s="27"/>
      <c r="E129" s="27"/>
      <c r="F129" s="34"/>
      <c r="G129" s="27"/>
      <c r="H129" s="27"/>
      <c r="I129" s="28" t="str">
        <f aca="false">IF(C129="","",IFERROR(INDEX(Settings!$C$8:$C$19,MATCH(C129,Settings!$B$8:$B$19,0)),"?"))</f>
        <v/>
      </c>
      <c r="J129" s="28" t="str">
        <f aca="false">IF(G129="","",IFERROR(INDEX(Settings!$C$8:$C$19,MATCH(G129,Settings!$B$8:$B$19,0)),"?"))</f>
        <v/>
      </c>
      <c r="K129" s="35" t="str">
        <f aca="false">IF(A129="","",DATE(YEAR(A129),MONTH(A129),1))</f>
        <v/>
      </c>
      <c r="L129" s="28" t="str">
        <f aca="false">IF(E129="","",IFERROR(INDEX(Settings!$K$8:$K$38,MATCH(E129,Settings!$H$8:$H$38,0))&amp;"",""))</f>
        <v/>
      </c>
    </row>
    <row r="130" customFormat="false" ht="15" hidden="false" customHeight="false" outlineLevel="0" collapsed="false">
      <c r="A130" s="33"/>
      <c r="B130" s="27"/>
      <c r="C130" s="27"/>
      <c r="D130" s="27"/>
      <c r="E130" s="27"/>
      <c r="F130" s="34"/>
      <c r="G130" s="27"/>
      <c r="H130" s="27"/>
      <c r="I130" s="28" t="str">
        <f aca="false">IF(C130="","",IFERROR(INDEX(Settings!$C$8:$C$19,MATCH(C130,Settings!$B$8:$B$19,0)),"?"))</f>
        <v/>
      </c>
      <c r="J130" s="28" t="str">
        <f aca="false">IF(G130="","",IFERROR(INDEX(Settings!$C$8:$C$19,MATCH(G130,Settings!$B$8:$B$19,0)),"?"))</f>
        <v/>
      </c>
      <c r="K130" s="35" t="str">
        <f aca="false">IF(A130="","",DATE(YEAR(A130),MONTH(A130),1))</f>
        <v/>
      </c>
      <c r="L130" s="28" t="str">
        <f aca="false">IF(E130="","",IFERROR(INDEX(Settings!$K$8:$K$38,MATCH(E130,Settings!$H$8:$H$38,0))&amp;"",""))</f>
        <v/>
      </c>
    </row>
    <row r="131" customFormat="false" ht="15" hidden="false" customHeight="false" outlineLevel="0" collapsed="false">
      <c r="A131" s="33"/>
      <c r="B131" s="27"/>
      <c r="C131" s="27"/>
      <c r="D131" s="27"/>
      <c r="E131" s="27"/>
      <c r="F131" s="34"/>
      <c r="G131" s="27"/>
      <c r="H131" s="27"/>
      <c r="I131" s="28" t="str">
        <f aca="false">IF(C131="","",IFERROR(INDEX(Settings!$C$8:$C$19,MATCH(C131,Settings!$B$8:$B$19,0)),"?"))</f>
        <v/>
      </c>
      <c r="J131" s="28" t="str">
        <f aca="false">IF(G131="","",IFERROR(INDEX(Settings!$C$8:$C$19,MATCH(G131,Settings!$B$8:$B$19,0)),"?"))</f>
        <v/>
      </c>
      <c r="K131" s="35" t="str">
        <f aca="false">IF(A131="","",DATE(YEAR(A131),MONTH(A131),1))</f>
        <v/>
      </c>
      <c r="L131" s="28" t="str">
        <f aca="false">IF(E131="","",IFERROR(INDEX(Settings!$K$8:$K$38,MATCH(E131,Settings!$H$8:$H$38,0))&amp;"",""))</f>
        <v/>
      </c>
    </row>
    <row r="132" customFormat="false" ht="15" hidden="false" customHeight="false" outlineLevel="0" collapsed="false">
      <c r="A132" s="33"/>
      <c r="B132" s="27"/>
      <c r="C132" s="27"/>
      <c r="D132" s="27"/>
      <c r="E132" s="27"/>
      <c r="F132" s="34"/>
      <c r="G132" s="27"/>
      <c r="H132" s="27"/>
      <c r="I132" s="28" t="str">
        <f aca="false">IF(C132="","",IFERROR(INDEX(Settings!$C$8:$C$19,MATCH(C132,Settings!$B$8:$B$19,0)),"?"))</f>
        <v/>
      </c>
      <c r="J132" s="28" t="str">
        <f aca="false">IF(G132="","",IFERROR(INDEX(Settings!$C$8:$C$19,MATCH(G132,Settings!$B$8:$B$19,0)),"?"))</f>
        <v/>
      </c>
      <c r="K132" s="35" t="str">
        <f aca="false">IF(A132="","",DATE(YEAR(A132),MONTH(A132),1))</f>
        <v/>
      </c>
      <c r="L132" s="28" t="str">
        <f aca="false">IF(E132="","",IFERROR(INDEX(Settings!$K$8:$K$38,MATCH(E132,Settings!$H$8:$H$38,0))&amp;"",""))</f>
        <v/>
      </c>
    </row>
    <row r="133" customFormat="false" ht="15" hidden="false" customHeight="false" outlineLevel="0" collapsed="false">
      <c r="A133" s="33"/>
      <c r="B133" s="27"/>
      <c r="C133" s="27"/>
      <c r="D133" s="27"/>
      <c r="E133" s="27"/>
      <c r="F133" s="34"/>
      <c r="G133" s="27"/>
      <c r="H133" s="27"/>
      <c r="I133" s="28" t="str">
        <f aca="false">IF(C133="","",IFERROR(INDEX(Settings!$C$8:$C$19,MATCH(C133,Settings!$B$8:$B$19,0)),"?"))</f>
        <v/>
      </c>
      <c r="J133" s="28" t="str">
        <f aca="false">IF(G133="","",IFERROR(INDEX(Settings!$C$8:$C$19,MATCH(G133,Settings!$B$8:$B$19,0)),"?"))</f>
        <v/>
      </c>
      <c r="K133" s="35" t="str">
        <f aca="false">IF(A133="","",DATE(YEAR(A133),MONTH(A133),1))</f>
        <v/>
      </c>
      <c r="L133" s="28" t="str">
        <f aca="false">IF(E133="","",IFERROR(INDEX(Settings!$K$8:$K$38,MATCH(E133,Settings!$H$8:$H$38,0))&amp;"",""))</f>
        <v/>
      </c>
    </row>
    <row r="134" customFormat="false" ht="15" hidden="false" customHeight="false" outlineLevel="0" collapsed="false">
      <c r="A134" s="33"/>
      <c r="B134" s="27"/>
      <c r="C134" s="27"/>
      <c r="D134" s="27"/>
      <c r="E134" s="27"/>
      <c r="F134" s="34"/>
      <c r="G134" s="27"/>
      <c r="H134" s="27"/>
      <c r="I134" s="28" t="str">
        <f aca="false">IF(C134="","",IFERROR(INDEX(Settings!$C$8:$C$19,MATCH(C134,Settings!$B$8:$B$19,0)),"?"))</f>
        <v/>
      </c>
      <c r="J134" s="28" t="str">
        <f aca="false">IF(G134="","",IFERROR(INDEX(Settings!$C$8:$C$19,MATCH(G134,Settings!$B$8:$B$19,0)),"?"))</f>
        <v/>
      </c>
      <c r="K134" s="35" t="str">
        <f aca="false">IF(A134="","",DATE(YEAR(A134),MONTH(A134),1))</f>
        <v/>
      </c>
      <c r="L134" s="28" t="str">
        <f aca="false">IF(E134="","",IFERROR(INDEX(Settings!$K$8:$K$38,MATCH(E134,Settings!$H$8:$H$38,0))&amp;"",""))</f>
        <v/>
      </c>
    </row>
    <row r="135" customFormat="false" ht="15" hidden="false" customHeight="false" outlineLevel="0" collapsed="false">
      <c r="A135" s="33"/>
      <c r="B135" s="27"/>
      <c r="C135" s="27"/>
      <c r="D135" s="27"/>
      <c r="E135" s="27"/>
      <c r="F135" s="34"/>
      <c r="G135" s="27"/>
      <c r="H135" s="27"/>
      <c r="I135" s="28" t="str">
        <f aca="false">IF(C135="","",IFERROR(INDEX(Settings!$C$8:$C$19,MATCH(C135,Settings!$B$8:$B$19,0)),"?"))</f>
        <v/>
      </c>
      <c r="J135" s="28" t="str">
        <f aca="false">IF(G135="","",IFERROR(INDEX(Settings!$C$8:$C$19,MATCH(G135,Settings!$B$8:$B$19,0)),"?"))</f>
        <v/>
      </c>
      <c r="K135" s="35" t="str">
        <f aca="false">IF(A135="","",DATE(YEAR(A135),MONTH(A135),1))</f>
        <v/>
      </c>
      <c r="L135" s="28" t="str">
        <f aca="false">IF(E135="","",IFERROR(INDEX(Settings!$K$8:$K$38,MATCH(E135,Settings!$H$8:$H$38,0))&amp;"",""))</f>
        <v/>
      </c>
    </row>
    <row r="136" customFormat="false" ht="15" hidden="false" customHeight="false" outlineLevel="0" collapsed="false">
      <c r="A136" s="33"/>
      <c r="B136" s="27"/>
      <c r="C136" s="27"/>
      <c r="D136" s="27"/>
      <c r="E136" s="27"/>
      <c r="F136" s="34"/>
      <c r="G136" s="27"/>
      <c r="H136" s="27"/>
      <c r="I136" s="28" t="str">
        <f aca="false">IF(C136="","",IFERROR(INDEX(Settings!$C$8:$C$19,MATCH(C136,Settings!$B$8:$B$19,0)),"?"))</f>
        <v/>
      </c>
      <c r="J136" s="28" t="str">
        <f aca="false">IF(G136="","",IFERROR(INDEX(Settings!$C$8:$C$19,MATCH(G136,Settings!$B$8:$B$19,0)),"?"))</f>
        <v/>
      </c>
      <c r="K136" s="35" t="str">
        <f aca="false">IF(A136="","",DATE(YEAR(A136),MONTH(A136),1))</f>
        <v/>
      </c>
      <c r="L136" s="28" t="str">
        <f aca="false">IF(E136="","",IFERROR(INDEX(Settings!$K$8:$K$38,MATCH(E136,Settings!$H$8:$H$38,0))&amp;"",""))</f>
        <v/>
      </c>
    </row>
    <row r="137" customFormat="false" ht="15" hidden="false" customHeight="false" outlineLevel="0" collapsed="false">
      <c r="A137" s="33"/>
      <c r="B137" s="27"/>
      <c r="C137" s="27"/>
      <c r="D137" s="27"/>
      <c r="E137" s="27"/>
      <c r="F137" s="34"/>
      <c r="G137" s="27"/>
      <c r="H137" s="27"/>
      <c r="I137" s="28" t="str">
        <f aca="false">IF(C137="","",IFERROR(INDEX(Settings!$C$8:$C$19,MATCH(C137,Settings!$B$8:$B$19,0)),"?"))</f>
        <v/>
      </c>
      <c r="J137" s="28" t="str">
        <f aca="false">IF(G137="","",IFERROR(INDEX(Settings!$C$8:$C$19,MATCH(G137,Settings!$B$8:$B$19,0)),"?"))</f>
        <v/>
      </c>
      <c r="K137" s="35" t="str">
        <f aca="false">IF(A137="","",DATE(YEAR(A137),MONTH(A137),1))</f>
        <v/>
      </c>
      <c r="L137" s="28" t="str">
        <f aca="false">IF(E137="","",IFERROR(INDEX(Settings!$K$8:$K$38,MATCH(E137,Settings!$H$8:$H$38,0))&amp;"",""))</f>
        <v/>
      </c>
    </row>
    <row r="138" customFormat="false" ht="15" hidden="false" customHeight="false" outlineLevel="0" collapsed="false">
      <c r="A138" s="33"/>
      <c r="B138" s="27"/>
      <c r="C138" s="27"/>
      <c r="D138" s="27"/>
      <c r="E138" s="27"/>
      <c r="F138" s="34"/>
      <c r="G138" s="27"/>
      <c r="H138" s="27"/>
      <c r="I138" s="28" t="str">
        <f aca="false">IF(C138="","",IFERROR(INDEX(Settings!$C$8:$C$19,MATCH(C138,Settings!$B$8:$B$19,0)),"?"))</f>
        <v/>
      </c>
      <c r="J138" s="28" t="str">
        <f aca="false">IF(G138="","",IFERROR(INDEX(Settings!$C$8:$C$19,MATCH(G138,Settings!$B$8:$B$19,0)),"?"))</f>
        <v/>
      </c>
      <c r="K138" s="35" t="str">
        <f aca="false">IF(A138="","",DATE(YEAR(A138),MONTH(A138),1))</f>
        <v/>
      </c>
      <c r="L138" s="28" t="str">
        <f aca="false">IF(E138="","",IFERROR(INDEX(Settings!$K$8:$K$38,MATCH(E138,Settings!$H$8:$H$38,0))&amp;"",""))</f>
        <v/>
      </c>
    </row>
    <row r="139" customFormat="false" ht="15" hidden="false" customHeight="false" outlineLevel="0" collapsed="false">
      <c r="A139" s="33"/>
      <c r="B139" s="27"/>
      <c r="C139" s="27"/>
      <c r="D139" s="27"/>
      <c r="E139" s="27"/>
      <c r="F139" s="34"/>
      <c r="G139" s="27"/>
      <c r="H139" s="27"/>
      <c r="I139" s="28" t="str">
        <f aca="false">IF(C139="","",IFERROR(INDEX(Settings!$C$8:$C$19,MATCH(C139,Settings!$B$8:$B$19,0)),"?"))</f>
        <v/>
      </c>
      <c r="J139" s="28" t="str">
        <f aca="false">IF(G139="","",IFERROR(INDEX(Settings!$C$8:$C$19,MATCH(G139,Settings!$B$8:$B$19,0)),"?"))</f>
        <v/>
      </c>
      <c r="K139" s="35" t="str">
        <f aca="false">IF(A139="","",DATE(YEAR(A139),MONTH(A139),1))</f>
        <v/>
      </c>
      <c r="L139" s="28" t="str">
        <f aca="false">IF(E139="","",IFERROR(INDEX(Settings!$K$8:$K$38,MATCH(E139,Settings!$H$8:$H$38,0))&amp;"",""))</f>
        <v/>
      </c>
    </row>
    <row r="140" customFormat="false" ht="15" hidden="false" customHeight="false" outlineLevel="0" collapsed="false">
      <c r="A140" s="33"/>
      <c r="B140" s="27"/>
      <c r="C140" s="27"/>
      <c r="D140" s="27"/>
      <c r="E140" s="27"/>
      <c r="F140" s="34"/>
      <c r="G140" s="27"/>
      <c r="H140" s="27"/>
      <c r="I140" s="28" t="str">
        <f aca="false">IF(C140="","",IFERROR(INDEX(Settings!$C$8:$C$19,MATCH(C140,Settings!$B$8:$B$19,0)),"?"))</f>
        <v/>
      </c>
      <c r="J140" s="28" t="str">
        <f aca="false">IF(G140="","",IFERROR(INDEX(Settings!$C$8:$C$19,MATCH(G140,Settings!$B$8:$B$19,0)),"?"))</f>
        <v/>
      </c>
      <c r="K140" s="35" t="str">
        <f aca="false">IF(A140="","",DATE(YEAR(A140),MONTH(A140),1))</f>
        <v/>
      </c>
      <c r="L140" s="28" t="str">
        <f aca="false">IF(E140="","",IFERROR(INDEX(Settings!$K$8:$K$38,MATCH(E140,Settings!$H$8:$H$38,0))&amp;"",""))</f>
        <v/>
      </c>
    </row>
    <row r="141" customFormat="false" ht="15" hidden="false" customHeight="false" outlineLevel="0" collapsed="false">
      <c r="A141" s="33"/>
      <c r="B141" s="27"/>
      <c r="C141" s="27"/>
      <c r="D141" s="27"/>
      <c r="E141" s="27"/>
      <c r="F141" s="34"/>
      <c r="G141" s="27"/>
      <c r="H141" s="27"/>
      <c r="I141" s="28" t="str">
        <f aca="false">IF(C141="","",IFERROR(INDEX(Settings!$C$8:$C$19,MATCH(C141,Settings!$B$8:$B$19,0)),"?"))</f>
        <v/>
      </c>
      <c r="J141" s="28" t="str">
        <f aca="false">IF(G141="","",IFERROR(INDEX(Settings!$C$8:$C$19,MATCH(G141,Settings!$B$8:$B$19,0)),"?"))</f>
        <v/>
      </c>
      <c r="K141" s="35" t="str">
        <f aca="false">IF(A141="","",DATE(YEAR(A141),MONTH(A141),1))</f>
        <v/>
      </c>
      <c r="L141" s="28" t="str">
        <f aca="false">IF(E141="","",IFERROR(INDEX(Settings!$K$8:$K$38,MATCH(E141,Settings!$H$8:$H$38,0))&amp;"",""))</f>
        <v/>
      </c>
    </row>
    <row r="142" customFormat="false" ht="15" hidden="false" customHeight="false" outlineLevel="0" collapsed="false">
      <c r="A142" s="33"/>
      <c r="B142" s="27"/>
      <c r="C142" s="27"/>
      <c r="D142" s="27"/>
      <c r="E142" s="27"/>
      <c r="F142" s="34"/>
      <c r="G142" s="27"/>
      <c r="H142" s="27"/>
      <c r="I142" s="28" t="str">
        <f aca="false">IF(C142="","",IFERROR(INDEX(Settings!$C$8:$C$19,MATCH(C142,Settings!$B$8:$B$19,0)),"?"))</f>
        <v/>
      </c>
      <c r="J142" s="28" t="str">
        <f aca="false">IF(G142="","",IFERROR(INDEX(Settings!$C$8:$C$19,MATCH(G142,Settings!$B$8:$B$19,0)),"?"))</f>
        <v/>
      </c>
      <c r="K142" s="35" t="str">
        <f aca="false">IF(A142="","",DATE(YEAR(A142),MONTH(A142),1))</f>
        <v/>
      </c>
      <c r="L142" s="28" t="str">
        <f aca="false">IF(E142="","",IFERROR(INDEX(Settings!$K$8:$K$38,MATCH(E142,Settings!$H$8:$H$38,0))&amp;"",""))</f>
        <v/>
      </c>
    </row>
    <row r="143" customFormat="false" ht="15" hidden="false" customHeight="false" outlineLevel="0" collapsed="false">
      <c r="A143" s="33"/>
      <c r="B143" s="27"/>
      <c r="C143" s="27"/>
      <c r="D143" s="27"/>
      <c r="E143" s="27"/>
      <c r="F143" s="34"/>
      <c r="G143" s="27"/>
      <c r="H143" s="27"/>
      <c r="I143" s="28" t="str">
        <f aca="false">IF(C143="","",IFERROR(INDEX(Settings!$C$8:$C$19,MATCH(C143,Settings!$B$8:$B$19,0)),"?"))</f>
        <v/>
      </c>
      <c r="J143" s="28" t="str">
        <f aca="false">IF(G143="","",IFERROR(INDEX(Settings!$C$8:$C$19,MATCH(G143,Settings!$B$8:$B$19,0)),"?"))</f>
        <v/>
      </c>
      <c r="K143" s="35" t="str">
        <f aca="false">IF(A143="","",DATE(YEAR(A143),MONTH(A143),1))</f>
        <v/>
      </c>
      <c r="L143" s="28" t="str">
        <f aca="false">IF(E143="","",IFERROR(INDEX(Settings!$K$8:$K$38,MATCH(E143,Settings!$H$8:$H$38,0))&amp;"",""))</f>
        <v/>
      </c>
    </row>
    <row r="144" customFormat="false" ht="15" hidden="false" customHeight="false" outlineLevel="0" collapsed="false">
      <c r="A144" s="33"/>
      <c r="B144" s="27"/>
      <c r="C144" s="27"/>
      <c r="D144" s="27"/>
      <c r="E144" s="27"/>
      <c r="F144" s="34"/>
      <c r="G144" s="27"/>
      <c r="H144" s="27"/>
      <c r="I144" s="28" t="str">
        <f aca="false">IF(C144="","",IFERROR(INDEX(Settings!$C$8:$C$19,MATCH(C144,Settings!$B$8:$B$19,0)),"?"))</f>
        <v/>
      </c>
      <c r="J144" s="28" t="str">
        <f aca="false">IF(G144="","",IFERROR(INDEX(Settings!$C$8:$C$19,MATCH(G144,Settings!$B$8:$B$19,0)),"?"))</f>
        <v/>
      </c>
      <c r="K144" s="35" t="str">
        <f aca="false">IF(A144="","",DATE(YEAR(A144),MONTH(A144),1))</f>
        <v/>
      </c>
      <c r="L144" s="28" t="str">
        <f aca="false">IF(E144="","",IFERROR(INDEX(Settings!$K$8:$K$38,MATCH(E144,Settings!$H$8:$H$38,0))&amp;"",""))</f>
        <v/>
      </c>
    </row>
    <row r="145" customFormat="false" ht="15" hidden="false" customHeight="false" outlineLevel="0" collapsed="false">
      <c r="A145" s="33"/>
      <c r="B145" s="27"/>
      <c r="C145" s="27"/>
      <c r="D145" s="27"/>
      <c r="E145" s="27"/>
      <c r="F145" s="34"/>
      <c r="G145" s="27"/>
      <c r="H145" s="27"/>
      <c r="I145" s="28" t="str">
        <f aca="false">IF(C145="","",IFERROR(INDEX(Settings!$C$8:$C$19,MATCH(C145,Settings!$B$8:$B$19,0)),"?"))</f>
        <v/>
      </c>
      <c r="J145" s="28" t="str">
        <f aca="false">IF(G145="","",IFERROR(INDEX(Settings!$C$8:$C$19,MATCH(G145,Settings!$B$8:$B$19,0)),"?"))</f>
        <v/>
      </c>
      <c r="K145" s="35" t="str">
        <f aca="false">IF(A145="","",DATE(YEAR(A145),MONTH(A145),1))</f>
        <v/>
      </c>
      <c r="L145" s="28" t="str">
        <f aca="false">IF(E145="","",IFERROR(INDEX(Settings!$K$8:$K$38,MATCH(E145,Settings!$H$8:$H$38,0))&amp;"",""))</f>
        <v/>
      </c>
    </row>
    <row r="146" customFormat="false" ht="15" hidden="false" customHeight="false" outlineLevel="0" collapsed="false">
      <c r="A146" s="33"/>
      <c r="B146" s="27"/>
      <c r="C146" s="27"/>
      <c r="D146" s="27"/>
      <c r="E146" s="27"/>
      <c r="F146" s="34"/>
      <c r="G146" s="27"/>
      <c r="H146" s="27"/>
      <c r="I146" s="28" t="str">
        <f aca="false">IF(C146="","",IFERROR(INDEX(Settings!$C$8:$C$19,MATCH(C146,Settings!$B$8:$B$19,0)),"?"))</f>
        <v/>
      </c>
      <c r="J146" s="28" t="str">
        <f aca="false">IF(G146="","",IFERROR(INDEX(Settings!$C$8:$C$19,MATCH(G146,Settings!$B$8:$B$19,0)),"?"))</f>
        <v/>
      </c>
      <c r="K146" s="35" t="str">
        <f aca="false">IF(A146="","",DATE(YEAR(A146),MONTH(A146),1))</f>
        <v/>
      </c>
      <c r="L146" s="28" t="str">
        <f aca="false">IF(E146="","",IFERROR(INDEX(Settings!$K$8:$K$38,MATCH(E146,Settings!$H$8:$H$38,0))&amp;"",""))</f>
        <v/>
      </c>
    </row>
    <row r="147" customFormat="false" ht="15" hidden="false" customHeight="false" outlineLevel="0" collapsed="false">
      <c r="A147" s="33"/>
      <c r="B147" s="27"/>
      <c r="C147" s="27"/>
      <c r="D147" s="27"/>
      <c r="E147" s="27"/>
      <c r="F147" s="34"/>
      <c r="G147" s="27"/>
      <c r="H147" s="27"/>
      <c r="I147" s="28" t="str">
        <f aca="false">IF(C147="","",IFERROR(INDEX(Settings!$C$8:$C$19,MATCH(C147,Settings!$B$8:$B$19,0)),"?"))</f>
        <v/>
      </c>
      <c r="J147" s="28" t="str">
        <f aca="false">IF(G147="","",IFERROR(INDEX(Settings!$C$8:$C$19,MATCH(G147,Settings!$B$8:$B$19,0)),"?"))</f>
        <v/>
      </c>
      <c r="K147" s="35" t="str">
        <f aca="false">IF(A147="","",DATE(YEAR(A147),MONTH(A147),1))</f>
        <v/>
      </c>
      <c r="L147" s="28" t="str">
        <f aca="false">IF(E147="","",IFERROR(INDEX(Settings!$K$8:$K$38,MATCH(E147,Settings!$H$8:$H$38,0))&amp;"",""))</f>
        <v/>
      </c>
    </row>
    <row r="148" customFormat="false" ht="15" hidden="false" customHeight="false" outlineLevel="0" collapsed="false">
      <c r="A148" s="33"/>
      <c r="B148" s="27"/>
      <c r="C148" s="27"/>
      <c r="D148" s="27"/>
      <c r="E148" s="27"/>
      <c r="F148" s="34"/>
      <c r="G148" s="27"/>
      <c r="H148" s="27"/>
      <c r="I148" s="28" t="str">
        <f aca="false">IF(C148="","",IFERROR(INDEX(Settings!$C$8:$C$19,MATCH(C148,Settings!$B$8:$B$19,0)),"?"))</f>
        <v/>
      </c>
      <c r="J148" s="28" t="str">
        <f aca="false">IF(G148="","",IFERROR(INDEX(Settings!$C$8:$C$19,MATCH(G148,Settings!$B$8:$B$19,0)),"?"))</f>
        <v/>
      </c>
      <c r="K148" s="35" t="str">
        <f aca="false">IF(A148="","",DATE(YEAR(A148),MONTH(A148),1))</f>
        <v/>
      </c>
      <c r="L148" s="28" t="str">
        <f aca="false">IF(E148="","",IFERROR(INDEX(Settings!$K$8:$K$38,MATCH(E148,Settings!$H$8:$H$38,0))&amp;"",""))</f>
        <v/>
      </c>
    </row>
    <row r="149" customFormat="false" ht="15" hidden="false" customHeight="false" outlineLevel="0" collapsed="false">
      <c r="A149" s="33"/>
      <c r="B149" s="27"/>
      <c r="C149" s="27"/>
      <c r="D149" s="27"/>
      <c r="E149" s="27"/>
      <c r="F149" s="34"/>
      <c r="G149" s="27"/>
      <c r="H149" s="27"/>
      <c r="I149" s="28" t="str">
        <f aca="false">IF(C149="","",IFERROR(INDEX(Settings!$C$8:$C$19,MATCH(C149,Settings!$B$8:$B$19,0)),"?"))</f>
        <v/>
      </c>
      <c r="J149" s="28" t="str">
        <f aca="false">IF(G149="","",IFERROR(INDEX(Settings!$C$8:$C$19,MATCH(G149,Settings!$B$8:$B$19,0)),"?"))</f>
        <v/>
      </c>
      <c r="K149" s="35" t="str">
        <f aca="false">IF(A149="","",DATE(YEAR(A149),MONTH(A149),1))</f>
        <v/>
      </c>
      <c r="L149" s="28" t="str">
        <f aca="false">IF(E149="","",IFERROR(INDEX(Settings!$K$8:$K$38,MATCH(E149,Settings!$H$8:$H$38,0))&amp;"",""))</f>
        <v/>
      </c>
    </row>
    <row r="150" customFormat="false" ht="15" hidden="false" customHeight="false" outlineLevel="0" collapsed="false">
      <c r="A150" s="33"/>
      <c r="B150" s="27"/>
      <c r="C150" s="27"/>
      <c r="D150" s="27"/>
      <c r="E150" s="27"/>
      <c r="F150" s="34"/>
      <c r="G150" s="27"/>
      <c r="H150" s="27"/>
      <c r="I150" s="28" t="str">
        <f aca="false">IF(C150="","",IFERROR(INDEX(Settings!$C$8:$C$19,MATCH(C150,Settings!$B$8:$B$19,0)),"?"))</f>
        <v/>
      </c>
      <c r="J150" s="28" t="str">
        <f aca="false">IF(G150="","",IFERROR(INDEX(Settings!$C$8:$C$19,MATCH(G150,Settings!$B$8:$B$19,0)),"?"))</f>
        <v/>
      </c>
      <c r="K150" s="35" t="str">
        <f aca="false">IF(A150="","",DATE(YEAR(A150),MONTH(A150),1))</f>
        <v/>
      </c>
      <c r="L150" s="28" t="str">
        <f aca="false">IF(E150="","",IFERROR(INDEX(Settings!$K$8:$K$38,MATCH(E150,Settings!$H$8:$H$38,0))&amp;"",""))</f>
        <v/>
      </c>
    </row>
    <row r="151" customFormat="false" ht="15" hidden="false" customHeight="false" outlineLevel="0" collapsed="false">
      <c r="A151" s="33"/>
      <c r="B151" s="27"/>
      <c r="C151" s="27"/>
      <c r="D151" s="27"/>
      <c r="E151" s="27"/>
      <c r="F151" s="34"/>
      <c r="G151" s="27"/>
      <c r="H151" s="27"/>
      <c r="I151" s="28" t="str">
        <f aca="false">IF(C151="","",IFERROR(INDEX(Settings!$C$8:$C$19,MATCH(C151,Settings!$B$8:$B$19,0)),"?"))</f>
        <v/>
      </c>
      <c r="J151" s="28" t="str">
        <f aca="false">IF(G151="","",IFERROR(INDEX(Settings!$C$8:$C$19,MATCH(G151,Settings!$B$8:$B$19,0)),"?"))</f>
        <v/>
      </c>
      <c r="K151" s="35" t="str">
        <f aca="false">IF(A151="","",DATE(YEAR(A151),MONTH(A151),1))</f>
        <v/>
      </c>
      <c r="L151" s="28" t="str">
        <f aca="false">IF(E151="","",IFERROR(INDEX(Settings!$K$8:$K$38,MATCH(E151,Settings!$H$8:$H$38,0))&amp;"",""))</f>
        <v/>
      </c>
    </row>
    <row r="152" customFormat="false" ht="15" hidden="false" customHeight="false" outlineLevel="0" collapsed="false">
      <c r="A152" s="33"/>
      <c r="B152" s="27"/>
      <c r="C152" s="27"/>
      <c r="D152" s="27"/>
      <c r="E152" s="27"/>
      <c r="F152" s="34"/>
      <c r="G152" s="27"/>
      <c r="H152" s="27"/>
      <c r="I152" s="28" t="str">
        <f aca="false">IF(C152="","",IFERROR(INDEX(Settings!$C$8:$C$19,MATCH(C152,Settings!$B$8:$B$19,0)),"?"))</f>
        <v/>
      </c>
      <c r="J152" s="28" t="str">
        <f aca="false">IF(G152="","",IFERROR(INDEX(Settings!$C$8:$C$19,MATCH(G152,Settings!$B$8:$B$19,0)),"?"))</f>
        <v/>
      </c>
      <c r="K152" s="35" t="str">
        <f aca="false">IF(A152="","",DATE(YEAR(A152),MONTH(A152),1))</f>
        <v/>
      </c>
      <c r="L152" s="28" t="str">
        <f aca="false">IF(E152="","",IFERROR(INDEX(Settings!$K$8:$K$38,MATCH(E152,Settings!$H$8:$H$38,0))&amp;"",""))</f>
        <v/>
      </c>
    </row>
    <row r="153" customFormat="false" ht="15" hidden="false" customHeight="false" outlineLevel="0" collapsed="false">
      <c r="A153" s="33"/>
      <c r="B153" s="27"/>
      <c r="C153" s="27"/>
      <c r="D153" s="27"/>
      <c r="E153" s="27"/>
      <c r="F153" s="34"/>
      <c r="G153" s="27"/>
      <c r="H153" s="27"/>
      <c r="I153" s="28" t="str">
        <f aca="false">IF(C153="","",IFERROR(INDEX(Settings!$C$8:$C$19,MATCH(C153,Settings!$B$8:$B$19,0)),"?"))</f>
        <v/>
      </c>
      <c r="J153" s="28" t="str">
        <f aca="false">IF(G153="","",IFERROR(INDEX(Settings!$C$8:$C$19,MATCH(G153,Settings!$B$8:$B$19,0)),"?"))</f>
        <v/>
      </c>
      <c r="K153" s="35" t="str">
        <f aca="false">IF(A153="","",DATE(YEAR(A153),MONTH(A153),1))</f>
        <v/>
      </c>
      <c r="L153" s="28" t="str">
        <f aca="false">IF(E153="","",IFERROR(INDEX(Settings!$K$8:$K$38,MATCH(E153,Settings!$H$8:$H$38,0))&amp;"",""))</f>
        <v/>
      </c>
    </row>
    <row r="154" customFormat="false" ht="15" hidden="false" customHeight="false" outlineLevel="0" collapsed="false">
      <c r="A154" s="33"/>
      <c r="B154" s="27"/>
      <c r="C154" s="27"/>
      <c r="D154" s="27"/>
      <c r="E154" s="27"/>
      <c r="F154" s="34"/>
      <c r="G154" s="27"/>
      <c r="H154" s="27"/>
      <c r="I154" s="28" t="str">
        <f aca="false">IF(C154="","",IFERROR(INDEX(Settings!$C$8:$C$19,MATCH(C154,Settings!$B$8:$B$19,0)),"?"))</f>
        <v/>
      </c>
      <c r="J154" s="28" t="str">
        <f aca="false">IF(G154="","",IFERROR(INDEX(Settings!$C$8:$C$19,MATCH(G154,Settings!$B$8:$B$19,0)),"?"))</f>
        <v/>
      </c>
      <c r="K154" s="35" t="str">
        <f aca="false">IF(A154="","",DATE(YEAR(A154),MONTH(A154),1))</f>
        <v/>
      </c>
      <c r="L154" s="28" t="str">
        <f aca="false">IF(E154="","",IFERROR(INDEX(Settings!$K$8:$K$38,MATCH(E154,Settings!$H$8:$H$38,0))&amp;"",""))</f>
        <v/>
      </c>
    </row>
    <row r="155" customFormat="false" ht="15" hidden="false" customHeight="false" outlineLevel="0" collapsed="false">
      <c r="A155" s="33"/>
      <c r="B155" s="27"/>
      <c r="C155" s="27"/>
      <c r="D155" s="27"/>
      <c r="E155" s="27"/>
      <c r="F155" s="34"/>
      <c r="G155" s="27"/>
      <c r="H155" s="27"/>
      <c r="I155" s="28" t="str">
        <f aca="false">IF(C155="","",IFERROR(INDEX(Settings!$C$8:$C$19,MATCH(C155,Settings!$B$8:$B$19,0)),"?"))</f>
        <v/>
      </c>
      <c r="J155" s="28" t="str">
        <f aca="false">IF(G155="","",IFERROR(INDEX(Settings!$C$8:$C$19,MATCH(G155,Settings!$B$8:$B$19,0)),"?"))</f>
        <v/>
      </c>
      <c r="K155" s="35" t="str">
        <f aca="false">IF(A155="","",DATE(YEAR(A155),MONTH(A155),1))</f>
        <v/>
      </c>
      <c r="L155" s="28" t="str">
        <f aca="false">IF(E155="","",IFERROR(INDEX(Settings!$K$8:$K$38,MATCH(E155,Settings!$H$8:$H$38,0))&amp;"",""))</f>
        <v/>
      </c>
    </row>
    <row r="156" customFormat="false" ht="15" hidden="false" customHeight="false" outlineLevel="0" collapsed="false">
      <c r="A156" s="33"/>
      <c r="B156" s="27"/>
      <c r="C156" s="27"/>
      <c r="D156" s="27"/>
      <c r="E156" s="27"/>
      <c r="F156" s="34"/>
      <c r="G156" s="27"/>
      <c r="H156" s="27"/>
      <c r="I156" s="28" t="str">
        <f aca="false">IF(C156="","",IFERROR(INDEX(Settings!$C$8:$C$19,MATCH(C156,Settings!$B$8:$B$19,0)),"?"))</f>
        <v/>
      </c>
      <c r="J156" s="28" t="str">
        <f aca="false">IF(G156="","",IFERROR(INDEX(Settings!$C$8:$C$19,MATCH(G156,Settings!$B$8:$B$19,0)),"?"))</f>
        <v/>
      </c>
      <c r="K156" s="35" t="str">
        <f aca="false">IF(A156="","",DATE(YEAR(A156),MONTH(A156),1))</f>
        <v/>
      </c>
      <c r="L156" s="28" t="str">
        <f aca="false">IF(E156="","",IFERROR(INDEX(Settings!$K$8:$K$38,MATCH(E156,Settings!$H$8:$H$38,0))&amp;"",""))</f>
        <v/>
      </c>
    </row>
    <row r="157" customFormat="false" ht="15" hidden="false" customHeight="false" outlineLevel="0" collapsed="false">
      <c r="A157" s="33"/>
      <c r="B157" s="27"/>
      <c r="C157" s="27"/>
      <c r="D157" s="27"/>
      <c r="E157" s="27"/>
      <c r="F157" s="34"/>
      <c r="G157" s="27"/>
      <c r="H157" s="27"/>
      <c r="I157" s="28" t="str">
        <f aca="false">IF(C157="","",IFERROR(INDEX(Settings!$C$8:$C$19,MATCH(C157,Settings!$B$8:$B$19,0)),"?"))</f>
        <v/>
      </c>
      <c r="J157" s="28" t="str">
        <f aca="false">IF(G157="","",IFERROR(INDEX(Settings!$C$8:$C$19,MATCH(G157,Settings!$B$8:$B$19,0)),"?"))</f>
        <v/>
      </c>
      <c r="K157" s="35" t="str">
        <f aca="false">IF(A157="","",DATE(YEAR(A157),MONTH(A157),1))</f>
        <v/>
      </c>
      <c r="L157" s="28" t="str">
        <f aca="false">IF(E157="","",IFERROR(INDEX(Settings!$K$8:$K$38,MATCH(E157,Settings!$H$8:$H$38,0))&amp;"",""))</f>
        <v/>
      </c>
    </row>
    <row r="158" customFormat="false" ht="15" hidden="false" customHeight="false" outlineLevel="0" collapsed="false">
      <c r="A158" s="33"/>
      <c r="B158" s="27"/>
      <c r="C158" s="27"/>
      <c r="D158" s="27"/>
      <c r="E158" s="27"/>
      <c r="F158" s="34"/>
      <c r="G158" s="27"/>
      <c r="H158" s="27"/>
      <c r="I158" s="28" t="str">
        <f aca="false">IF(C158="","",IFERROR(INDEX(Settings!$C$8:$C$19,MATCH(C158,Settings!$B$8:$B$19,0)),"?"))</f>
        <v/>
      </c>
      <c r="J158" s="28" t="str">
        <f aca="false">IF(G158="","",IFERROR(INDEX(Settings!$C$8:$C$19,MATCH(G158,Settings!$B$8:$B$19,0)),"?"))</f>
        <v/>
      </c>
      <c r="K158" s="35" t="str">
        <f aca="false">IF(A158="","",DATE(YEAR(A158),MONTH(A158),1))</f>
        <v/>
      </c>
      <c r="L158" s="28" t="str">
        <f aca="false">IF(E158="","",IFERROR(INDEX(Settings!$K$8:$K$38,MATCH(E158,Settings!$H$8:$H$38,0))&amp;"",""))</f>
        <v/>
      </c>
    </row>
    <row r="159" customFormat="false" ht="15" hidden="false" customHeight="false" outlineLevel="0" collapsed="false">
      <c r="A159" s="33"/>
      <c r="B159" s="27"/>
      <c r="C159" s="27"/>
      <c r="D159" s="27"/>
      <c r="E159" s="27"/>
      <c r="F159" s="34"/>
      <c r="G159" s="27"/>
      <c r="H159" s="27"/>
      <c r="I159" s="28" t="str">
        <f aca="false">IF(C159="","",IFERROR(INDEX(Settings!$C$8:$C$19,MATCH(C159,Settings!$B$8:$B$19,0)),"?"))</f>
        <v/>
      </c>
      <c r="J159" s="28" t="str">
        <f aca="false">IF(G159="","",IFERROR(INDEX(Settings!$C$8:$C$19,MATCH(G159,Settings!$B$8:$B$19,0)),"?"))</f>
        <v/>
      </c>
      <c r="K159" s="35" t="str">
        <f aca="false">IF(A159="","",DATE(YEAR(A159),MONTH(A159),1))</f>
        <v/>
      </c>
      <c r="L159" s="28" t="str">
        <f aca="false">IF(E159="","",IFERROR(INDEX(Settings!$K$8:$K$38,MATCH(E159,Settings!$H$8:$H$38,0))&amp;"",""))</f>
        <v/>
      </c>
    </row>
    <row r="160" customFormat="false" ht="15" hidden="false" customHeight="false" outlineLevel="0" collapsed="false">
      <c r="A160" s="33"/>
      <c r="B160" s="27"/>
      <c r="C160" s="27"/>
      <c r="D160" s="27"/>
      <c r="E160" s="27"/>
      <c r="F160" s="34"/>
      <c r="G160" s="27"/>
      <c r="H160" s="27"/>
      <c r="I160" s="28" t="str">
        <f aca="false">IF(C160="","",IFERROR(INDEX(Settings!$C$8:$C$19,MATCH(C160,Settings!$B$8:$B$19,0)),"?"))</f>
        <v/>
      </c>
      <c r="J160" s="28" t="str">
        <f aca="false">IF(G160="","",IFERROR(INDEX(Settings!$C$8:$C$19,MATCH(G160,Settings!$B$8:$B$19,0)),"?"))</f>
        <v/>
      </c>
      <c r="K160" s="35" t="str">
        <f aca="false">IF(A160="","",DATE(YEAR(A160),MONTH(A160),1))</f>
        <v/>
      </c>
      <c r="L160" s="28" t="str">
        <f aca="false">IF(E160="","",IFERROR(INDEX(Settings!$K$8:$K$38,MATCH(E160,Settings!$H$8:$H$38,0))&amp;"",""))</f>
        <v/>
      </c>
    </row>
    <row r="161" customFormat="false" ht="15" hidden="false" customHeight="false" outlineLevel="0" collapsed="false">
      <c r="A161" s="33"/>
      <c r="B161" s="27"/>
      <c r="C161" s="27"/>
      <c r="D161" s="27"/>
      <c r="E161" s="27"/>
      <c r="F161" s="34"/>
      <c r="G161" s="27"/>
      <c r="H161" s="27"/>
      <c r="I161" s="28" t="str">
        <f aca="false">IF(C161="","",IFERROR(INDEX(Settings!$C$8:$C$19,MATCH(C161,Settings!$B$8:$B$19,0)),"?"))</f>
        <v/>
      </c>
      <c r="J161" s="28" t="str">
        <f aca="false">IF(G161="","",IFERROR(INDEX(Settings!$C$8:$C$19,MATCH(G161,Settings!$B$8:$B$19,0)),"?"))</f>
        <v/>
      </c>
      <c r="K161" s="35" t="str">
        <f aca="false">IF(A161="","",DATE(YEAR(A161),MONTH(A161),1))</f>
        <v/>
      </c>
      <c r="L161" s="28" t="str">
        <f aca="false">IF(E161="","",IFERROR(INDEX(Settings!$K$8:$K$38,MATCH(E161,Settings!$H$8:$H$38,0))&amp;"",""))</f>
        <v/>
      </c>
    </row>
    <row r="162" customFormat="false" ht="15" hidden="false" customHeight="false" outlineLevel="0" collapsed="false">
      <c r="A162" s="33"/>
      <c r="B162" s="27"/>
      <c r="C162" s="27"/>
      <c r="D162" s="27"/>
      <c r="E162" s="27"/>
      <c r="F162" s="34"/>
      <c r="G162" s="27"/>
      <c r="H162" s="27"/>
      <c r="I162" s="28" t="str">
        <f aca="false">IF(C162="","",IFERROR(INDEX(Settings!$C$8:$C$19,MATCH(C162,Settings!$B$8:$B$19,0)),"?"))</f>
        <v/>
      </c>
      <c r="J162" s="28" t="str">
        <f aca="false">IF(G162="","",IFERROR(INDEX(Settings!$C$8:$C$19,MATCH(G162,Settings!$B$8:$B$19,0)),"?"))</f>
        <v/>
      </c>
      <c r="K162" s="35" t="str">
        <f aca="false">IF(A162="","",DATE(YEAR(A162),MONTH(A162),1))</f>
        <v/>
      </c>
      <c r="L162" s="28" t="str">
        <f aca="false">IF(E162="","",IFERROR(INDEX(Settings!$K$8:$K$38,MATCH(E162,Settings!$H$8:$H$38,0))&amp;"",""))</f>
        <v/>
      </c>
    </row>
    <row r="163" customFormat="false" ht="15" hidden="false" customHeight="false" outlineLevel="0" collapsed="false">
      <c r="A163" s="33"/>
      <c r="B163" s="27"/>
      <c r="C163" s="27"/>
      <c r="D163" s="27"/>
      <c r="E163" s="27"/>
      <c r="F163" s="34"/>
      <c r="G163" s="27"/>
      <c r="H163" s="27"/>
      <c r="I163" s="28" t="str">
        <f aca="false">IF(C163="","",IFERROR(INDEX(Settings!$C$8:$C$19,MATCH(C163,Settings!$B$8:$B$19,0)),"?"))</f>
        <v/>
      </c>
      <c r="J163" s="28" t="str">
        <f aca="false">IF(G163="","",IFERROR(INDEX(Settings!$C$8:$C$19,MATCH(G163,Settings!$B$8:$B$19,0)),"?"))</f>
        <v/>
      </c>
      <c r="K163" s="35" t="str">
        <f aca="false">IF(A163="","",DATE(YEAR(A163),MONTH(A163),1))</f>
        <v/>
      </c>
      <c r="L163" s="28" t="str">
        <f aca="false">IF(E163="","",IFERROR(INDEX(Settings!$K$8:$K$38,MATCH(E163,Settings!$H$8:$H$38,0))&amp;"",""))</f>
        <v/>
      </c>
    </row>
    <row r="164" customFormat="false" ht="15" hidden="false" customHeight="false" outlineLevel="0" collapsed="false">
      <c r="A164" s="33"/>
      <c r="B164" s="27"/>
      <c r="C164" s="27"/>
      <c r="D164" s="27"/>
      <c r="E164" s="27"/>
      <c r="F164" s="34"/>
      <c r="G164" s="27"/>
      <c r="H164" s="27"/>
      <c r="I164" s="28" t="str">
        <f aca="false">IF(C164="","",IFERROR(INDEX(Settings!$C$8:$C$19,MATCH(C164,Settings!$B$8:$B$19,0)),"?"))</f>
        <v/>
      </c>
      <c r="J164" s="28" t="str">
        <f aca="false">IF(G164="","",IFERROR(INDEX(Settings!$C$8:$C$19,MATCH(G164,Settings!$B$8:$B$19,0)),"?"))</f>
        <v/>
      </c>
      <c r="K164" s="35" t="str">
        <f aca="false">IF(A164="","",DATE(YEAR(A164),MONTH(A164),1))</f>
        <v/>
      </c>
      <c r="L164" s="28" t="str">
        <f aca="false">IF(E164="","",IFERROR(INDEX(Settings!$K$8:$K$38,MATCH(E164,Settings!$H$8:$H$38,0))&amp;"",""))</f>
        <v/>
      </c>
    </row>
    <row r="165" customFormat="false" ht="15" hidden="false" customHeight="false" outlineLevel="0" collapsed="false">
      <c r="A165" s="33"/>
      <c r="B165" s="27"/>
      <c r="C165" s="27"/>
      <c r="D165" s="27"/>
      <c r="E165" s="27"/>
      <c r="F165" s="34"/>
      <c r="G165" s="27"/>
      <c r="H165" s="27"/>
      <c r="I165" s="28" t="str">
        <f aca="false">IF(C165="","",IFERROR(INDEX(Settings!$C$8:$C$19,MATCH(C165,Settings!$B$8:$B$19,0)),"?"))</f>
        <v/>
      </c>
      <c r="J165" s="28" t="str">
        <f aca="false">IF(G165="","",IFERROR(INDEX(Settings!$C$8:$C$19,MATCH(G165,Settings!$B$8:$B$19,0)),"?"))</f>
        <v/>
      </c>
      <c r="K165" s="35" t="str">
        <f aca="false">IF(A165="","",DATE(YEAR(A165),MONTH(A165),1))</f>
        <v/>
      </c>
      <c r="L165" s="28" t="str">
        <f aca="false">IF(E165="","",IFERROR(INDEX(Settings!$K$8:$K$38,MATCH(E165,Settings!$H$8:$H$38,0))&amp;"",""))</f>
        <v/>
      </c>
    </row>
    <row r="166" customFormat="false" ht="15" hidden="false" customHeight="false" outlineLevel="0" collapsed="false">
      <c r="A166" s="33"/>
      <c r="B166" s="27"/>
      <c r="C166" s="27"/>
      <c r="D166" s="27"/>
      <c r="E166" s="27"/>
      <c r="F166" s="34"/>
      <c r="G166" s="27"/>
      <c r="H166" s="27"/>
      <c r="I166" s="28" t="str">
        <f aca="false">IF(C166="","",IFERROR(INDEX(Settings!$C$8:$C$19,MATCH(C166,Settings!$B$8:$B$19,0)),"?"))</f>
        <v/>
      </c>
      <c r="J166" s="28" t="str">
        <f aca="false">IF(G166="","",IFERROR(INDEX(Settings!$C$8:$C$19,MATCH(G166,Settings!$B$8:$B$19,0)),"?"))</f>
        <v/>
      </c>
      <c r="K166" s="35" t="str">
        <f aca="false">IF(A166="","",DATE(YEAR(A166),MONTH(A166),1))</f>
        <v/>
      </c>
      <c r="L166" s="28" t="str">
        <f aca="false">IF(E166="","",IFERROR(INDEX(Settings!$K$8:$K$38,MATCH(E166,Settings!$H$8:$H$38,0))&amp;"",""))</f>
        <v/>
      </c>
    </row>
    <row r="167" customFormat="false" ht="15" hidden="false" customHeight="false" outlineLevel="0" collapsed="false">
      <c r="A167" s="33"/>
      <c r="B167" s="27"/>
      <c r="C167" s="27"/>
      <c r="D167" s="27"/>
      <c r="E167" s="27"/>
      <c r="F167" s="34"/>
      <c r="G167" s="27"/>
      <c r="H167" s="27"/>
      <c r="I167" s="28" t="str">
        <f aca="false">IF(C167="","",IFERROR(INDEX(Settings!$C$8:$C$19,MATCH(C167,Settings!$B$8:$B$19,0)),"?"))</f>
        <v/>
      </c>
      <c r="J167" s="28" t="str">
        <f aca="false">IF(G167="","",IFERROR(INDEX(Settings!$C$8:$C$19,MATCH(G167,Settings!$B$8:$B$19,0)),"?"))</f>
        <v/>
      </c>
      <c r="K167" s="35" t="str">
        <f aca="false">IF(A167="","",DATE(YEAR(A167),MONTH(A167),1))</f>
        <v/>
      </c>
      <c r="L167" s="28" t="str">
        <f aca="false">IF(E167="","",IFERROR(INDEX(Settings!$K$8:$K$38,MATCH(E167,Settings!$H$8:$H$38,0))&amp;"",""))</f>
        <v/>
      </c>
    </row>
    <row r="168" customFormat="false" ht="15" hidden="false" customHeight="false" outlineLevel="0" collapsed="false">
      <c r="A168" s="33"/>
      <c r="B168" s="27"/>
      <c r="C168" s="27"/>
      <c r="D168" s="27"/>
      <c r="E168" s="27"/>
      <c r="F168" s="34"/>
      <c r="G168" s="27"/>
      <c r="H168" s="27"/>
      <c r="I168" s="28" t="str">
        <f aca="false">IF(C168="","",IFERROR(INDEX(Settings!$C$8:$C$19,MATCH(C168,Settings!$B$8:$B$19,0)),"?"))</f>
        <v/>
      </c>
      <c r="J168" s="28" t="str">
        <f aca="false">IF(G168="","",IFERROR(INDEX(Settings!$C$8:$C$19,MATCH(G168,Settings!$B$8:$B$19,0)),"?"))</f>
        <v/>
      </c>
      <c r="K168" s="35" t="str">
        <f aca="false">IF(A168="","",DATE(YEAR(A168),MONTH(A168),1))</f>
        <v/>
      </c>
      <c r="L168" s="28" t="str">
        <f aca="false">IF(E168="","",IFERROR(INDEX(Settings!$K$8:$K$38,MATCH(E168,Settings!$H$8:$H$38,0))&amp;"",""))</f>
        <v/>
      </c>
    </row>
    <row r="169" customFormat="false" ht="15" hidden="false" customHeight="false" outlineLevel="0" collapsed="false">
      <c r="A169" s="33"/>
      <c r="B169" s="27"/>
      <c r="C169" s="27"/>
      <c r="D169" s="27"/>
      <c r="E169" s="27"/>
      <c r="F169" s="34"/>
      <c r="G169" s="27"/>
      <c r="H169" s="27"/>
      <c r="I169" s="28" t="str">
        <f aca="false">IF(C169="","",IFERROR(INDEX(Settings!$C$8:$C$19,MATCH(C169,Settings!$B$8:$B$19,0)),"?"))</f>
        <v/>
      </c>
      <c r="J169" s="28" t="str">
        <f aca="false">IF(G169="","",IFERROR(INDEX(Settings!$C$8:$C$19,MATCH(G169,Settings!$B$8:$B$19,0)),"?"))</f>
        <v/>
      </c>
      <c r="K169" s="35" t="str">
        <f aca="false">IF(A169="","",DATE(YEAR(A169),MONTH(A169),1))</f>
        <v/>
      </c>
      <c r="L169" s="28" t="str">
        <f aca="false">IF(E169="","",IFERROR(INDEX(Settings!$K$8:$K$38,MATCH(E169,Settings!$H$8:$H$38,0))&amp;"",""))</f>
        <v/>
      </c>
    </row>
    <row r="170" customFormat="false" ht="15" hidden="false" customHeight="false" outlineLevel="0" collapsed="false">
      <c r="A170" s="33"/>
      <c r="B170" s="27"/>
      <c r="C170" s="27"/>
      <c r="D170" s="27"/>
      <c r="E170" s="27"/>
      <c r="F170" s="34"/>
      <c r="G170" s="27"/>
      <c r="H170" s="27"/>
      <c r="I170" s="28" t="str">
        <f aca="false">IF(C170="","",IFERROR(INDEX(Settings!$C$8:$C$19,MATCH(C170,Settings!$B$8:$B$19,0)),"?"))</f>
        <v/>
      </c>
      <c r="J170" s="28" t="str">
        <f aca="false">IF(G170="","",IFERROR(INDEX(Settings!$C$8:$C$19,MATCH(G170,Settings!$B$8:$B$19,0)),"?"))</f>
        <v/>
      </c>
      <c r="K170" s="35" t="str">
        <f aca="false">IF(A170="","",DATE(YEAR(A170),MONTH(A170),1))</f>
        <v/>
      </c>
      <c r="L170" s="28" t="str">
        <f aca="false">IF(E170="","",IFERROR(INDEX(Settings!$K$8:$K$38,MATCH(E170,Settings!$H$8:$H$38,0))&amp;"",""))</f>
        <v/>
      </c>
    </row>
    <row r="171" customFormat="false" ht="15" hidden="false" customHeight="false" outlineLevel="0" collapsed="false">
      <c r="A171" s="33"/>
      <c r="B171" s="27"/>
      <c r="C171" s="27"/>
      <c r="D171" s="27"/>
      <c r="E171" s="27"/>
      <c r="F171" s="34"/>
      <c r="G171" s="27"/>
      <c r="H171" s="27"/>
      <c r="I171" s="28" t="str">
        <f aca="false">IF(C171="","",IFERROR(INDEX(Settings!$C$8:$C$19,MATCH(C171,Settings!$B$8:$B$19,0)),"?"))</f>
        <v/>
      </c>
      <c r="J171" s="28" t="str">
        <f aca="false">IF(G171="","",IFERROR(INDEX(Settings!$C$8:$C$19,MATCH(G171,Settings!$B$8:$B$19,0)),"?"))</f>
        <v/>
      </c>
      <c r="K171" s="35" t="str">
        <f aca="false">IF(A171="","",DATE(YEAR(A171),MONTH(A171),1))</f>
        <v/>
      </c>
      <c r="L171" s="28" t="str">
        <f aca="false">IF(E171="","",IFERROR(INDEX(Settings!$K$8:$K$38,MATCH(E171,Settings!$H$8:$H$38,0))&amp;"",""))</f>
        <v/>
      </c>
    </row>
    <row r="172" customFormat="false" ht="15" hidden="false" customHeight="false" outlineLevel="0" collapsed="false">
      <c r="A172" s="33"/>
      <c r="B172" s="27"/>
      <c r="C172" s="27"/>
      <c r="D172" s="27"/>
      <c r="E172" s="27"/>
      <c r="F172" s="34"/>
      <c r="G172" s="27"/>
      <c r="H172" s="27"/>
      <c r="I172" s="28" t="str">
        <f aca="false">IF(C172="","",IFERROR(INDEX(Settings!$C$8:$C$19,MATCH(C172,Settings!$B$8:$B$19,0)),"?"))</f>
        <v/>
      </c>
      <c r="J172" s="28" t="str">
        <f aca="false">IF(G172="","",IFERROR(INDEX(Settings!$C$8:$C$19,MATCH(G172,Settings!$B$8:$B$19,0)),"?"))</f>
        <v/>
      </c>
      <c r="K172" s="35" t="str">
        <f aca="false">IF(A172="","",DATE(YEAR(A172),MONTH(A172),1))</f>
        <v/>
      </c>
      <c r="L172" s="28" t="str">
        <f aca="false">IF(E172="","",IFERROR(INDEX(Settings!$K$8:$K$38,MATCH(E172,Settings!$H$8:$H$38,0))&amp;"",""))</f>
        <v/>
      </c>
    </row>
    <row r="173" customFormat="false" ht="15" hidden="false" customHeight="false" outlineLevel="0" collapsed="false">
      <c r="A173" s="33"/>
      <c r="B173" s="27"/>
      <c r="C173" s="27"/>
      <c r="D173" s="27"/>
      <c r="E173" s="27"/>
      <c r="F173" s="34"/>
      <c r="G173" s="27"/>
      <c r="H173" s="27"/>
      <c r="I173" s="28" t="str">
        <f aca="false">IF(C173="","",IFERROR(INDEX(Settings!$C$8:$C$19,MATCH(C173,Settings!$B$8:$B$19,0)),"?"))</f>
        <v/>
      </c>
      <c r="J173" s="28" t="str">
        <f aca="false">IF(G173="","",IFERROR(INDEX(Settings!$C$8:$C$19,MATCH(G173,Settings!$B$8:$B$19,0)),"?"))</f>
        <v/>
      </c>
      <c r="K173" s="35" t="str">
        <f aca="false">IF(A173="","",DATE(YEAR(A173),MONTH(A173),1))</f>
        <v/>
      </c>
      <c r="L173" s="28" t="str">
        <f aca="false">IF(E173="","",IFERROR(INDEX(Settings!$K$8:$K$38,MATCH(E173,Settings!$H$8:$H$38,0))&amp;"",""))</f>
        <v/>
      </c>
    </row>
    <row r="174" customFormat="false" ht="15" hidden="false" customHeight="false" outlineLevel="0" collapsed="false">
      <c r="A174" s="33"/>
      <c r="B174" s="27"/>
      <c r="C174" s="27"/>
      <c r="D174" s="27"/>
      <c r="E174" s="27"/>
      <c r="F174" s="34"/>
      <c r="G174" s="27"/>
      <c r="H174" s="27"/>
      <c r="I174" s="28" t="str">
        <f aca="false">IF(C174="","",IFERROR(INDEX(Settings!$C$8:$C$19,MATCH(C174,Settings!$B$8:$B$19,0)),"?"))</f>
        <v/>
      </c>
      <c r="J174" s="28" t="str">
        <f aca="false">IF(G174="","",IFERROR(INDEX(Settings!$C$8:$C$19,MATCH(G174,Settings!$B$8:$B$19,0)),"?"))</f>
        <v/>
      </c>
      <c r="K174" s="35" t="str">
        <f aca="false">IF(A174="","",DATE(YEAR(A174),MONTH(A174),1))</f>
        <v/>
      </c>
      <c r="L174" s="28" t="str">
        <f aca="false">IF(E174="","",IFERROR(INDEX(Settings!$K$8:$K$38,MATCH(E174,Settings!$H$8:$H$38,0))&amp;"",""))</f>
        <v/>
      </c>
    </row>
    <row r="175" customFormat="false" ht="15" hidden="false" customHeight="false" outlineLevel="0" collapsed="false">
      <c r="A175" s="33"/>
      <c r="B175" s="27"/>
      <c r="C175" s="27"/>
      <c r="D175" s="27"/>
      <c r="E175" s="27"/>
      <c r="F175" s="34"/>
      <c r="G175" s="27"/>
      <c r="H175" s="27"/>
      <c r="I175" s="28" t="str">
        <f aca="false">IF(C175="","",IFERROR(INDEX(Settings!$C$8:$C$19,MATCH(C175,Settings!$B$8:$B$19,0)),"?"))</f>
        <v/>
      </c>
      <c r="J175" s="28" t="str">
        <f aca="false">IF(G175="","",IFERROR(INDEX(Settings!$C$8:$C$19,MATCH(G175,Settings!$B$8:$B$19,0)),"?"))</f>
        <v/>
      </c>
      <c r="K175" s="35" t="str">
        <f aca="false">IF(A175="","",DATE(YEAR(A175),MONTH(A175),1))</f>
        <v/>
      </c>
      <c r="L175" s="28" t="str">
        <f aca="false">IF(E175="","",IFERROR(INDEX(Settings!$K$8:$K$38,MATCH(E175,Settings!$H$8:$H$38,0))&amp;"",""))</f>
        <v/>
      </c>
    </row>
    <row r="176" customFormat="false" ht="15" hidden="false" customHeight="false" outlineLevel="0" collapsed="false">
      <c r="A176" s="33"/>
      <c r="B176" s="27"/>
      <c r="C176" s="27"/>
      <c r="D176" s="27"/>
      <c r="E176" s="27"/>
      <c r="F176" s="34"/>
      <c r="G176" s="27"/>
      <c r="H176" s="27"/>
      <c r="I176" s="28" t="str">
        <f aca="false">IF(C176="","",IFERROR(INDEX(Settings!$C$8:$C$19,MATCH(C176,Settings!$B$8:$B$19,0)),"?"))</f>
        <v/>
      </c>
      <c r="J176" s="28" t="str">
        <f aca="false">IF(G176="","",IFERROR(INDEX(Settings!$C$8:$C$19,MATCH(G176,Settings!$B$8:$B$19,0)),"?"))</f>
        <v/>
      </c>
      <c r="K176" s="35" t="str">
        <f aca="false">IF(A176="","",DATE(YEAR(A176),MONTH(A176),1))</f>
        <v/>
      </c>
      <c r="L176" s="28" t="str">
        <f aca="false">IF(E176="","",IFERROR(INDEX(Settings!$K$8:$K$38,MATCH(E176,Settings!$H$8:$H$38,0))&amp;"",""))</f>
        <v/>
      </c>
    </row>
    <row r="177" customFormat="false" ht="15" hidden="false" customHeight="false" outlineLevel="0" collapsed="false">
      <c r="A177" s="33"/>
      <c r="B177" s="27"/>
      <c r="C177" s="27"/>
      <c r="D177" s="27"/>
      <c r="E177" s="27"/>
      <c r="F177" s="34"/>
      <c r="G177" s="27"/>
      <c r="H177" s="27"/>
      <c r="I177" s="28" t="str">
        <f aca="false">IF(C177="","",IFERROR(INDEX(Settings!$C$8:$C$19,MATCH(C177,Settings!$B$8:$B$19,0)),"?"))</f>
        <v/>
      </c>
      <c r="J177" s="28" t="str">
        <f aca="false">IF(G177="","",IFERROR(INDEX(Settings!$C$8:$C$19,MATCH(G177,Settings!$B$8:$B$19,0)),"?"))</f>
        <v/>
      </c>
      <c r="K177" s="35" t="str">
        <f aca="false">IF(A177="","",DATE(YEAR(A177),MONTH(A177),1))</f>
        <v/>
      </c>
      <c r="L177" s="28" t="str">
        <f aca="false">IF(E177="","",IFERROR(INDEX(Settings!$K$8:$K$38,MATCH(E177,Settings!$H$8:$H$38,0))&amp;"",""))</f>
        <v/>
      </c>
    </row>
    <row r="178" customFormat="false" ht="15" hidden="false" customHeight="false" outlineLevel="0" collapsed="false">
      <c r="A178" s="33"/>
      <c r="B178" s="27"/>
      <c r="C178" s="27"/>
      <c r="D178" s="27"/>
      <c r="E178" s="27"/>
      <c r="F178" s="34"/>
      <c r="G178" s="27"/>
      <c r="H178" s="27"/>
      <c r="I178" s="28" t="str">
        <f aca="false">IF(C178="","",IFERROR(INDEX(Settings!$C$8:$C$19,MATCH(C178,Settings!$B$8:$B$19,0)),"?"))</f>
        <v/>
      </c>
      <c r="J178" s="28" t="str">
        <f aca="false">IF(G178="","",IFERROR(INDEX(Settings!$C$8:$C$19,MATCH(G178,Settings!$B$8:$B$19,0)),"?"))</f>
        <v/>
      </c>
      <c r="K178" s="35" t="str">
        <f aca="false">IF(A178="","",DATE(YEAR(A178),MONTH(A178),1))</f>
        <v/>
      </c>
      <c r="L178" s="28" t="str">
        <f aca="false">IF(E178="","",IFERROR(INDEX(Settings!$K$8:$K$38,MATCH(E178,Settings!$H$8:$H$38,0))&amp;"",""))</f>
        <v/>
      </c>
    </row>
    <row r="179" customFormat="false" ht="15" hidden="false" customHeight="false" outlineLevel="0" collapsed="false">
      <c r="A179" s="33"/>
      <c r="B179" s="27"/>
      <c r="C179" s="27"/>
      <c r="D179" s="27"/>
      <c r="E179" s="27"/>
      <c r="F179" s="34"/>
      <c r="G179" s="27"/>
      <c r="H179" s="27"/>
      <c r="I179" s="28" t="str">
        <f aca="false">IF(C179="","",IFERROR(INDEX(Settings!$C$8:$C$19,MATCH(C179,Settings!$B$8:$B$19,0)),"?"))</f>
        <v/>
      </c>
      <c r="J179" s="28" t="str">
        <f aca="false">IF(G179="","",IFERROR(INDEX(Settings!$C$8:$C$19,MATCH(G179,Settings!$B$8:$B$19,0)),"?"))</f>
        <v/>
      </c>
      <c r="K179" s="35" t="str">
        <f aca="false">IF(A179="","",DATE(YEAR(A179),MONTH(A179),1))</f>
        <v/>
      </c>
      <c r="L179" s="28" t="str">
        <f aca="false">IF(E179="","",IFERROR(INDEX(Settings!$K$8:$K$38,MATCH(E179,Settings!$H$8:$H$38,0))&amp;"",""))</f>
        <v/>
      </c>
    </row>
    <row r="180" customFormat="false" ht="15" hidden="false" customHeight="false" outlineLevel="0" collapsed="false">
      <c r="A180" s="33"/>
      <c r="B180" s="27"/>
      <c r="C180" s="27"/>
      <c r="D180" s="27"/>
      <c r="E180" s="27"/>
      <c r="F180" s="34"/>
      <c r="G180" s="27"/>
      <c r="H180" s="27"/>
      <c r="I180" s="28" t="str">
        <f aca="false">IF(C180="","",IFERROR(INDEX(Settings!$C$8:$C$19,MATCH(C180,Settings!$B$8:$B$19,0)),"?"))</f>
        <v/>
      </c>
      <c r="J180" s="28" t="str">
        <f aca="false">IF(G180="","",IFERROR(INDEX(Settings!$C$8:$C$19,MATCH(G180,Settings!$B$8:$B$19,0)),"?"))</f>
        <v/>
      </c>
      <c r="K180" s="35" t="str">
        <f aca="false">IF(A180="","",DATE(YEAR(A180),MONTH(A180),1))</f>
        <v/>
      </c>
      <c r="L180" s="28" t="str">
        <f aca="false">IF(E180="","",IFERROR(INDEX(Settings!$K$8:$K$38,MATCH(E180,Settings!$H$8:$H$38,0))&amp;"",""))</f>
        <v/>
      </c>
    </row>
    <row r="181" customFormat="false" ht="15" hidden="false" customHeight="false" outlineLevel="0" collapsed="false">
      <c r="A181" s="33"/>
      <c r="B181" s="27"/>
      <c r="C181" s="27"/>
      <c r="D181" s="27"/>
      <c r="E181" s="27"/>
      <c r="F181" s="34"/>
      <c r="G181" s="27"/>
      <c r="H181" s="27"/>
      <c r="I181" s="28" t="str">
        <f aca="false">IF(C181="","",IFERROR(INDEX(Settings!$C$8:$C$19,MATCH(C181,Settings!$B$8:$B$19,0)),"?"))</f>
        <v/>
      </c>
      <c r="J181" s="28" t="str">
        <f aca="false">IF(G181="","",IFERROR(INDEX(Settings!$C$8:$C$19,MATCH(G181,Settings!$B$8:$B$19,0)),"?"))</f>
        <v/>
      </c>
      <c r="K181" s="35" t="str">
        <f aca="false">IF(A181="","",DATE(YEAR(A181),MONTH(A181),1))</f>
        <v/>
      </c>
      <c r="L181" s="28" t="str">
        <f aca="false">IF(E181="","",IFERROR(INDEX(Settings!$K$8:$K$38,MATCH(E181,Settings!$H$8:$H$38,0))&amp;"",""))</f>
        <v/>
      </c>
    </row>
    <row r="182" customFormat="false" ht="15" hidden="false" customHeight="false" outlineLevel="0" collapsed="false">
      <c r="A182" s="33"/>
      <c r="B182" s="27"/>
      <c r="C182" s="27"/>
      <c r="D182" s="27"/>
      <c r="E182" s="27"/>
      <c r="F182" s="34"/>
      <c r="G182" s="27"/>
      <c r="H182" s="27"/>
      <c r="I182" s="28" t="str">
        <f aca="false">IF(C182="","",IFERROR(INDEX(Settings!$C$8:$C$19,MATCH(C182,Settings!$B$8:$B$19,0)),"?"))</f>
        <v/>
      </c>
      <c r="J182" s="28" t="str">
        <f aca="false">IF(G182="","",IFERROR(INDEX(Settings!$C$8:$C$19,MATCH(G182,Settings!$B$8:$B$19,0)),"?"))</f>
        <v/>
      </c>
      <c r="K182" s="35" t="str">
        <f aca="false">IF(A182="","",DATE(YEAR(A182),MONTH(A182),1))</f>
        <v/>
      </c>
      <c r="L182" s="28" t="str">
        <f aca="false">IF(E182="","",IFERROR(INDEX(Settings!$K$8:$K$38,MATCH(E182,Settings!$H$8:$H$38,0))&amp;"",""))</f>
        <v/>
      </c>
    </row>
    <row r="183" customFormat="false" ht="15" hidden="false" customHeight="false" outlineLevel="0" collapsed="false">
      <c r="A183" s="33"/>
      <c r="B183" s="27"/>
      <c r="C183" s="27"/>
      <c r="D183" s="27"/>
      <c r="E183" s="27"/>
      <c r="F183" s="34"/>
      <c r="G183" s="27"/>
      <c r="H183" s="27"/>
      <c r="I183" s="28" t="str">
        <f aca="false">IF(C183="","",IFERROR(INDEX(Settings!$C$8:$C$19,MATCH(C183,Settings!$B$8:$B$19,0)),"?"))</f>
        <v/>
      </c>
      <c r="J183" s="28" t="str">
        <f aca="false">IF(G183="","",IFERROR(INDEX(Settings!$C$8:$C$19,MATCH(G183,Settings!$B$8:$B$19,0)),"?"))</f>
        <v/>
      </c>
      <c r="K183" s="35" t="str">
        <f aca="false">IF(A183="","",DATE(YEAR(A183),MONTH(A183),1))</f>
        <v/>
      </c>
      <c r="L183" s="28" t="str">
        <f aca="false">IF(E183="","",IFERROR(INDEX(Settings!$K$8:$K$38,MATCH(E183,Settings!$H$8:$H$38,0))&amp;"",""))</f>
        <v/>
      </c>
    </row>
    <row r="184" customFormat="false" ht="15" hidden="false" customHeight="false" outlineLevel="0" collapsed="false">
      <c r="A184" s="33"/>
      <c r="B184" s="27"/>
      <c r="C184" s="27"/>
      <c r="D184" s="27"/>
      <c r="E184" s="27"/>
      <c r="F184" s="34"/>
      <c r="G184" s="27"/>
      <c r="H184" s="27"/>
      <c r="I184" s="28" t="str">
        <f aca="false">IF(C184="","",IFERROR(INDEX(Settings!$C$8:$C$19,MATCH(C184,Settings!$B$8:$B$19,0)),"?"))</f>
        <v/>
      </c>
      <c r="J184" s="28" t="str">
        <f aca="false">IF(G184="","",IFERROR(INDEX(Settings!$C$8:$C$19,MATCH(G184,Settings!$B$8:$B$19,0)),"?"))</f>
        <v/>
      </c>
      <c r="K184" s="35" t="str">
        <f aca="false">IF(A184="","",DATE(YEAR(A184),MONTH(A184),1))</f>
        <v/>
      </c>
      <c r="L184" s="28" t="str">
        <f aca="false">IF(E184="","",IFERROR(INDEX(Settings!$K$8:$K$38,MATCH(E184,Settings!$H$8:$H$38,0))&amp;"",""))</f>
        <v/>
      </c>
    </row>
    <row r="185" customFormat="false" ht="15" hidden="false" customHeight="false" outlineLevel="0" collapsed="false">
      <c r="A185" s="33"/>
      <c r="B185" s="27"/>
      <c r="C185" s="27"/>
      <c r="D185" s="27"/>
      <c r="E185" s="27"/>
      <c r="F185" s="34"/>
      <c r="G185" s="27"/>
      <c r="H185" s="27"/>
      <c r="I185" s="28" t="str">
        <f aca="false">IF(C185="","",IFERROR(INDEX(Settings!$C$8:$C$19,MATCH(C185,Settings!$B$8:$B$19,0)),"?"))</f>
        <v/>
      </c>
      <c r="J185" s="28" t="str">
        <f aca="false">IF(G185="","",IFERROR(INDEX(Settings!$C$8:$C$19,MATCH(G185,Settings!$B$8:$B$19,0)),"?"))</f>
        <v/>
      </c>
      <c r="K185" s="35" t="str">
        <f aca="false">IF(A185="","",DATE(YEAR(A185),MONTH(A185),1))</f>
        <v/>
      </c>
      <c r="L185" s="28" t="str">
        <f aca="false">IF(E185="","",IFERROR(INDEX(Settings!$K$8:$K$38,MATCH(E185,Settings!$H$8:$H$38,0))&amp;"",""))</f>
        <v/>
      </c>
    </row>
    <row r="186" customFormat="false" ht="15" hidden="false" customHeight="false" outlineLevel="0" collapsed="false">
      <c r="A186" s="33"/>
      <c r="B186" s="27"/>
      <c r="C186" s="27"/>
      <c r="D186" s="27"/>
      <c r="E186" s="27"/>
      <c r="F186" s="34"/>
      <c r="G186" s="27"/>
      <c r="H186" s="27"/>
      <c r="I186" s="28" t="str">
        <f aca="false">IF(C186="","",IFERROR(INDEX(Settings!$C$8:$C$19,MATCH(C186,Settings!$B$8:$B$19,0)),"?"))</f>
        <v/>
      </c>
      <c r="J186" s="28" t="str">
        <f aca="false">IF(G186="","",IFERROR(INDEX(Settings!$C$8:$C$19,MATCH(G186,Settings!$B$8:$B$19,0)),"?"))</f>
        <v/>
      </c>
      <c r="K186" s="35" t="str">
        <f aca="false">IF(A186="","",DATE(YEAR(A186),MONTH(A186),1))</f>
        <v/>
      </c>
      <c r="L186" s="28" t="str">
        <f aca="false">IF(E186="","",IFERROR(INDEX(Settings!$K$8:$K$38,MATCH(E186,Settings!$H$8:$H$38,0))&amp;"",""))</f>
        <v/>
      </c>
    </row>
    <row r="187" customFormat="false" ht="15" hidden="false" customHeight="false" outlineLevel="0" collapsed="false">
      <c r="A187" s="33"/>
      <c r="B187" s="27"/>
      <c r="C187" s="27"/>
      <c r="D187" s="27"/>
      <c r="E187" s="27"/>
      <c r="F187" s="34"/>
      <c r="G187" s="27"/>
      <c r="H187" s="27"/>
      <c r="I187" s="28" t="str">
        <f aca="false">IF(C187="","",IFERROR(INDEX(Settings!$C$8:$C$19,MATCH(C187,Settings!$B$8:$B$19,0)),"?"))</f>
        <v/>
      </c>
      <c r="J187" s="28" t="str">
        <f aca="false">IF(G187="","",IFERROR(INDEX(Settings!$C$8:$C$19,MATCH(G187,Settings!$B$8:$B$19,0)),"?"))</f>
        <v/>
      </c>
      <c r="K187" s="35" t="str">
        <f aca="false">IF(A187="","",DATE(YEAR(A187),MONTH(A187),1))</f>
        <v/>
      </c>
      <c r="L187" s="28" t="str">
        <f aca="false">IF(E187="","",IFERROR(INDEX(Settings!$K$8:$K$38,MATCH(E187,Settings!$H$8:$H$38,0))&amp;"",""))</f>
        <v/>
      </c>
    </row>
    <row r="188" customFormat="false" ht="15" hidden="false" customHeight="false" outlineLevel="0" collapsed="false">
      <c r="A188" s="33"/>
      <c r="B188" s="27"/>
      <c r="C188" s="27"/>
      <c r="D188" s="27"/>
      <c r="E188" s="27"/>
      <c r="F188" s="34"/>
      <c r="G188" s="27"/>
      <c r="H188" s="27"/>
      <c r="I188" s="28" t="str">
        <f aca="false">IF(C188="","",IFERROR(INDEX(Settings!$C$8:$C$19,MATCH(C188,Settings!$B$8:$B$19,0)),"?"))</f>
        <v/>
      </c>
      <c r="J188" s="28" t="str">
        <f aca="false">IF(G188="","",IFERROR(INDEX(Settings!$C$8:$C$19,MATCH(G188,Settings!$B$8:$B$19,0)),"?"))</f>
        <v/>
      </c>
      <c r="K188" s="35" t="str">
        <f aca="false">IF(A188="","",DATE(YEAR(A188),MONTH(A188),1))</f>
        <v/>
      </c>
      <c r="L188" s="28" t="str">
        <f aca="false">IF(E188="","",IFERROR(INDEX(Settings!$K$8:$K$38,MATCH(E188,Settings!$H$8:$H$38,0))&amp;"",""))</f>
        <v/>
      </c>
    </row>
    <row r="189" customFormat="false" ht="15" hidden="false" customHeight="false" outlineLevel="0" collapsed="false">
      <c r="A189" s="33"/>
      <c r="B189" s="27"/>
      <c r="C189" s="27"/>
      <c r="D189" s="27"/>
      <c r="E189" s="27"/>
      <c r="F189" s="34"/>
      <c r="G189" s="27"/>
      <c r="H189" s="27"/>
      <c r="I189" s="28" t="str">
        <f aca="false">IF(C189="","",IFERROR(INDEX(Settings!$C$8:$C$19,MATCH(C189,Settings!$B$8:$B$19,0)),"?"))</f>
        <v/>
      </c>
      <c r="J189" s="28" t="str">
        <f aca="false">IF(G189="","",IFERROR(INDEX(Settings!$C$8:$C$19,MATCH(G189,Settings!$B$8:$B$19,0)),"?"))</f>
        <v/>
      </c>
      <c r="K189" s="35" t="str">
        <f aca="false">IF(A189="","",DATE(YEAR(A189),MONTH(A189),1))</f>
        <v/>
      </c>
      <c r="L189" s="28" t="str">
        <f aca="false">IF(E189="","",IFERROR(INDEX(Settings!$K$8:$K$38,MATCH(E189,Settings!$H$8:$H$38,0))&amp;"",""))</f>
        <v/>
      </c>
    </row>
    <row r="190" customFormat="false" ht="15" hidden="false" customHeight="false" outlineLevel="0" collapsed="false">
      <c r="A190" s="33"/>
      <c r="B190" s="27"/>
      <c r="C190" s="27"/>
      <c r="D190" s="27"/>
      <c r="E190" s="27"/>
      <c r="F190" s="34"/>
      <c r="G190" s="27"/>
      <c r="H190" s="27"/>
      <c r="I190" s="28" t="str">
        <f aca="false">IF(C190="","",IFERROR(INDEX(Settings!$C$8:$C$19,MATCH(C190,Settings!$B$8:$B$19,0)),"?"))</f>
        <v/>
      </c>
      <c r="J190" s="28" t="str">
        <f aca="false">IF(G190="","",IFERROR(INDEX(Settings!$C$8:$C$19,MATCH(G190,Settings!$B$8:$B$19,0)),"?"))</f>
        <v/>
      </c>
      <c r="K190" s="35" t="str">
        <f aca="false">IF(A190="","",DATE(YEAR(A190),MONTH(A190),1))</f>
        <v/>
      </c>
      <c r="L190" s="28" t="str">
        <f aca="false">IF(E190="","",IFERROR(INDEX(Settings!$K$8:$K$38,MATCH(E190,Settings!$H$8:$H$38,0))&amp;"",""))</f>
        <v/>
      </c>
    </row>
    <row r="191" customFormat="false" ht="15" hidden="false" customHeight="false" outlineLevel="0" collapsed="false">
      <c r="A191" s="33"/>
      <c r="B191" s="27"/>
      <c r="C191" s="27"/>
      <c r="D191" s="27"/>
      <c r="E191" s="27"/>
      <c r="F191" s="34"/>
      <c r="G191" s="27"/>
      <c r="H191" s="27"/>
      <c r="I191" s="28" t="str">
        <f aca="false">IF(C191="","",IFERROR(INDEX(Settings!$C$8:$C$19,MATCH(C191,Settings!$B$8:$B$19,0)),"?"))</f>
        <v/>
      </c>
      <c r="J191" s="28" t="str">
        <f aca="false">IF(G191="","",IFERROR(INDEX(Settings!$C$8:$C$19,MATCH(G191,Settings!$B$8:$B$19,0)),"?"))</f>
        <v/>
      </c>
      <c r="K191" s="35" t="str">
        <f aca="false">IF(A191="","",DATE(YEAR(A191),MONTH(A191),1))</f>
        <v/>
      </c>
      <c r="L191" s="28" t="str">
        <f aca="false">IF(E191="","",IFERROR(INDEX(Settings!$K$8:$K$38,MATCH(E191,Settings!$H$8:$H$38,0))&amp;"",""))</f>
        <v/>
      </c>
    </row>
    <row r="192" customFormat="false" ht="15" hidden="false" customHeight="false" outlineLevel="0" collapsed="false">
      <c r="A192" s="33"/>
      <c r="B192" s="27"/>
      <c r="C192" s="27"/>
      <c r="D192" s="27"/>
      <c r="E192" s="27"/>
      <c r="F192" s="34"/>
      <c r="G192" s="27"/>
      <c r="H192" s="27"/>
      <c r="I192" s="28" t="str">
        <f aca="false">IF(C192="","",IFERROR(INDEX(Settings!$C$8:$C$19,MATCH(C192,Settings!$B$8:$B$19,0)),"?"))</f>
        <v/>
      </c>
      <c r="J192" s="28" t="str">
        <f aca="false">IF(G192="","",IFERROR(INDEX(Settings!$C$8:$C$19,MATCH(G192,Settings!$B$8:$B$19,0)),"?"))</f>
        <v/>
      </c>
      <c r="K192" s="35" t="str">
        <f aca="false">IF(A192="","",DATE(YEAR(A192),MONTH(A192),1))</f>
        <v/>
      </c>
      <c r="L192" s="28" t="str">
        <f aca="false">IF(E192="","",IFERROR(INDEX(Settings!$K$8:$K$38,MATCH(E192,Settings!$H$8:$H$38,0))&amp;"",""))</f>
        <v/>
      </c>
    </row>
    <row r="193" customFormat="false" ht="15" hidden="false" customHeight="false" outlineLevel="0" collapsed="false">
      <c r="A193" s="33"/>
      <c r="B193" s="27"/>
      <c r="C193" s="27"/>
      <c r="D193" s="27"/>
      <c r="E193" s="27"/>
      <c r="F193" s="34"/>
      <c r="G193" s="27"/>
      <c r="H193" s="27"/>
      <c r="I193" s="28" t="str">
        <f aca="false">IF(C193="","",IFERROR(INDEX(Settings!$C$8:$C$19,MATCH(C193,Settings!$B$8:$B$19,0)),"?"))</f>
        <v/>
      </c>
      <c r="J193" s="28" t="str">
        <f aca="false">IF(G193="","",IFERROR(INDEX(Settings!$C$8:$C$19,MATCH(G193,Settings!$B$8:$B$19,0)),"?"))</f>
        <v/>
      </c>
      <c r="K193" s="35" t="str">
        <f aca="false">IF(A193="","",DATE(YEAR(A193),MONTH(A193),1))</f>
        <v/>
      </c>
      <c r="L193" s="28" t="str">
        <f aca="false">IF(E193="","",IFERROR(INDEX(Settings!$K$8:$K$38,MATCH(E193,Settings!$H$8:$H$38,0))&amp;"",""))</f>
        <v/>
      </c>
    </row>
    <row r="194" customFormat="false" ht="15" hidden="false" customHeight="false" outlineLevel="0" collapsed="false">
      <c r="A194" s="33"/>
      <c r="B194" s="27"/>
      <c r="C194" s="27"/>
      <c r="D194" s="27"/>
      <c r="E194" s="27"/>
      <c r="F194" s="34"/>
      <c r="G194" s="27"/>
      <c r="H194" s="27"/>
      <c r="I194" s="28" t="str">
        <f aca="false">IF(C194="","",IFERROR(INDEX(Settings!$C$8:$C$19,MATCH(C194,Settings!$B$8:$B$19,0)),"?"))</f>
        <v/>
      </c>
      <c r="J194" s="28" t="str">
        <f aca="false">IF(G194="","",IFERROR(INDEX(Settings!$C$8:$C$19,MATCH(G194,Settings!$B$8:$B$19,0)),"?"))</f>
        <v/>
      </c>
      <c r="K194" s="35" t="str">
        <f aca="false">IF(A194="","",DATE(YEAR(A194),MONTH(A194),1))</f>
        <v/>
      </c>
      <c r="L194" s="28" t="str">
        <f aca="false">IF(E194="","",IFERROR(INDEX(Settings!$K$8:$K$38,MATCH(E194,Settings!$H$8:$H$38,0))&amp;"",""))</f>
        <v/>
      </c>
    </row>
    <row r="195" customFormat="false" ht="15" hidden="false" customHeight="false" outlineLevel="0" collapsed="false">
      <c r="A195" s="33"/>
      <c r="B195" s="27"/>
      <c r="C195" s="27"/>
      <c r="D195" s="27"/>
      <c r="E195" s="27"/>
      <c r="F195" s="34"/>
      <c r="G195" s="27"/>
      <c r="H195" s="27"/>
      <c r="I195" s="28" t="str">
        <f aca="false">IF(C195="","",IFERROR(INDEX(Settings!$C$8:$C$19,MATCH(C195,Settings!$B$8:$B$19,0)),"?"))</f>
        <v/>
      </c>
      <c r="J195" s="28" t="str">
        <f aca="false">IF(G195="","",IFERROR(INDEX(Settings!$C$8:$C$19,MATCH(G195,Settings!$B$8:$B$19,0)),"?"))</f>
        <v/>
      </c>
      <c r="K195" s="35" t="str">
        <f aca="false">IF(A195="","",DATE(YEAR(A195),MONTH(A195),1))</f>
        <v/>
      </c>
      <c r="L195" s="28" t="str">
        <f aca="false">IF(E195="","",IFERROR(INDEX(Settings!$K$8:$K$38,MATCH(E195,Settings!$H$8:$H$38,0))&amp;"",""))</f>
        <v/>
      </c>
    </row>
    <row r="196" customFormat="false" ht="15" hidden="false" customHeight="false" outlineLevel="0" collapsed="false">
      <c r="A196" s="33"/>
      <c r="B196" s="27"/>
      <c r="C196" s="27"/>
      <c r="D196" s="27"/>
      <c r="E196" s="27"/>
      <c r="F196" s="34"/>
      <c r="G196" s="27"/>
      <c r="H196" s="27"/>
      <c r="I196" s="28" t="str">
        <f aca="false">IF(C196="","",IFERROR(INDEX(Settings!$C$8:$C$19,MATCH(C196,Settings!$B$8:$B$19,0)),"?"))</f>
        <v/>
      </c>
      <c r="J196" s="28" t="str">
        <f aca="false">IF(G196="","",IFERROR(INDEX(Settings!$C$8:$C$19,MATCH(G196,Settings!$B$8:$B$19,0)),"?"))</f>
        <v/>
      </c>
      <c r="K196" s="35" t="str">
        <f aca="false">IF(A196="","",DATE(YEAR(A196),MONTH(A196),1))</f>
        <v/>
      </c>
      <c r="L196" s="28" t="str">
        <f aca="false">IF(E196="","",IFERROR(INDEX(Settings!$K$8:$K$38,MATCH(E196,Settings!$H$8:$H$38,0))&amp;"",""))</f>
        <v/>
      </c>
    </row>
    <row r="197" customFormat="false" ht="15" hidden="false" customHeight="false" outlineLevel="0" collapsed="false">
      <c r="A197" s="33"/>
      <c r="B197" s="27"/>
      <c r="C197" s="27"/>
      <c r="D197" s="27"/>
      <c r="E197" s="27"/>
      <c r="F197" s="34"/>
      <c r="G197" s="27"/>
      <c r="H197" s="27"/>
      <c r="I197" s="28" t="str">
        <f aca="false">IF(C197="","",IFERROR(INDEX(Settings!$C$8:$C$19,MATCH(C197,Settings!$B$8:$B$19,0)),"?"))</f>
        <v/>
      </c>
      <c r="J197" s="28" t="str">
        <f aca="false">IF(G197="","",IFERROR(INDEX(Settings!$C$8:$C$19,MATCH(G197,Settings!$B$8:$B$19,0)),"?"))</f>
        <v/>
      </c>
      <c r="K197" s="35" t="str">
        <f aca="false">IF(A197="","",DATE(YEAR(A197),MONTH(A197),1))</f>
        <v/>
      </c>
      <c r="L197" s="28" t="str">
        <f aca="false">IF(E197="","",IFERROR(INDEX(Settings!$K$8:$K$38,MATCH(E197,Settings!$H$8:$H$38,0))&amp;"",""))</f>
        <v/>
      </c>
    </row>
    <row r="198" customFormat="false" ht="15" hidden="false" customHeight="false" outlineLevel="0" collapsed="false">
      <c r="A198" s="33"/>
      <c r="B198" s="27"/>
      <c r="C198" s="27"/>
      <c r="D198" s="27"/>
      <c r="E198" s="27"/>
      <c r="F198" s="34"/>
      <c r="G198" s="27"/>
      <c r="H198" s="27"/>
      <c r="I198" s="28" t="str">
        <f aca="false">IF(C198="","",IFERROR(INDEX(Settings!$C$8:$C$19,MATCH(C198,Settings!$B$8:$B$19,0)),"?"))</f>
        <v/>
      </c>
      <c r="J198" s="28" t="str">
        <f aca="false">IF(G198="","",IFERROR(INDEX(Settings!$C$8:$C$19,MATCH(G198,Settings!$B$8:$B$19,0)),"?"))</f>
        <v/>
      </c>
      <c r="K198" s="35" t="str">
        <f aca="false">IF(A198="","",DATE(YEAR(A198),MONTH(A198),1))</f>
        <v/>
      </c>
      <c r="L198" s="28" t="str">
        <f aca="false">IF(E198="","",IFERROR(INDEX(Settings!$K$8:$K$38,MATCH(E198,Settings!$H$8:$H$38,0))&amp;"",""))</f>
        <v/>
      </c>
    </row>
    <row r="199" customFormat="false" ht="15" hidden="false" customHeight="false" outlineLevel="0" collapsed="false">
      <c r="A199" s="33"/>
      <c r="B199" s="27"/>
      <c r="C199" s="27"/>
      <c r="D199" s="27"/>
      <c r="E199" s="27"/>
      <c r="F199" s="34"/>
      <c r="G199" s="27"/>
      <c r="H199" s="27"/>
      <c r="I199" s="28" t="str">
        <f aca="false">IF(C199="","",IFERROR(INDEX(Settings!$C$8:$C$19,MATCH(C199,Settings!$B$8:$B$19,0)),"?"))</f>
        <v/>
      </c>
      <c r="J199" s="28" t="str">
        <f aca="false">IF(G199="","",IFERROR(INDEX(Settings!$C$8:$C$19,MATCH(G199,Settings!$B$8:$B$19,0)),"?"))</f>
        <v/>
      </c>
      <c r="K199" s="35" t="str">
        <f aca="false">IF(A199="","",DATE(YEAR(A199),MONTH(A199),1))</f>
        <v/>
      </c>
      <c r="L199" s="28" t="str">
        <f aca="false">IF(E199="","",IFERROR(INDEX(Settings!$K$8:$K$38,MATCH(E199,Settings!$H$8:$H$38,0))&amp;"",""))</f>
        <v/>
      </c>
    </row>
    <row r="200" customFormat="false" ht="15" hidden="false" customHeight="false" outlineLevel="0" collapsed="false">
      <c r="A200" s="33"/>
      <c r="B200" s="27"/>
      <c r="C200" s="27"/>
      <c r="D200" s="27"/>
      <c r="E200" s="27"/>
      <c r="F200" s="34"/>
      <c r="G200" s="27"/>
      <c r="H200" s="27"/>
      <c r="I200" s="28" t="str">
        <f aca="false">IF(C200="","",IFERROR(INDEX(Settings!$C$8:$C$19,MATCH(C200,Settings!$B$8:$B$19,0)),"?"))</f>
        <v/>
      </c>
      <c r="J200" s="28" t="str">
        <f aca="false">IF(G200="","",IFERROR(INDEX(Settings!$C$8:$C$19,MATCH(G200,Settings!$B$8:$B$19,0)),"?"))</f>
        <v/>
      </c>
      <c r="K200" s="35" t="str">
        <f aca="false">IF(A200="","",DATE(YEAR(A200),MONTH(A200),1))</f>
        <v/>
      </c>
      <c r="L200" s="28" t="str">
        <f aca="false">IF(E200="","",IFERROR(INDEX(Settings!$K$8:$K$38,MATCH(E200,Settings!$H$8:$H$38,0))&amp;"",""))</f>
        <v/>
      </c>
    </row>
    <row r="201" customFormat="false" ht="15" hidden="false" customHeight="false" outlineLevel="0" collapsed="false">
      <c r="A201" s="33"/>
      <c r="B201" s="27"/>
      <c r="C201" s="27"/>
      <c r="D201" s="27"/>
      <c r="E201" s="27"/>
      <c r="F201" s="34"/>
      <c r="G201" s="27"/>
      <c r="H201" s="27"/>
      <c r="I201" s="28" t="str">
        <f aca="false">IF(C201="","",IFERROR(INDEX(Settings!$C$8:$C$19,MATCH(C201,Settings!$B$8:$B$19,0)),"?"))</f>
        <v/>
      </c>
      <c r="J201" s="28" t="str">
        <f aca="false">IF(G201="","",IFERROR(INDEX(Settings!$C$8:$C$19,MATCH(G201,Settings!$B$8:$B$19,0)),"?"))</f>
        <v/>
      </c>
      <c r="K201" s="35" t="str">
        <f aca="false">IF(A201="","",DATE(YEAR(A201),MONTH(A201),1))</f>
        <v/>
      </c>
      <c r="L201" s="28" t="str">
        <f aca="false">IF(E201="","",IFERROR(INDEX(Settings!$K$8:$K$38,MATCH(E201,Settings!$H$8:$H$38,0))&amp;"",""))</f>
        <v/>
      </c>
    </row>
    <row r="202" customFormat="false" ht="15" hidden="false" customHeight="false" outlineLevel="0" collapsed="false">
      <c r="A202" s="33"/>
      <c r="B202" s="27"/>
      <c r="C202" s="27"/>
      <c r="D202" s="27"/>
      <c r="E202" s="27"/>
      <c r="F202" s="34"/>
      <c r="G202" s="27"/>
      <c r="H202" s="27"/>
      <c r="I202" s="28" t="str">
        <f aca="false">IF(C202="","",IFERROR(INDEX(Settings!$C$8:$C$19,MATCH(C202,Settings!$B$8:$B$19,0)),"?"))</f>
        <v/>
      </c>
      <c r="J202" s="28" t="str">
        <f aca="false">IF(G202="","",IFERROR(INDEX(Settings!$C$8:$C$19,MATCH(G202,Settings!$B$8:$B$19,0)),"?"))</f>
        <v/>
      </c>
      <c r="K202" s="35" t="str">
        <f aca="false">IF(A202="","",DATE(YEAR(A202),MONTH(A202),1))</f>
        <v/>
      </c>
      <c r="L202" s="28" t="str">
        <f aca="false">IF(E202="","",IFERROR(INDEX(Settings!$K$8:$K$38,MATCH(E202,Settings!$H$8:$H$38,0))&amp;"",""))</f>
        <v/>
      </c>
    </row>
    <row r="203" customFormat="false" ht="15" hidden="false" customHeight="false" outlineLevel="0" collapsed="false">
      <c r="A203" s="33"/>
      <c r="B203" s="27"/>
      <c r="C203" s="27"/>
      <c r="D203" s="27"/>
      <c r="E203" s="27"/>
      <c r="F203" s="34"/>
      <c r="G203" s="27"/>
      <c r="H203" s="27"/>
      <c r="I203" s="28" t="str">
        <f aca="false">IF(C203="","",IFERROR(INDEX(Settings!$C$8:$C$19,MATCH(C203,Settings!$B$8:$B$19,0)),"?"))</f>
        <v/>
      </c>
      <c r="J203" s="28" t="str">
        <f aca="false">IF(G203="","",IFERROR(INDEX(Settings!$C$8:$C$19,MATCH(G203,Settings!$B$8:$B$19,0)),"?"))</f>
        <v/>
      </c>
      <c r="K203" s="35" t="str">
        <f aca="false">IF(A203="","",DATE(YEAR(A203),MONTH(A203),1))</f>
        <v/>
      </c>
      <c r="L203" s="28" t="str">
        <f aca="false">IF(E203="","",IFERROR(INDEX(Settings!$K$8:$K$38,MATCH(E203,Settings!$H$8:$H$38,0))&amp;"",""))</f>
        <v/>
      </c>
    </row>
    <row r="204" customFormat="false" ht="15" hidden="false" customHeight="false" outlineLevel="0" collapsed="false">
      <c r="A204" s="33"/>
      <c r="B204" s="27"/>
      <c r="C204" s="27"/>
      <c r="D204" s="27"/>
      <c r="E204" s="27"/>
      <c r="F204" s="34"/>
      <c r="G204" s="27"/>
      <c r="H204" s="27"/>
      <c r="I204" s="28" t="str">
        <f aca="false">IF(C204="","",IFERROR(INDEX(Settings!$C$8:$C$19,MATCH(C204,Settings!$B$8:$B$19,0)),"?"))</f>
        <v/>
      </c>
      <c r="J204" s="28" t="str">
        <f aca="false">IF(G204="","",IFERROR(INDEX(Settings!$C$8:$C$19,MATCH(G204,Settings!$B$8:$B$19,0)),"?"))</f>
        <v/>
      </c>
      <c r="K204" s="35" t="str">
        <f aca="false">IF(A204="","",DATE(YEAR(A204),MONTH(A204),1))</f>
        <v/>
      </c>
      <c r="L204" s="28" t="str">
        <f aca="false">IF(E204="","",IFERROR(INDEX(Settings!$K$8:$K$38,MATCH(E204,Settings!$H$8:$H$38,0))&amp;"",""))</f>
        <v/>
      </c>
    </row>
    <row r="205" customFormat="false" ht="15" hidden="false" customHeight="false" outlineLevel="0" collapsed="false">
      <c r="A205" s="33"/>
      <c r="B205" s="27"/>
      <c r="C205" s="27"/>
      <c r="D205" s="27"/>
      <c r="E205" s="27"/>
      <c r="F205" s="34"/>
      <c r="G205" s="27"/>
      <c r="H205" s="27"/>
      <c r="I205" s="28" t="str">
        <f aca="false">IF(C205="","",IFERROR(INDEX(Settings!$C$8:$C$19,MATCH(C205,Settings!$B$8:$B$19,0)),"?"))</f>
        <v/>
      </c>
      <c r="J205" s="28" t="str">
        <f aca="false">IF(G205="","",IFERROR(INDEX(Settings!$C$8:$C$19,MATCH(G205,Settings!$B$8:$B$19,0)),"?"))</f>
        <v/>
      </c>
      <c r="K205" s="35" t="str">
        <f aca="false">IF(A205="","",DATE(YEAR(A205),MONTH(A205),1))</f>
        <v/>
      </c>
      <c r="L205" s="28" t="str">
        <f aca="false">IF(E205="","",IFERROR(INDEX(Settings!$K$8:$K$38,MATCH(E205,Settings!$H$8:$H$38,0))&amp;"",""))</f>
        <v/>
      </c>
    </row>
    <row r="206" customFormat="false" ht="15" hidden="false" customHeight="false" outlineLevel="0" collapsed="false">
      <c r="A206" s="33"/>
      <c r="B206" s="27"/>
      <c r="C206" s="27"/>
      <c r="D206" s="27"/>
      <c r="E206" s="27"/>
      <c r="F206" s="34"/>
      <c r="G206" s="27"/>
      <c r="H206" s="27"/>
      <c r="I206" s="28" t="str">
        <f aca="false">IF(C206="","",IFERROR(INDEX(Settings!$C$8:$C$19,MATCH(C206,Settings!$B$8:$B$19,0)),"?"))</f>
        <v/>
      </c>
      <c r="J206" s="28" t="str">
        <f aca="false">IF(G206="","",IFERROR(INDEX(Settings!$C$8:$C$19,MATCH(G206,Settings!$B$8:$B$19,0)),"?"))</f>
        <v/>
      </c>
      <c r="K206" s="35" t="str">
        <f aca="false">IF(A206="","",DATE(YEAR(A206),MONTH(A206),1))</f>
        <v/>
      </c>
      <c r="L206" s="28" t="str">
        <f aca="false">IF(E206="","",IFERROR(INDEX(Settings!$K$8:$K$38,MATCH(E206,Settings!$H$8:$H$38,0))&amp;"",""))</f>
        <v/>
      </c>
    </row>
    <row r="207" customFormat="false" ht="15" hidden="false" customHeight="false" outlineLevel="0" collapsed="false">
      <c r="A207" s="33"/>
      <c r="B207" s="27"/>
      <c r="C207" s="27"/>
      <c r="D207" s="27"/>
      <c r="E207" s="27"/>
      <c r="F207" s="34"/>
      <c r="G207" s="27"/>
      <c r="H207" s="27"/>
      <c r="I207" s="28" t="str">
        <f aca="false">IF(C207="","",IFERROR(INDEX(Settings!$C$8:$C$19,MATCH(C207,Settings!$B$8:$B$19,0)),"?"))</f>
        <v/>
      </c>
      <c r="J207" s="28" t="str">
        <f aca="false">IF(G207="","",IFERROR(INDEX(Settings!$C$8:$C$19,MATCH(G207,Settings!$B$8:$B$19,0)),"?"))</f>
        <v/>
      </c>
      <c r="K207" s="35" t="str">
        <f aca="false">IF(A207="","",DATE(YEAR(A207),MONTH(A207),1))</f>
        <v/>
      </c>
      <c r="L207" s="28" t="str">
        <f aca="false">IF(E207="","",IFERROR(INDEX(Settings!$K$8:$K$38,MATCH(E207,Settings!$H$8:$H$38,0))&amp;"",""))</f>
        <v/>
      </c>
    </row>
    <row r="208" customFormat="false" ht="15" hidden="false" customHeight="false" outlineLevel="0" collapsed="false">
      <c r="A208" s="33"/>
      <c r="B208" s="27"/>
      <c r="C208" s="27"/>
      <c r="D208" s="27"/>
      <c r="E208" s="27"/>
      <c r="F208" s="34"/>
      <c r="G208" s="27"/>
      <c r="H208" s="27"/>
      <c r="I208" s="28" t="str">
        <f aca="false">IF(C208="","",IFERROR(INDEX(Settings!$C$8:$C$19,MATCH(C208,Settings!$B$8:$B$19,0)),"?"))</f>
        <v/>
      </c>
      <c r="J208" s="28" t="str">
        <f aca="false">IF(G208="","",IFERROR(INDEX(Settings!$C$8:$C$19,MATCH(G208,Settings!$B$8:$B$19,0)),"?"))</f>
        <v/>
      </c>
      <c r="K208" s="35" t="str">
        <f aca="false">IF(A208="","",DATE(YEAR(A208),MONTH(A208),1))</f>
        <v/>
      </c>
      <c r="L208" s="28" t="str">
        <f aca="false">IF(E208="","",IFERROR(INDEX(Settings!$K$8:$K$38,MATCH(E208,Settings!$H$8:$H$38,0))&amp;"",""))</f>
        <v/>
      </c>
    </row>
    <row r="209" customFormat="false" ht="15" hidden="false" customHeight="false" outlineLevel="0" collapsed="false">
      <c r="A209" s="33"/>
      <c r="B209" s="27"/>
      <c r="C209" s="27"/>
      <c r="D209" s="27"/>
      <c r="E209" s="27"/>
      <c r="F209" s="34"/>
      <c r="G209" s="27"/>
      <c r="H209" s="27"/>
      <c r="I209" s="28" t="str">
        <f aca="false">IF(C209="","",IFERROR(INDEX(Settings!$C$8:$C$19,MATCH(C209,Settings!$B$8:$B$19,0)),"?"))</f>
        <v/>
      </c>
      <c r="J209" s="28" t="str">
        <f aca="false">IF(G209="","",IFERROR(INDEX(Settings!$C$8:$C$19,MATCH(G209,Settings!$B$8:$B$19,0)),"?"))</f>
        <v/>
      </c>
      <c r="K209" s="35" t="str">
        <f aca="false">IF(A209="","",DATE(YEAR(A209),MONTH(A209),1))</f>
        <v/>
      </c>
      <c r="L209" s="28" t="str">
        <f aca="false">IF(E209="","",IFERROR(INDEX(Settings!$K$8:$K$38,MATCH(E209,Settings!$H$8:$H$38,0))&amp;"",""))</f>
        <v/>
      </c>
    </row>
    <row r="210" customFormat="false" ht="15" hidden="false" customHeight="false" outlineLevel="0" collapsed="false">
      <c r="A210" s="33"/>
      <c r="B210" s="27"/>
      <c r="C210" s="27"/>
      <c r="D210" s="27"/>
      <c r="E210" s="27"/>
      <c r="F210" s="34"/>
      <c r="G210" s="27"/>
      <c r="H210" s="27"/>
      <c r="I210" s="28" t="str">
        <f aca="false">IF(C210="","",IFERROR(INDEX(Settings!$C$8:$C$19,MATCH(C210,Settings!$B$8:$B$19,0)),"?"))</f>
        <v/>
      </c>
      <c r="J210" s="28" t="str">
        <f aca="false">IF(G210="","",IFERROR(INDEX(Settings!$C$8:$C$19,MATCH(G210,Settings!$B$8:$B$19,0)),"?"))</f>
        <v/>
      </c>
      <c r="K210" s="35" t="str">
        <f aca="false">IF(A210="","",DATE(YEAR(A210),MONTH(A210),1))</f>
        <v/>
      </c>
      <c r="L210" s="28" t="str">
        <f aca="false">IF(E210="","",IFERROR(INDEX(Settings!$K$8:$K$38,MATCH(E210,Settings!$H$8:$H$38,0))&amp;"",""))</f>
        <v/>
      </c>
    </row>
    <row r="211" customFormat="false" ht="15" hidden="false" customHeight="false" outlineLevel="0" collapsed="false">
      <c r="A211" s="33"/>
      <c r="B211" s="27"/>
      <c r="C211" s="27"/>
      <c r="D211" s="27"/>
      <c r="E211" s="27"/>
      <c r="F211" s="34"/>
      <c r="G211" s="27"/>
      <c r="H211" s="27"/>
      <c r="I211" s="28" t="str">
        <f aca="false">IF(C211="","",IFERROR(INDEX(Settings!$C$8:$C$19,MATCH(C211,Settings!$B$8:$B$19,0)),"?"))</f>
        <v/>
      </c>
      <c r="J211" s="28" t="str">
        <f aca="false">IF(G211="","",IFERROR(INDEX(Settings!$C$8:$C$19,MATCH(G211,Settings!$B$8:$B$19,0)),"?"))</f>
        <v/>
      </c>
      <c r="K211" s="35" t="str">
        <f aca="false">IF(A211="","",DATE(YEAR(A211),MONTH(A211),1))</f>
        <v/>
      </c>
      <c r="L211" s="28" t="str">
        <f aca="false">IF(E211="","",IFERROR(INDEX(Settings!$K$8:$K$38,MATCH(E211,Settings!$H$8:$H$38,0))&amp;"",""))</f>
        <v/>
      </c>
    </row>
    <row r="212" customFormat="false" ht="15" hidden="false" customHeight="false" outlineLevel="0" collapsed="false">
      <c r="A212" s="33"/>
      <c r="B212" s="27"/>
      <c r="C212" s="27"/>
      <c r="D212" s="27"/>
      <c r="E212" s="27"/>
      <c r="F212" s="34"/>
      <c r="G212" s="27"/>
      <c r="H212" s="27"/>
      <c r="I212" s="28" t="str">
        <f aca="false">IF(C212="","",IFERROR(INDEX(Settings!$C$8:$C$19,MATCH(C212,Settings!$B$8:$B$19,0)),"?"))</f>
        <v/>
      </c>
      <c r="J212" s="28" t="str">
        <f aca="false">IF(G212="","",IFERROR(INDEX(Settings!$C$8:$C$19,MATCH(G212,Settings!$B$8:$B$19,0)),"?"))</f>
        <v/>
      </c>
      <c r="K212" s="35" t="str">
        <f aca="false">IF(A212="","",DATE(YEAR(A212),MONTH(A212),1))</f>
        <v/>
      </c>
      <c r="L212" s="28" t="str">
        <f aca="false">IF(E212="","",IFERROR(INDEX(Settings!$K$8:$K$38,MATCH(E212,Settings!$H$8:$H$38,0))&amp;"",""))</f>
        <v/>
      </c>
    </row>
    <row r="213" customFormat="false" ht="15" hidden="false" customHeight="false" outlineLevel="0" collapsed="false">
      <c r="A213" s="33"/>
      <c r="B213" s="27"/>
      <c r="C213" s="27"/>
      <c r="D213" s="27"/>
      <c r="E213" s="27"/>
      <c r="F213" s="34"/>
      <c r="G213" s="27"/>
      <c r="H213" s="27"/>
      <c r="I213" s="28" t="str">
        <f aca="false">IF(C213="","",IFERROR(INDEX(Settings!$C$8:$C$19,MATCH(C213,Settings!$B$8:$B$19,0)),"?"))</f>
        <v/>
      </c>
      <c r="J213" s="28" t="str">
        <f aca="false">IF(G213="","",IFERROR(INDEX(Settings!$C$8:$C$19,MATCH(G213,Settings!$B$8:$B$19,0)),"?"))</f>
        <v/>
      </c>
      <c r="K213" s="35" t="str">
        <f aca="false">IF(A213="","",DATE(YEAR(A213),MONTH(A213),1))</f>
        <v/>
      </c>
      <c r="L213" s="28" t="str">
        <f aca="false">IF(E213="","",IFERROR(INDEX(Settings!$K$8:$K$38,MATCH(E213,Settings!$H$8:$H$38,0))&amp;"",""))</f>
        <v/>
      </c>
    </row>
    <row r="214" customFormat="false" ht="15" hidden="false" customHeight="false" outlineLevel="0" collapsed="false">
      <c r="A214" s="33"/>
      <c r="B214" s="27"/>
      <c r="C214" s="27"/>
      <c r="D214" s="27"/>
      <c r="E214" s="27"/>
      <c r="F214" s="34"/>
      <c r="G214" s="27"/>
      <c r="H214" s="27"/>
      <c r="I214" s="28" t="str">
        <f aca="false">IF(C214="","",IFERROR(INDEX(Settings!$C$8:$C$19,MATCH(C214,Settings!$B$8:$B$19,0)),"?"))</f>
        <v/>
      </c>
      <c r="J214" s="28" t="str">
        <f aca="false">IF(G214="","",IFERROR(INDEX(Settings!$C$8:$C$19,MATCH(G214,Settings!$B$8:$B$19,0)),"?"))</f>
        <v/>
      </c>
      <c r="K214" s="35" t="str">
        <f aca="false">IF(A214="","",DATE(YEAR(A214),MONTH(A214),1))</f>
        <v/>
      </c>
      <c r="L214" s="28" t="str">
        <f aca="false">IF(E214="","",IFERROR(INDEX(Settings!$K$8:$K$38,MATCH(E214,Settings!$H$8:$H$38,0))&amp;"",""))</f>
        <v/>
      </c>
    </row>
    <row r="215" customFormat="false" ht="15" hidden="false" customHeight="false" outlineLevel="0" collapsed="false">
      <c r="A215" s="33"/>
      <c r="B215" s="27"/>
      <c r="C215" s="27"/>
      <c r="D215" s="27"/>
      <c r="E215" s="27"/>
      <c r="F215" s="34"/>
      <c r="G215" s="27"/>
      <c r="H215" s="27"/>
      <c r="I215" s="28" t="str">
        <f aca="false">IF(C215="","",IFERROR(INDEX(Settings!$C$8:$C$19,MATCH(C215,Settings!$B$8:$B$19,0)),"?"))</f>
        <v/>
      </c>
      <c r="J215" s="28" t="str">
        <f aca="false">IF(G215="","",IFERROR(INDEX(Settings!$C$8:$C$19,MATCH(G215,Settings!$B$8:$B$19,0)),"?"))</f>
        <v/>
      </c>
      <c r="K215" s="35" t="str">
        <f aca="false">IF(A215="","",DATE(YEAR(A215),MONTH(A215),1))</f>
        <v/>
      </c>
      <c r="L215" s="28" t="str">
        <f aca="false">IF(E215="","",IFERROR(INDEX(Settings!$K$8:$K$38,MATCH(E215,Settings!$H$8:$H$38,0))&amp;"",""))</f>
        <v/>
      </c>
    </row>
    <row r="216" customFormat="false" ht="15" hidden="false" customHeight="false" outlineLevel="0" collapsed="false">
      <c r="A216" s="33"/>
      <c r="B216" s="27"/>
      <c r="C216" s="27"/>
      <c r="D216" s="27"/>
      <c r="E216" s="27"/>
      <c r="F216" s="34"/>
      <c r="G216" s="27"/>
      <c r="H216" s="27"/>
      <c r="I216" s="28" t="str">
        <f aca="false">IF(C216="","",IFERROR(INDEX(Settings!$C$8:$C$19,MATCH(C216,Settings!$B$8:$B$19,0)),"?"))</f>
        <v/>
      </c>
      <c r="J216" s="28" t="str">
        <f aca="false">IF(G216="","",IFERROR(INDEX(Settings!$C$8:$C$19,MATCH(G216,Settings!$B$8:$B$19,0)),"?"))</f>
        <v/>
      </c>
      <c r="K216" s="35" t="str">
        <f aca="false">IF(A216="","",DATE(YEAR(A216),MONTH(A216),1))</f>
        <v/>
      </c>
      <c r="L216" s="28" t="str">
        <f aca="false">IF(E216="","",IFERROR(INDEX(Settings!$K$8:$K$38,MATCH(E216,Settings!$H$8:$H$38,0))&amp;"",""))</f>
        <v/>
      </c>
    </row>
    <row r="217" customFormat="false" ht="15" hidden="false" customHeight="false" outlineLevel="0" collapsed="false">
      <c r="A217" s="33"/>
      <c r="B217" s="27"/>
      <c r="C217" s="27"/>
      <c r="D217" s="27"/>
      <c r="E217" s="27"/>
      <c r="F217" s="34"/>
      <c r="G217" s="27"/>
      <c r="H217" s="27"/>
      <c r="I217" s="28" t="str">
        <f aca="false">IF(C217="","",IFERROR(INDEX(Settings!$C$8:$C$19,MATCH(C217,Settings!$B$8:$B$19,0)),"?"))</f>
        <v/>
      </c>
      <c r="J217" s="28" t="str">
        <f aca="false">IF(G217="","",IFERROR(INDEX(Settings!$C$8:$C$19,MATCH(G217,Settings!$B$8:$B$19,0)),"?"))</f>
        <v/>
      </c>
      <c r="K217" s="35" t="str">
        <f aca="false">IF(A217="","",DATE(YEAR(A217),MONTH(A217),1))</f>
        <v/>
      </c>
      <c r="L217" s="28" t="str">
        <f aca="false">IF(E217="","",IFERROR(INDEX(Settings!$K$8:$K$38,MATCH(E217,Settings!$H$8:$H$38,0))&amp;"",""))</f>
        <v/>
      </c>
    </row>
    <row r="218" customFormat="false" ht="15" hidden="false" customHeight="false" outlineLevel="0" collapsed="false">
      <c r="A218" s="33"/>
      <c r="B218" s="27"/>
      <c r="C218" s="27"/>
      <c r="D218" s="27"/>
      <c r="E218" s="27"/>
      <c r="F218" s="34"/>
      <c r="G218" s="27"/>
      <c r="H218" s="27"/>
      <c r="I218" s="28" t="str">
        <f aca="false">IF(C218="","",IFERROR(INDEX(Settings!$C$8:$C$19,MATCH(C218,Settings!$B$8:$B$19,0)),"?"))</f>
        <v/>
      </c>
      <c r="J218" s="28" t="str">
        <f aca="false">IF(G218="","",IFERROR(INDEX(Settings!$C$8:$C$19,MATCH(G218,Settings!$B$8:$B$19,0)),"?"))</f>
        <v/>
      </c>
      <c r="K218" s="35" t="str">
        <f aca="false">IF(A218="","",DATE(YEAR(A218),MONTH(A218),1))</f>
        <v/>
      </c>
      <c r="L218" s="28" t="str">
        <f aca="false">IF(E218="","",IFERROR(INDEX(Settings!$K$8:$K$38,MATCH(E218,Settings!$H$8:$H$38,0))&amp;"",""))</f>
        <v/>
      </c>
    </row>
    <row r="219" customFormat="false" ht="15" hidden="false" customHeight="false" outlineLevel="0" collapsed="false">
      <c r="A219" s="33"/>
      <c r="B219" s="27"/>
      <c r="C219" s="27"/>
      <c r="D219" s="27"/>
      <c r="E219" s="27"/>
      <c r="F219" s="34"/>
      <c r="G219" s="27"/>
      <c r="H219" s="27"/>
      <c r="I219" s="28" t="str">
        <f aca="false">IF(C219="","",IFERROR(INDEX(Settings!$C$8:$C$19,MATCH(C219,Settings!$B$8:$B$19,0)),"?"))</f>
        <v/>
      </c>
      <c r="J219" s="28" t="str">
        <f aca="false">IF(G219="","",IFERROR(INDEX(Settings!$C$8:$C$19,MATCH(G219,Settings!$B$8:$B$19,0)),"?"))</f>
        <v/>
      </c>
      <c r="K219" s="35" t="str">
        <f aca="false">IF(A219="","",DATE(YEAR(A219),MONTH(A219),1))</f>
        <v/>
      </c>
      <c r="L219" s="28" t="str">
        <f aca="false">IF(E219="","",IFERROR(INDEX(Settings!$K$8:$K$38,MATCH(E219,Settings!$H$8:$H$38,0))&amp;"",""))</f>
        <v/>
      </c>
    </row>
    <row r="220" customFormat="false" ht="15" hidden="false" customHeight="false" outlineLevel="0" collapsed="false">
      <c r="A220" s="33"/>
      <c r="B220" s="27"/>
      <c r="C220" s="27"/>
      <c r="D220" s="27"/>
      <c r="E220" s="27"/>
      <c r="F220" s="34"/>
      <c r="G220" s="27"/>
      <c r="H220" s="27"/>
      <c r="I220" s="28" t="str">
        <f aca="false">IF(C220="","",IFERROR(INDEX(Settings!$C$8:$C$19,MATCH(C220,Settings!$B$8:$B$19,0)),"?"))</f>
        <v/>
      </c>
      <c r="J220" s="28" t="str">
        <f aca="false">IF(G220="","",IFERROR(INDEX(Settings!$C$8:$C$19,MATCH(G220,Settings!$B$8:$B$19,0)),"?"))</f>
        <v/>
      </c>
      <c r="K220" s="35" t="str">
        <f aca="false">IF(A220="","",DATE(YEAR(A220),MONTH(A220),1))</f>
        <v/>
      </c>
      <c r="L220" s="28" t="str">
        <f aca="false">IF(E220="","",IFERROR(INDEX(Settings!$K$8:$K$38,MATCH(E220,Settings!$H$8:$H$38,0))&amp;"",""))</f>
        <v/>
      </c>
    </row>
    <row r="221" customFormat="false" ht="15" hidden="false" customHeight="false" outlineLevel="0" collapsed="false">
      <c r="A221" s="33"/>
      <c r="B221" s="27"/>
      <c r="C221" s="27"/>
      <c r="D221" s="27"/>
      <c r="E221" s="27"/>
      <c r="F221" s="34"/>
      <c r="G221" s="27"/>
      <c r="H221" s="27"/>
      <c r="I221" s="28" t="str">
        <f aca="false">IF(C221="","",IFERROR(INDEX(Settings!$C$8:$C$19,MATCH(C221,Settings!$B$8:$B$19,0)),"?"))</f>
        <v/>
      </c>
      <c r="J221" s="28" t="str">
        <f aca="false">IF(G221="","",IFERROR(INDEX(Settings!$C$8:$C$19,MATCH(G221,Settings!$B$8:$B$19,0)),"?"))</f>
        <v/>
      </c>
      <c r="K221" s="35" t="str">
        <f aca="false">IF(A221="","",DATE(YEAR(A221),MONTH(A221),1))</f>
        <v/>
      </c>
      <c r="L221" s="28" t="str">
        <f aca="false">IF(E221="","",IFERROR(INDEX(Settings!$K$8:$K$38,MATCH(E221,Settings!$H$8:$H$38,0))&amp;"",""))</f>
        <v/>
      </c>
    </row>
    <row r="222" customFormat="false" ht="15" hidden="false" customHeight="false" outlineLevel="0" collapsed="false">
      <c r="A222" s="33"/>
      <c r="B222" s="27"/>
      <c r="C222" s="27"/>
      <c r="D222" s="27"/>
      <c r="E222" s="27"/>
      <c r="F222" s="34"/>
      <c r="G222" s="27"/>
      <c r="H222" s="27"/>
      <c r="I222" s="28" t="str">
        <f aca="false">IF(C222="","",IFERROR(INDEX(Settings!$C$8:$C$19,MATCH(C222,Settings!$B$8:$B$19,0)),"?"))</f>
        <v/>
      </c>
      <c r="J222" s="28" t="str">
        <f aca="false">IF(G222="","",IFERROR(INDEX(Settings!$C$8:$C$19,MATCH(G222,Settings!$B$8:$B$19,0)),"?"))</f>
        <v/>
      </c>
      <c r="K222" s="35" t="str">
        <f aca="false">IF(A222="","",DATE(YEAR(A222),MONTH(A222),1))</f>
        <v/>
      </c>
      <c r="L222" s="28" t="str">
        <f aca="false">IF(E222="","",IFERROR(INDEX(Settings!$K$8:$K$38,MATCH(E222,Settings!$H$8:$H$38,0))&amp;"",""))</f>
        <v/>
      </c>
    </row>
    <row r="223" customFormat="false" ht="15" hidden="false" customHeight="false" outlineLevel="0" collapsed="false">
      <c r="A223" s="33"/>
      <c r="B223" s="27"/>
      <c r="C223" s="27"/>
      <c r="D223" s="27"/>
      <c r="E223" s="27"/>
      <c r="F223" s="34"/>
      <c r="G223" s="27"/>
      <c r="H223" s="27"/>
      <c r="I223" s="28" t="str">
        <f aca="false">IF(C223="","",IFERROR(INDEX(Settings!$C$8:$C$19,MATCH(C223,Settings!$B$8:$B$19,0)),"?"))</f>
        <v/>
      </c>
      <c r="J223" s="28" t="str">
        <f aca="false">IF(G223="","",IFERROR(INDEX(Settings!$C$8:$C$19,MATCH(G223,Settings!$B$8:$B$19,0)),"?"))</f>
        <v/>
      </c>
      <c r="K223" s="35" t="str">
        <f aca="false">IF(A223="","",DATE(YEAR(A223),MONTH(A223),1))</f>
        <v/>
      </c>
      <c r="L223" s="28" t="str">
        <f aca="false">IF(E223="","",IFERROR(INDEX(Settings!$K$8:$K$38,MATCH(E223,Settings!$H$8:$H$38,0))&amp;"",""))</f>
        <v/>
      </c>
    </row>
    <row r="224" customFormat="false" ht="15" hidden="false" customHeight="false" outlineLevel="0" collapsed="false">
      <c r="A224" s="33"/>
      <c r="B224" s="27"/>
      <c r="C224" s="27"/>
      <c r="D224" s="27"/>
      <c r="E224" s="27"/>
      <c r="F224" s="34"/>
      <c r="G224" s="27"/>
      <c r="H224" s="27"/>
      <c r="I224" s="28" t="str">
        <f aca="false">IF(C224="","",IFERROR(INDEX(Settings!$C$8:$C$19,MATCH(C224,Settings!$B$8:$B$19,0)),"?"))</f>
        <v/>
      </c>
      <c r="J224" s="28" t="str">
        <f aca="false">IF(G224="","",IFERROR(INDEX(Settings!$C$8:$C$19,MATCH(G224,Settings!$B$8:$B$19,0)),"?"))</f>
        <v/>
      </c>
      <c r="K224" s="35" t="str">
        <f aca="false">IF(A224="","",DATE(YEAR(A224),MONTH(A224),1))</f>
        <v/>
      </c>
      <c r="L224" s="28" t="str">
        <f aca="false">IF(E224="","",IFERROR(INDEX(Settings!$K$8:$K$38,MATCH(E224,Settings!$H$8:$H$38,0))&amp;"",""))</f>
        <v/>
      </c>
    </row>
    <row r="225" customFormat="false" ht="15" hidden="false" customHeight="false" outlineLevel="0" collapsed="false">
      <c r="A225" s="33"/>
      <c r="B225" s="27"/>
      <c r="C225" s="27"/>
      <c r="D225" s="27"/>
      <c r="E225" s="27"/>
      <c r="F225" s="34"/>
      <c r="G225" s="27"/>
      <c r="H225" s="27"/>
      <c r="I225" s="28" t="str">
        <f aca="false">IF(C225="","",IFERROR(INDEX(Settings!$C$8:$C$19,MATCH(C225,Settings!$B$8:$B$19,0)),"?"))</f>
        <v/>
      </c>
      <c r="J225" s="28" t="str">
        <f aca="false">IF(G225="","",IFERROR(INDEX(Settings!$C$8:$C$19,MATCH(G225,Settings!$B$8:$B$19,0)),"?"))</f>
        <v/>
      </c>
      <c r="K225" s="35" t="str">
        <f aca="false">IF(A225="","",DATE(YEAR(A225),MONTH(A225),1))</f>
        <v/>
      </c>
      <c r="L225" s="28" t="str">
        <f aca="false">IF(E225="","",IFERROR(INDEX(Settings!$K$8:$K$38,MATCH(E225,Settings!$H$8:$H$38,0))&amp;"",""))</f>
        <v/>
      </c>
    </row>
    <row r="226" customFormat="false" ht="15" hidden="false" customHeight="false" outlineLevel="0" collapsed="false">
      <c r="A226" s="33"/>
      <c r="B226" s="27"/>
      <c r="C226" s="27"/>
      <c r="D226" s="27"/>
      <c r="E226" s="27"/>
      <c r="F226" s="34"/>
      <c r="G226" s="27"/>
      <c r="H226" s="27"/>
      <c r="I226" s="28" t="str">
        <f aca="false">IF(C226="","",IFERROR(INDEX(Settings!$C$8:$C$19,MATCH(C226,Settings!$B$8:$B$19,0)),"?"))</f>
        <v/>
      </c>
      <c r="J226" s="28" t="str">
        <f aca="false">IF(G226="","",IFERROR(INDEX(Settings!$C$8:$C$19,MATCH(G226,Settings!$B$8:$B$19,0)),"?"))</f>
        <v/>
      </c>
      <c r="K226" s="35" t="str">
        <f aca="false">IF(A226="","",DATE(YEAR(A226),MONTH(A226),1))</f>
        <v/>
      </c>
      <c r="L226" s="28" t="str">
        <f aca="false">IF(E226="","",IFERROR(INDEX(Settings!$K$8:$K$38,MATCH(E226,Settings!$H$8:$H$38,0))&amp;"",""))</f>
        <v/>
      </c>
    </row>
    <row r="227" customFormat="false" ht="15" hidden="false" customHeight="false" outlineLevel="0" collapsed="false">
      <c r="A227" s="33"/>
      <c r="B227" s="27"/>
      <c r="C227" s="27"/>
      <c r="D227" s="27"/>
      <c r="E227" s="27"/>
      <c r="F227" s="34"/>
      <c r="G227" s="27"/>
      <c r="H227" s="27"/>
      <c r="I227" s="28" t="str">
        <f aca="false">IF(C227="","",IFERROR(INDEX(Settings!$C$8:$C$19,MATCH(C227,Settings!$B$8:$B$19,0)),"?"))</f>
        <v/>
      </c>
      <c r="J227" s="28" t="str">
        <f aca="false">IF(G227="","",IFERROR(INDEX(Settings!$C$8:$C$19,MATCH(G227,Settings!$B$8:$B$19,0)),"?"))</f>
        <v/>
      </c>
      <c r="K227" s="35" t="str">
        <f aca="false">IF(A227="","",DATE(YEAR(A227),MONTH(A227),1))</f>
        <v/>
      </c>
      <c r="L227" s="28" t="str">
        <f aca="false">IF(E227="","",IFERROR(INDEX(Settings!$K$8:$K$38,MATCH(E227,Settings!$H$8:$H$38,0))&amp;"",""))</f>
        <v/>
      </c>
    </row>
    <row r="228" customFormat="false" ht="15" hidden="false" customHeight="false" outlineLevel="0" collapsed="false">
      <c r="A228" s="33"/>
      <c r="B228" s="27"/>
      <c r="C228" s="27"/>
      <c r="D228" s="27"/>
      <c r="E228" s="27"/>
      <c r="F228" s="34"/>
      <c r="G228" s="27"/>
      <c r="H228" s="27"/>
      <c r="I228" s="28" t="str">
        <f aca="false">IF(C228="","",IFERROR(INDEX(Settings!$C$8:$C$19,MATCH(C228,Settings!$B$8:$B$19,0)),"?"))</f>
        <v/>
      </c>
      <c r="J228" s="28" t="str">
        <f aca="false">IF(G228="","",IFERROR(INDEX(Settings!$C$8:$C$19,MATCH(G228,Settings!$B$8:$B$19,0)),"?"))</f>
        <v/>
      </c>
      <c r="K228" s="35" t="str">
        <f aca="false">IF(A228="","",DATE(YEAR(A228),MONTH(A228),1))</f>
        <v/>
      </c>
      <c r="L228" s="28" t="str">
        <f aca="false">IF(E228="","",IFERROR(INDEX(Settings!$K$8:$K$38,MATCH(E228,Settings!$H$8:$H$38,0))&amp;"",""))</f>
        <v/>
      </c>
    </row>
    <row r="229" customFormat="false" ht="15" hidden="false" customHeight="false" outlineLevel="0" collapsed="false">
      <c r="A229" s="33"/>
      <c r="B229" s="27"/>
      <c r="C229" s="27"/>
      <c r="D229" s="27"/>
      <c r="E229" s="27"/>
      <c r="F229" s="34"/>
      <c r="G229" s="27"/>
      <c r="H229" s="27"/>
      <c r="I229" s="28" t="str">
        <f aca="false">IF(C229="","",IFERROR(INDEX(Settings!$C$8:$C$19,MATCH(C229,Settings!$B$8:$B$19,0)),"?"))</f>
        <v/>
      </c>
      <c r="J229" s="28" t="str">
        <f aca="false">IF(G229="","",IFERROR(INDEX(Settings!$C$8:$C$19,MATCH(G229,Settings!$B$8:$B$19,0)),"?"))</f>
        <v/>
      </c>
      <c r="K229" s="35" t="str">
        <f aca="false">IF(A229="","",DATE(YEAR(A229),MONTH(A229),1))</f>
        <v/>
      </c>
      <c r="L229" s="28" t="str">
        <f aca="false">IF(E229="","",IFERROR(INDEX(Settings!$K$8:$K$38,MATCH(E229,Settings!$H$8:$H$38,0))&amp;"",""))</f>
        <v/>
      </c>
    </row>
    <row r="230" customFormat="false" ht="15" hidden="false" customHeight="false" outlineLevel="0" collapsed="false">
      <c r="A230" s="33"/>
      <c r="B230" s="27"/>
      <c r="C230" s="27"/>
      <c r="D230" s="27"/>
      <c r="E230" s="27"/>
      <c r="F230" s="34"/>
      <c r="G230" s="27"/>
      <c r="H230" s="27"/>
      <c r="I230" s="28" t="str">
        <f aca="false">IF(C230="","",IFERROR(INDEX(Settings!$C$8:$C$19,MATCH(C230,Settings!$B$8:$B$19,0)),"?"))</f>
        <v/>
      </c>
      <c r="J230" s="28" t="str">
        <f aca="false">IF(G230="","",IFERROR(INDEX(Settings!$C$8:$C$19,MATCH(G230,Settings!$B$8:$B$19,0)),"?"))</f>
        <v/>
      </c>
      <c r="K230" s="35" t="str">
        <f aca="false">IF(A230="","",DATE(YEAR(A230),MONTH(A230),1))</f>
        <v/>
      </c>
      <c r="L230" s="28" t="str">
        <f aca="false">IF(E230="","",IFERROR(INDEX(Settings!$K$8:$K$38,MATCH(E230,Settings!$H$8:$H$38,0))&amp;"",""))</f>
        <v/>
      </c>
    </row>
    <row r="231" customFormat="false" ht="15" hidden="false" customHeight="false" outlineLevel="0" collapsed="false">
      <c r="A231" s="33"/>
      <c r="B231" s="27"/>
      <c r="C231" s="27"/>
      <c r="D231" s="27"/>
      <c r="E231" s="27"/>
      <c r="F231" s="34"/>
      <c r="G231" s="27"/>
      <c r="H231" s="27"/>
      <c r="I231" s="28" t="str">
        <f aca="false">IF(C231="","",IFERROR(INDEX(Settings!$C$8:$C$19,MATCH(C231,Settings!$B$8:$B$19,0)),"?"))</f>
        <v/>
      </c>
      <c r="J231" s="28" t="str">
        <f aca="false">IF(G231="","",IFERROR(INDEX(Settings!$C$8:$C$19,MATCH(G231,Settings!$B$8:$B$19,0)),"?"))</f>
        <v/>
      </c>
      <c r="K231" s="35" t="str">
        <f aca="false">IF(A231="","",DATE(YEAR(A231),MONTH(A231),1))</f>
        <v/>
      </c>
      <c r="L231" s="28" t="str">
        <f aca="false">IF(E231="","",IFERROR(INDEX(Settings!$K$8:$K$38,MATCH(E231,Settings!$H$8:$H$38,0))&amp;"",""))</f>
        <v/>
      </c>
    </row>
    <row r="232" customFormat="false" ht="15" hidden="false" customHeight="false" outlineLevel="0" collapsed="false">
      <c r="A232" s="33"/>
      <c r="B232" s="27"/>
      <c r="C232" s="27"/>
      <c r="D232" s="27"/>
      <c r="E232" s="27"/>
      <c r="F232" s="34"/>
      <c r="G232" s="27"/>
      <c r="H232" s="27"/>
      <c r="I232" s="28" t="str">
        <f aca="false">IF(C232="","",IFERROR(INDEX(Settings!$C$8:$C$19,MATCH(C232,Settings!$B$8:$B$19,0)),"?"))</f>
        <v/>
      </c>
      <c r="J232" s="28" t="str">
        <f aca="false">IF(G232="","",IFERROR(INDEX(Settings!$C$8:$C$19,MATCH(G232,Settings!$B$8:$B$19,0)),"?"))</f>
        <v/>
      </c>
      <c r="K232" s="35" t="str">
        <f aca="false">IF(A232="","",DATE(YEAR(A232),MONTH(A232),1))</f>
        <v/>
      </c>
      <c r="L232" s="28" t="str">
        <f aca="false">IF(E232="","",IFERROR(INDEX(Settings!$K$8:$K$38,MATCH(E232,Settings!$H$8:$H$38,0))&amp;"",""))</f>
        <v/>
      </c>
    </row>
    <row r="233" customFormat="false" ht="15" hidden="false" customHeight="false" outlineLevel="0" collapsed="false">
      <c r="A233" s="33"/>
      <c r="B233" s="27"/>
      <c r="C233" s="27"/>
      <c r="D233" s="27"/>
      <c r="E233" s="27"/>
      <c r="F233" s="34"/>
      <c r="G233" s="27"/>
      <c r="H233" s="27"/>
      <c r="I233" s="28" t="str">
        <f aca="false">IF(C233="","",IFERROR(INDEX(Settings!$C$8:$C$19,MATCH(C233,Settings!$B$8:$B$19,0)),"?"))</f>
        <v/>
      </c>
      <c r="J233" s="28" t="str">
        <f aca="false">IF(G233="","",IFERROR(INDEX(Settings!$C$8:$C$19,MATCH(G233,Settings!$B$8:$B$19,0)),"?"))</f>
        <v/>
      </c>
      <c r="K233" s="35" t="str">
        <f aca="false">IF(A233="","",DATE(YEAR(A233),MONTH(A233),1))</f>
        <v/>
      </c>
      <c r="L233" s="28" t="str">
        <f aca="false">IF(E233="","",IFERROR(INDEX(Settings!$K$8:$K$38,MATCH(E233,Settings!$H$8:$H$38,0))&amp;"",""))</f>
        <v/>
      </c>
    </row>
    <row r="234" customFormat="false" ht="15" hidden="false" customHeight="false" outlineLevel="0" collapsed="false">
      <c r="A234" s="33"/>
      <c r="B234" s="27"/>
      <c r="C234" s="27"/>
      <c r="D234" s="27"/>
      <c r="E234" s="27"/>
      <c r="F234" s="34"/>
      <c r="G234" s="27"/>
      <c r="H234" s="27"/>
      <c r="I234" s="28" t="str">
        <f aca="false">IF(C234="","",IFERROR(INDEX(Settings!$C$8:$C$19,MATCH(C234,Settings!$B$8:$B$19,0)),"?"))</f>
        <v/>
      </c>
      <c r="J234" s="28" t="str">
        <f aca="false">IF(G234="","",IFERROR(INDEX(Settings!$C$8:$C$19,MATCH(G234,Settings!$B$8:$B$19,0)),"?"))</f>
        <v/>
      </c>
      <c r="K234" s="35" t="str">
        <f aca="false">IF(A234="","",DATE(YEAR(A234),MONTH(A234),1))</f>
        <v/>
      </c>
      <c r="L234" s="28" t="str">
        <f aca="false">IF(E234="","",IFERROR(INDEX(Settings!$K$8:$K$38,MATCH(E234,Settings!$H$8:$H$38,0))&amp;"",""))</f>
        <v/>
      </c>
    </row>
    <row r="235" customFormat="false" ht="15" hidden="false" customHeight="false" outlineLevel="0" collapsed="false">
      <c r="A235" s="33"/>
      <c r="B235" s="27"/>
      <c r="C235" s="27"/>
      <c r="D235" s="27"/>
      <c r="E235" s="27"/>
      <c r="F235" s="34"/>
      <c r="G235" s="27"/>
      <c r="H235" s="27"/>
      <c r="I235" s="28" t="str">
        <f aca="false">IF(C235="","",IFERROR(INDEX(Settings!$C$8:$C$19,MATCH(C235,Settings!$B$8:$B$19,0)),"?"))</f>
        <v/>
      </c>
      <c r="J235" s="28" t="str">
        <f aca="false">IF(G235="","",IFERROR(INDEX(Settings!$C$8:$C$19,MATCH(G235,Settings!$B$8:$B$19,0)),"?"))</f>
        <v/>
      </c>
      <c r="K235" s="35" t="str">
        <f aca="false">IF(A235="","",DATE(YEAR(A235),MONTH(A235),1))</f>
        <v/>
      </c>
      <c r="L235" s="28" t="str">
        <f aca="false">IF(E235="","",IFERROR(INDEX(Settings!$K$8:$K$38,MATCH(E235,Settings!$H$8:$H$38,0))&amp;"",""))</f>
        <v/>
      </c>
    </row>
    <row r="236" customFormat="false" ht="15" hidden="false" customHeight="false" outlineLevel="0" collapsed="false">
      <c r="A236" s="33"/>
      <c r="B236" s="27"/>
      <c r="C236" s="27"/>
      <c r="D236" s="27"/>
      <c r="E236" s="27"/>
      <c r="F236" s="34"/>
      <c r="G236" s="27"/>
      <c r="H236" s="27"/>
      <c r="I236" s="28" t="str">
        <f aca="false">IF(C236="","",IFERROR(INDEX(Settings!$C$8:$C$19,MATCH(C236,Settings!$B$8:$B$19,0)),"?"))</f>
        <v/>
      </c>
      <c r="J236" s="28" t="str">
        <f aca="false">IF(G236="","",IFERROR(INDEX(Settings!$C$8:$C$19,MATCH(G236,Settings!$B$8:$B$19,0)),"?"))</f>
        <v/>
      </c>
      <c r="K236" s="35" t="str">
        <f aca="false">IF(A236="","",DATE(YEAR(A236),MONTH(A236),1))</f>
        <v/>
      </c>
      <c r="L236" s="28" t="str">
        <f aca="false">IF(E236="","",IFERROR(INDEX(Settings!$K$8:$K$38,MATCH(E236,Settings!$H$8:$H$38,0))&amp;"",""))</f>
        <v/>
      </c>
    </row>
    <row r="237" customFormat="false" ht="15" hidden="false" customHeight="false" outlineLevel="0" collapsed="false">
      <c r="A237" s="33"/>
      <c r="B237" s="27"/>
      <c r="C237" s="27"/>
      <c r="D237" s="27"/>
      <c r="E237" s="27"/>
      <c r="F237" s="34"/>
      <c r="G237" s="27"/>
      <c r="H237" s="27"/>
      <c r="I237" s="28" t="str">
        <f aca="false">IF(C237="","",IFERROR(INDEX(Settings!$C$8:$C$19,MATCH(C237,Settings!$B$8:$B$19,0)),"?"))</f>
        <v/>
      </c>
      <c r="J237" s="28" t="str">
        <f aca="false">IF(G237="","",IFERROR(INDEX(Settings!$C$8:$C$19,MATCH(G237,Settings!$B$8:$B$19,0)),"?"))</f>
        <v/>
      </c>
      <c r="K237" s="35" t="str">
        <f aca="false">IF(A237="","",DATE(YEAR(A237),MONTH(A237),1))</f>
        <v/>
      </c>
      <c r="L237" s="28" t="str">
        <f aca="false">IF(E237="","",IFERROR(INDEX(Settings!$K$8:$K$38,MATCH(E237,Settings!$H$8:$H$38,0))&amp;"",""))</f>
        <v/>
      </c>
    </row>
    <row r="238" customFormat="false" ht="15" hidden="false" customHeight="false" outlineLevel="0" collapsed="false">
      <c r="A238" s="33"/>
      <c r="B238" s="27"/>
      <c r="C238" s="27"/>
      <c r="D238" s="27"/>
      <c r="E238" s="27"/>
      <c r="F238" s="34"/>
      <c r="G238" s="27"/>
      <c r="H238" s="27"/>
      <c r="I238" s="28" t="str">
        <f aca="false">IF(C238="","",IFERROR(INDEX(Settings!$C$8:$C$19,MATCH(C238,Settings!$B$8:$B$19,0)),"?"))</f>
        <v/>
      </c>
      <c r="J238" s="28" t="str">
        <f aca="false">IF(G238="","",IFERROR(INDEX(Settings!$C$8:$C$19,MATCH(G238,Settings!$B$8:$B$19,0)),"?"))</f>
        <v/>
      </c>
      <c r="K238" s="35" t="str">
        <f aca="false">IF(A238="","",DATE(YEAR(A238),MONTH(A238),1))</f>
        <v/>
      </c>
      <c r="L238" s="28" t="str">
        <f aca="false">IF(E238="","",IFERROR(INDEX(Settings!$K$8:$K$38,MATCH(E238,Settings!$H$8:$H$38,0))&amp;"",""))</f>
        <v/>
      </c>
    </row>
    <row r="239" customFormat="false" ht="15" hidden="false" customHeight="false" outlineLevel="0" collapsed="false">
      <c r="A239" s="33"/>
      <c r="B239" s="27"/>
      <c r="C239" s="27"/>
      <c r="D239" s="27"/>
      <c r="E239" s="27"/>
      <c r="F239" s="34"/>
      <c r="G239" s="27"/>
      <c r="H239" s="27"/>
      <c r="I239" s="28" t="str">
        <f aca="false">IF(C239="","",IFERROR(INDEX(Settings!$C$8:$C$19,MATCH(C239,Settings!$B$8:$B$19,0)),"?"))</f>
        <v/>
      </c>
      <c r="J239" s="28" t="str">
        <f aca="false">IF(G239="","",IFERROR(INDEX(Settings!$C$8:$C$19,MATCH(G239,Settings!$B$8:$B$19,0)),"?"))</f>
        <v/>
      </c>
      <c r="K239" s="35" t="str">
        <f aca="false">IF(A239="","",DATE(YEAR(A239),MONTH(A239),1))</f>
        <v/>
      </c>
      <c r="L239" s="28" t="str">
        <f aca="false">IF(E239="","",IFERROR(INDEX(Settings!$K$8:$K$38,MATCH(E239,Settings!$H$8:$H$38,0))&amp;"",""))</f>
        <v/>
      </c>
    </row>
    <row r="240" customFormat="false" ht="15" hidden="false" customHeight="false" outlineLevel="0" collapsed="false">
      <c r="A240" s="33"/>
      <c r="B240" s="27"/>
      <c r="C240" s="27"/>
      <c r="D240" s="27"/>
      <c r="E240" s="27"/>
      <c r="F240" s="34"/>
      <c r="G240" s="27"/>
      <c r="H240" s="27"/>
      <c r="I240" s="28" t="str">
        <f aca="false">IF(C240="","",IFERROR(INDEX(Settings!$C$8:$C$19,MATCH(C240,Settings!$B$8:$B$19,0)),"?"))</f>
        <v/>
      </c>
      <c r="J240" s="28" t="str">
        <f aca="false">IF(G240="","",IFERROR(INDEX(Settings!$C$8:$C$19,MATCH(G240,Settings!$B$8:$B$19,0)),"?"))</f>
        <v/>
      </c>
      <c r="K240" s="35" t="str">
        <f aca="false">IF(A240="","",DATE(YEAR(A240),MONTH(A240),1))</f>
        <v/>
      </c>
      <c r="L240" s="28" t="str">
        <f aca="false">IF(E240="","",IFERROR(INDEX(Settings!$K$8:$K$38,MATCH(E240,Settings!$H$8:$H$38,0))&amp;"",""))</f>
        <v/>
      </c>
    </row>
    <row r="241" customFormat="false" ht="15" hidden="false" customHeight="false" outlineLevel="0" collapsed="false">
      <c r="A241" s="33"/>
      <c r="B241" s="27"/>
      <c r="C241" s="27"/>
      <c r="D241" s="27"/>
      <c r="E241" s="27"/>
      <c r="F241" s="34"/>
      <c r="G241" s="27"/>
      <c r="H241" s="27"/>
      <c r="I241" s="28" t="str">
        <f aca="false">IF(C241="","",IFERROR(INDEX(Settings!$C$8:$C$19,MATCH(C241,Settings!$B$8:$B$19,0)),"?"))</f>
        <v/>
      </c>
      <c r="J241" s="28" t="str">
        <f aca="false">IF(G241="","",IFERROR(INDEX(Settings!$C$8:$C$19,MATCH(G241,Settings!$B$8:$B$19,0)),"?"))</f>
        <v/>
      </c>
      <c r="K241" s="35" t="str">
        <f aca="false">IF(A241="","",DATE(YEAR(A241),MONTH(A241),1))</f>
        <v/>
      </c>
      <c r="L241" s="28" t="str">
        <f aca="false">IF(E241="","",IFERROR(INDEX(Settings!$K$8:$K$38,MATCH(E241,Settings!$H$8:$H$38,0))&amp;"",""))</f>
        <v/>
      </c>
    </row>
    <row r="242" customFormat="false" ht="15" hidden="false" customHeight="false" outlineLevel="0" collapsed="false">
      <c r="A242" s="33"/>
      <c r="B242" s="27"/>
      <c r="C242" s="27"/>
      <c r="D242" s="27"/>
      <c r="E242" s="27"/>
      <c r="F242" s="34"/>
      <c r="G242" s="27"/>
      <c r="H242" s="27"/>
      <c r="I242" s="28" t="str">
        <f aca="false">IF(C242="","",IFERROR(INDEX(Settings!$C$8:$C$19,MATCH(C242,Settings!$B$8:$B$19,0)),"?"))</f>
        <v/>
      </c>
      <c r="J242" s="28" t="str">
        <f aca="false">IF(G242="","",IFERROR(INDEX(Settings!$C$8:$C$19,MATCH(G242,Settings!$B$8:$B$19,0)),"?"))</f>
        <v/>
      </c>
      <c r="K242" s="35" t="str">
        <f aca="false">IF(A242="","",DATE(YEAR(A242),MONTH(A242),1))</f>
        <v/>
      </c>
      <c r="L242" s="28" t="str">
        <f aca="false">IF(E242="","",IFERROR(INDEX(Settings!$K$8:$K$38,MATCH(E242,Settings!$H$8:$H$38,0))&amp;"",""))</f>
        <v/>
      </c>
    </row>
    <row r="243" customFormat="false" ht="15" hidden="false" customHeight="false" outlineLevel="0" collapsed="false">
      <c r="A243" s="33"/>
      <c r="B243" s="27"/>
      <c r="C243" s="27"/>
      <c r="D243" s="27"/>
      <c r="E243" s="27"/>
      <c r="F243" s="34"/>
      <c r="G243" s="27"/>
      <c r="H243" s="27"/>
      <c r="I243" s="28" t="str">
        <f aca="false">IF(C243="","",IFERROR(INDEX(Settings!$C$8:$C$19,MATCH(C243,Settings!$B$8:$B$19,0)),"?"))</f>
        <v/>
      </c>
      <c r="J243" s="28" t="str">
        <f aca="false">IF(G243="","",IFERROR(INDEX(Settings!$C$8:$C$19,MATCH(G243,Settings!$B$8:$B$19,0)),"?"))</f>
        <v/>
      </c>
      <c r="K243" s="35" t="str">
        <f aca="false">IF(A243="","",DATE(YEAR(A243),MONTH(A243),1))</f>
        <v/>
      </c>
      <c r="L243" s="28" t="str">
        <f aca="false">IF(E243="","",IFERROR(INDEX(Settings!$K$8:$K$38,MATCH(E243,Settings!$H$8:$H$38,0))&amp;"",""))</f>
        <v/>
      </c>
    </row>
    <row r="244" customFormat="false" ht="15" hidden="false" customHeight="false" outlineLevel="0" collapsed="false">
      <c r="A244" s="33"/>
      <c r="B244" s="27"/>
      <c r="C244" s="27"/>
      <c r="D244" s="27"/>
      <c r="E244" s="27"/>
      <c r="F244" s="34"/>
      <c r="G244" s="27"/>
      <c r="H244" s="27"/>
      <c r="I244" s="28" t="str">
        <f aca="false">IF(C244="","",IFERROR(INDEX(Settings!$C$8:$C$19,MATCH(C244,Settings!$B$8:$B$19,0)),"?"))</f>
        <v/>
      </c>
      <c r="J244" s="28" t="str">
        <f aca="false">IF(G244="","",IFERROR(INDEX(Settings!$C$8:$C$19,MATCH(G244,Settings!$B$8:$B$19,0)),"?"))</f>
        <v/>
      </c>
      <c r="K244" s="35" t="str">
        <f aca="false">IF(A244="","",DATE(YEAR(A244),MONTH(A244),1))</f>
        <v/>
      </c>
      <c r="L244" s="28" t="str">
        <f aca="false">IF(E244="","",IFERROR(INDEX(Settings!$K$8:$K$38,MATCH(E244,Settings!$H$8:$H$38,0))&amp;"",""))</f>
        <v/>
      </c>
    </row>
    <row r="245" customFormat="false" ht="15" hidden="false" customHeight="false" outlineLevel="0" collapsed="false">
      <c r="A245" s="33"/>
      <c r="B245" s="27"/>
      <c r="C245" s="27"/>
      <c r="D245" s="27"/>
      <c r="E245" s="27"/>
      <c r="F245" s="34"/>
      <c r="G245" s="27"/>
      <c r="H245" s="27"/>
      <c r="I245" s="28" t="str">
        <f aca="false">IF(C245="","",IFERROR(INDEX(Settings!$C$8:$C$19,MATCH(C245,Settings!$B$8:$B$19,0)),"?"))</f>
        <v/>
      </c>
      <c r="J245" s="28" t="str">
        <f aca="false">IF(G245="","",IFERROR(INDEX(Settings!$C$8:$C$19,MATCH(G245,Settings!$B$8:$B$19,0)),"?"))</f>
        <v/>
      </c>
      <c r="K245" s="35" t="str">
        <f aca="false">IF(A245="","",DATE(YEAR(A245),MONTH(A245),1))</f>
        <v/>
      </c>
      <c r="L245" s="28" t="str">
        <f aca="false">IF(E245="","",IFERROR(INDEX(Settings!$K$8:$K$38,MATCH(E245,Settings!$H$8:$H$38,0))&amp;"",""))</f>
        <v/>
      </c>
    </row>
    <row r="246" customFormat="false" ht="15" hidden="false" customHeight="false" outlineLevel="0" collapsed="false">
      <c r="A246" s="33"/>
      <c r="B246" s="27"/>
      <c r="C246" s="27"/>
      <c r="D246" s="27"/>
      <c r="E246" s="27"/>
      <c r="F246" s="34"/>
      <c r="G246" s="27"/>
      <c r="H246" s="27"/>
      <c r="I246" s="28" t="str">
        <f aca="false">IF(C246="","",IFERROR(INDEX(Settings!$C$8:$C$19,MATCH(C246,Settings!$B$8:$B$19,0)),"?"))</f>
        <v/>
      </c>
      <c r="J246" s="28" t="str">
        <f aca="false">IF(G246="","",IFERROR(INDEX(Settings!$C$8:$C$19,MATCH(G246,Settings!$B$8:$B$19,0)),"?"))</f>
        <v/>
      </c>
      <c r="K246" s="35" t="str">
        <f aca="false">IF(A246="","",DATE(YEAR(A246),MONTH(A246),1))</f>
        <v/>
      </c>
      <c r="L246" s="28" t="str">
        <f aca="false">IF(E246="","",IFERROR(INDEX(Settings!$K$8:$K$38,MATCH(E246,Settings!$H$8:$H$38,0))&amp;"",""))</f>
        <v/>
      </c>
    </row>
    <row r="247" customFormat="false" ht="15" hidden="false" customHeight="false" outlineLevel="0" collapsed="false">
      <c r="A247" s="33"/>
      <c r="B247" s="27"/>
      <c r="C247" s="27"/>
      <c r="D247" s="27"/>
      <c r="E247" s="27"/>
      <c r="F247" s="34"/>
      <c r="G247" s="27"/>
      <c r="H247" s="27"/>
      <c r="I247" s="28" t="str">
        <f aca="false">IF(C247="","",IFERROR(INDEX(Settings!$C$8:$C$19,MATCH(C247,Settings!$B$8:$B$19,0)),"?"))</f>
        <v/>
      </c>
      <c r="J247" s="28" t="str">
        <f aca="false">IF(G247="","",IFERROR(INDEX(Settings!$C$8:$C$19,MATCH(G247,Settings!$B$8:$B$19,0)),"?"))</f>
        <v/>
      </c>
      <c r="K247" s="35" t="str">
        <f aca="false">IF(A247="","",DATE(YEAR(A247),MONTH(A247),1))</f>
        <v/>
      </c>
      <c r="L247" s="28" t="str">
        <f aca="false">IF(E247="","",IFERROR(INDEX(Settings!$K$8:$K$38,MATCH(E247,Settings!$H$8:$H$38,0))&amp;"",""))</f>
        <v/>
      </c>
    </row>
    <row r="248" customFormat="false" ht="15" hidden="false" customHeight="false" outlineLevel="0" collapsed="false">
      <c r="A248" s="33"/>
      <c r="B248" s="27"/>
      <c r="C248" s="27"/>
      <c r="D248" s="27"/>
      <c r="E248" s="27"/>
      <c r="F248" s="34"/>
      <c r="G248" s="27"/>
      <c r="H248" s="27"/>
      <c r="I248" s="28" t="str">
        <f aca="false">IF(C248="","",IFERROR(INDEX(Settings!$C$8:$C$19,MATCH(C248,Settings!$B$8:$B$19,0)),"?"))</f>
        <v/>
      </c>
      <c r="J248" s="28" t="str">
        <f aca="false">IF(G248="","",IFERROR(INDEX(Settings!$C$8:$C$19,MATCH(G248,Settings!$B$8:$B$19,0)),"?"))</f>
        <v/>
      </c>
      <c r="K248" s="35" t="str">
        <f aca="false">IF(A248="","",DATE(YEAR(A248),MONTH(A248),1))</f>
        <v/>
      </c>
      <c r="L248" s="28" t="str">
        <f aca="false">IF(E248="","",IFERROR(INDEX(Settings!$K$8:$K$38,MATCH(E248,Settings!$H$8:$H$38,0))&amp;"",""))</f>
        <v/>
      </c>
    </row>
    <row r="249" customFormat="false" ht="15" hidden="false" customHeight="false" outlineLevel="0" collapsed="false">
      <c r="A249" s="33"/>
      <c r="B249" s="27"/>
      <c r="C249" s="27"/>
      <c r="D249" s="27"/>
      <c r="E249" s="27"/>
      <c r="F249" s="34"/>
      <c r="G249" s="27"/>
      <c r="H249" s="27"/>
      <c r="I249" s="28" t="str">
        <f aca="false">IF(C249="","",IFERROR(INDEX(Settings!$C$8:$C$19,MATCH(C249,Settings!$B$8:$B$19,0)),"?"))</f>
        <v/>
      </c>
      <c r="J249" s="28" t="str">
        <f aca="false">IF(G249="","",IFERROR(INDEX(Settings!$C$8:$C$19,MATCH(G249,Settings!$B$8:$B$19,0)),"?"))</f>
        <v/>
      </c>
      <c r="K249" s="35" t="str">
        <f aca="false">IF(A249="","",DATE(YEAR(A249),MONTH(A249),1))</f>
        <v/>
      </c>
      <c r="L249" s="28" t="str">
        <f aca="false">IF(E249="","",IFERROR(INDEX(Settings!$K$8:$K$38,MATCH(E249,Settings!$H$8:$H$38,0))&amp;"",""))</f>
        <v/>
      </c>
    </row>
    <row r="250" customFormat="false" ht="15" hidden="false" customHeight="false" outlineLevel="0" collapsed="false">
      <c r="A250" s="33"/>
      <c r="B250" s="27"/>
      <c r="C250" s="27"/>
      <c r="D250" s="27"/>
      <c r="E250" s="27"/>
      <c r="F250" s="34"/>
      <c r="G250" s="27"/>
      <c r="H250" s="27"/>
      <c r="I250" s="28" t="str">
        <f aca="false">IF(C250="","",IFERROR(INDEX(Settings!$C$8:$C$19,MATCH(C250,Settings!$B$8:$B$19,0)),"?"))</f>
        <v/>
      </c>
      <c r="J250" s="28" t="str">
        <f aca="false">IF(G250="","",IFERROR(INDEX(Settings!$C$8:$C$19,MATCH(G250,Settings!$B$8:$B$19,0)),"?"))</f>
        <v/>
      </c>
      <c r="K250" s="35" t="str">
        <f aca="false">IF(A250="","",DATE(YEAR(A250),MONTH(A250),1))</f>
        <v/>
      </c>
      <c r="L250" s="28" t="str">
        <f aca="false">IF(E250="","",IFERROR(INDEX(Settings!$K$8:$K$38,MATCH(E250,Settings!$H$8:$H$38,0))&amp;"",""))</f>
        <v/>
      </c>
    </row>
    <row r="251" customFormat="false" ht="15" hidden="false" customHeight="false" outlineLevel="0" collapsed="false">
      <c r="A251" s="33"/>
      <c r="B251" s="27"/>
      <c r="C251" s="27"/>
      <c r="D251" s="27"/>
      <c r="E251" s="27"/>
      <c r="F251" s="34"/>
      <c r="G251" s="27"/>
      <c r="H251" s="27"/>
      <c r="I251" s="28" t="str">
        <f aca="false">IF(C251="","",IFERROR(INDEX(Settings!$C$8:$C$19,MATCH(C251,Settings!$B$8:$B$19,0)),"?"))</f>
        <v/>
      </c>
      <c r="J251" s="28" t="str">
        <f aca="false">IF(G251="","",IFERROR(INDEX(Settings!$C$8:$C$19,MATCH(G251,Settings!$B$8:$B$19,0)),"?"))</f>
        <v/>
      </c>
      <c r="K251" s="35" t="str">
        <f aca="false">IF(A251="","",DATE(YEAR(A251),MONTH(A251),1))</f>
        <v/>
      </c>
      <c r="L251" s="28" t="str">
        <f aca="false">IF(E251="","",IFERROR(INDEX(Settings!$K$8:$K$38,MATCH(E251,Settings!$H$8:$H$38,0))&amp;"",""))</f>
        <v/>
      </c>
    </row>
    <row r="252" customFormat="false" ht="15" hidden="false" customHeight="false" outlineLevel="0" collapsed="false">
      <c r="A252" s="33"/>
      <c r="B252" s="27"/>
      <c r="C252" s="27"/>
      <c r="D252" s="27"/>
      <c r="E252" s="27"/>
      <c r="F252" s="34"/>
      <c r="G252" s="27"/>
      <c r="H252" s="27"/>
      <c r="I252" s="28" t="str">
        <f aca="false">IF(C252="","",IFERROR(INDEX(Settings!$C$8:$C$19,MATCH(C252,Settings!$B$8:$B$19,0)),"?"))</f>
        <v/>
      </c>
      <c r="J252" s="28" t="str">
        <f aca="false">IF(G252="","",IFERROR(INDEX(Settings!$C$8:$C$19,MATCH(G252,Settings!$B$8:$B$19,0)),"?"))</f>
        <v/>
      </c>
      <c r="K252" s="35" t="str">
        <f aca="false">IF(A252="","",DATE(YEAR(A252),MONTH(A252),1))</f>
        <v/>
      </c>
      <c r="L252" s="28" t="str">
        <f aca="false">IF(E252="","",IFERROR(INDEX(Settings!$K$8:$K$38,MATCH(E252,Settings!$H$8:$H$38,0))&amp;"",""))</f>
        <v/>
      </c>
    </row>
    <row r="253" customFormat="false" ht="15" hidden="false" customHeight="false" outlineLevel="0" collapsed="false">
      <c r="A253" s="33"/>
      <c r="B253" s="27"/>
      <c r="C253" s="27"/>
      <c r="D253" s="27"/>
      <c r="E253" s="27"/>
      <c r="F253" s="34"/>
      <c r="G253" s="27"/>
      <c r="H253" s="27"/>
      <c r="I253" s="28" t="str">
        <f aca="false">IF(C253="","",IFERROR(INDEX(Settings!$C$8:$C$19,MATCH(C253,Settings!$B$8:$B$19,0)),"?"))</f>
        <v/>
      </c>
      <c r="J253" s="28" t="str">
        <f aca="false">IF(G253="","",IFERROR(INDEX(Settings!$C$8:$C$19,MATCH(G253,Settings!$B$8:$B$19,0)),"?"))</f>
        <v/>
      </c>
      <c r="K253" s="35" t="str">
        <f aca="false">IF(A253="","",DATE(YEAR(A253),MONTH(A253),1))</f>
        <v/>
      </c>
      <c r="L253" s="28" t="str">
        <f aca="false">IF(E253="","",IFERROR(INDEX(Settings!$K$8:$K$38,MATCH(E253,Settings!$H$8:$H$38,0))&amp;"",""))</f>
        <v/>
      </c>
    </row>
    <row r="254" customFormat="false" ht="15" hidden="false" customHeight="false" outlineLevel="0" collapsed="false">
      <c r="A254" s="33"/>
      <c r="B254" s="27"/>
      <c r="C254" s="27"/>
      <c r="D254" s="27"/>
      <c r="E254" s="27"/>
      <c r="F254" s="34"/>
      <c r="G254" s="27"/>
      <c r="H254" s="27"/>
      <c r="I254" s="28" t="str">
        <f aca="false">IF(C254="","",IFERROR(INDEX(Settings!$C$8:$C$19,MATCH(C254,Settings!$B$8:$B$19,0)),"?"))</f>
        <v/>
      </c>
      <c r="J254" s="28" t="str">
        <f aca="false">IF(G254="","",IFERROR(INDEX(Settings!$C$8:$C$19,MATCH(G254,Settings!$B$8:$B$19,0)),"?"))</f>
        <v/>
      </c>
      <c r="K254" s="35" t="str">
        <f aca="false">IF(A254="","",DATE(YEAR(A254),MONTH(A254),1))</f>
        <v/>
      </c>
      <c r="L254" s="28" t="str">
        <f aca="false">IF(E254="","",IFERROR(INDEX(Settings!$K$8:$K$38,MATCH(E254,Settings!$H$8:$H$38,0))&amp;"",""))</f>
        <v/>
      </c>
    </row>
    <row r="255" customFormat="false" ht="15" hidden="false" customHeight="false" outlineLevel="0" collapsed="false">
      <c r="A255" s="33"/>
      <c r="B255" s="27"/>
      <c r="C255" s="27"/>
      <c r="D255" s="27"/>
      <c r="E255" s="27"/>
      <c r="F255" s="34"/>
      <c r="G255" s="27"/>
      <c r="H255" s="27"/>
      <c r="I255" s="28" t="str">
        <f aca="false">IF(C255="","",IFERROR(INDEX(Settings!$C$8:$C$19,MATCH(C255,Settings!$B$8:$B$19,0)),"?"))</f>
        <v/>
      </c>
      <c r="J255" s="28" t="str">
        <f aca="false">IF(G255="","",IFERROR(INDEX(Settings!$C$8:$C$19,MATCH(G255,Settings!$B$8:$B$19,0)),"?"))</f>
        <v/>
      </c>
      <c r="K255" s="35" t="str">
        <f aca="false">IF(A255="","",DATE(YEAR(A255),MONTH(A255),1))</f>
        <v/>
      </c>
      <c r="L255" s="28" t="str">
        <f aca="false">IF(E255="","",IFERROR(INDEX(Settings!$K$8:$K$38,MATCH(E255,Settings!$H$8:$H$38,0))&amp;"",""))</f>
        <v/>
      </c>
    </row>
    <row r="256" customFormat="false" ht="15" hidden="false" customHeight="false" outlineLevel="0" collapsed="false">
      <c r="A256" s="33"/>
      <c r="B256" s="27"/>
      <c r="C256" s="27"/>
      <c r="D256" s="27"/>
      <c r="E256" s="27"/>
      <c r="F256" s="34"/>
      <c r="G256" s="27"/>
      <c r="H256" s="27"/>
      <c r="I256" s="28" t="str">
        <f aca="false">IF(C256="","",IFERROR(INDEX(Settings!$C$8:$C$19,MATCH(C256,Settings!$B$8:$B$19,0)),"?"))</f>
        <v/>
      </c>
      <c r="J256" s="28" t="str">
        <f aca="false">IF(G256="","",IFERROR(INDEX(Settings!$C$8:$C$19,MATCH(G256,Settings!$B$8:$B$19,0)),"?"))</f>
        <v/>
      </c>
      <c r="K256" s="35" t="str">
        <f aca="false">IF(A256="","",DATE(YEAR(A256),MONTH(A256),1))</f>
        <v/>
      </c>
      <c r="L256" s="28" t="str">
        <f aca="false">IF(E256="","",IFERROR(INDEX(Settings!$K$8:$K$38,MATCH(E256,Settings!$H$8:$H$38,0))&amp;"",""))</f>
        <v/>
      </c>
    </row>
    <row r="257" customFormat="false" ht="15" hidden="false" customHeight="false" outlineLevel="0" collapsed="false">
      <c r="A257" s="33"/>
      <c r="B257" s="27"/>
      <c r="C257" s="27"/>
      <c r="D257" s="27"/>
      <c r="E257" s="27"/>
      <c r="F257" s="34"/>
      <c r="G257" s="27"/>
      <c r="H257" s="27"/>
      <c r="I257" s="28" t="str">
        <f aca="false">IF(C257="","",IFERROR(INDEX(Settings!$C$8:$C$19,MATCH(C257,Settings!$B$8:$B$19,0)),"?"))</f>
        <v/>
      </c>
      <c r="J257" s="28" t="str">
        <f aca="false">IF(G257="","",IFERROR(INDEX(Settings!$C$8:$C$19,MATCH(G257,Settings!$B$8:$B$19,0)),"?"))</f>
        <v/>
      </c>
      <c r="K257" s="35" t="str">
        <f aca="false">IF(A257="","",DATE(YEAR(A257),MONTH(A257),1))</f>
        <v/>
      </c>
      <c r="L257" s="28" t="str">
        <f aca="false">IF(E257="","",IFERROR(INDEX(Settings!$K$8:$K$38,MATCH(E257,Settings!$H$8:$H$38,0))&amp;"",""))</f>
        <v/>
      </c>
    </row>
    <row r="258" customFormat="false" ht="15" hidden="false" customHeight="false" outlineLevel="0" collapsed="false">
      <c r="A258" s="33"/>
      <c r="B258" s="27"/>
      <c r="C258" s="27"/>
      <c r="D258" s="27"/>
      <c r="E258" s="27"/>
      <c r="F258" s="34"/>
      <c r="G258" s="27"/>
      <c r="H258" s="27"/>
      <c r="I258" s="28" t="str">
        <f aca="false">IF(C258="","",IFERROR(INDEX(Settings!$C$8:$C$19,MATCH(C258,Settings!$B$8:$B$19,0)),"?"))</f>
        <v/>
      </c>
      <c r="J258" s="28" t="str">
        <f aca="false">IF(G258="","",IFERROR(INDEX(Settings!$C$8:$C$19,MATCH(G258,Settings!$B$8:$B$19,0)),"?"))</f>
        <v/>
      </c>
      <c r="K258" s="35" t="str">
        <f aca="false">IF(A258="","",DATE(YEAR(A258),MONTH(A258),1))</f>
        <v/>
      </c>
      <c r="L258" s="28" t="str">
        <f aca="false">IF(E258="","",IFERROR(INDEX(Settings!$K$8:$K$38,MATCH(E258,Settings!$H$8:$H$38,0))&amp;"",""))</f>
        <v/>
      </c>
    </row>
    <row r="259" customFormat="false" ht="15" hidden="false" customHeight="false" outlineLevel="0" collapsed="false">
      <c r="A259" s="33"/>
      <c r="B259" s="27"/>
      <c r="C259" s="27"/>
      <c r="D259" s="27"/>
      <c r="E259" s="27"/>
      <c r="F259" s="34"/>
      <c r="G259" s="27"/>
      <c r="H259" s="27"/>
      <c r="I259" s="28" t="str">
        <f aca="false">IF(C259="","",IFERROR(INDEX(Settings!$C$8:$C$19,MATCH(C259,Settings!$B$8:$B$19,0)),"?"))</f>
        <v/>
      </c>
      <c r="J259" s="28" t="str">
        <f aca="false">IF(G259="","",IFERROR(INDEX(Settings!$C$8:$C$19,MATCH(G259,Settings!$B$8:$B$19,0)),"?"))</f>
        <v/>
      </c>
      <c r="K259" s="35" t="str">
        <f aca="false">IF(A259="","",DATE(YEAR(A259),MONTH(A259),1))</f>
        <v/>
      </c>
      <c r="L259" s="28" t="str">
        <f aca="false">IF(E259="","",IFERROR(INDEX(Settings!$K$8:$K$38,MATCH(E259,Settings!$H$8:$H$38,0))&amp;"",""))</f>
        <v/>
      </c>
    </row>
    <row r="260" customFormat="false" ht="15" hidden="false" customHeight="false" outlineLevel="0" collapsed="false">
      <c r="A260" s="33"/>
      <c r="B260" s="27"/>
      <c r="C260" s="27"/>
      <c r="D260" s="27"/>
      <c r="E260" s="27"/>
      <c r="F260" s="34"/>
      <c r="G260" s="27"/>
      <c r="H260" s="27"/>
      <c r="I260" s="28" t="str">
        <f aca="false">IF(C260="","",IFERROR(INDEX(Settings!$C$8:$C$19,MATCH(C260,Settings!$B$8:$B$19,0)),"?"))</f>
        <v/>
      </c>
      <c r="J260" s="28" t="str">
        <f aca="false">IF(G260="","",IFERROR(INDEX(Settings!$C$8:$C$19,MATCH(G260,Settings!$B$8:$B$19,0)),"?"))</f>
        <v/>
      </c>
      <c r="K260" s="35" t="str">
        <f aca="false">IF(A260="","",DATE(YEAR(A260),MONTH(A260),1))</f>
        <v/>
      </c>
      <c r="L260" s="28" t="str">
        <f aca="false">IF(E260="","",IFERROR(INDEX(Settings!$K$8:$K$38,MATCH(E260,Settings!$H$8:$H$38,0))&amp;"",""))</f>
        <v/>
      </c>
    </row>
    <row r="261" customFormat="false" ht="15" hidden="false" customHeight="false" outlineLevel="0" collapsed="false">
      <c r="A261" s="33"/>
      <c r="B261" s="27"/>
      <c r="C261" s="27"/>
      <c r="D261" s="27"/>
      <c r="E261" s="27"/>
      <c r="F261" s="34"/>
      <c r="G261" s="27"/>
      <c r="H261" s="27"/>
      <c r="I261" s="28" t="str">
        <f aca="false">IF(C261="","",IFERROR(INDEX(Settings!$C$8:$C$19,MATCH(C261,Settings!$B$8:$B$19,0)),"?"))</f>
        <v/>
      </c>
      <c r="J261" s="28" t="str">
        <f aca="false">IF(G261="","",IFERROR(INDEX(Settings!$C$8:$C$19,MATCH(G261,Settings!$B$8:$B$19,0)),"?"))</f>
        <v/>
      </c>
      <c r="K261" s="35" t="str">
        <f aca="false">IF(A261="","",DATE(YEAR(A261),MONTH(A261),1))</f>
        <v/>
      </c>
      <c r="L261" s="28" t="str">
        <f aca="false">IF(E261="","",IFERROR(INDEX(Settings!$K$8:$K$38,MATCH(E261,Settings!$H$8:$H$38,0))&amp;"",""))</f>
        <v/>
      </c>
    </row>
    <row r="262" customFormat="false" ht="15" hidden="false" customHeight="false" outlineLevel="0" collapsed="false">
      <c r="A262" s="33"/>
      <c r="B262" s="27"/>
      <c r="C262" s="27"/>
      <c r="D262" s="27"/>
      <c r="E262" s="27"/>
      <c r="F262" s="34"/>
      <c r="G262" s="27"/>
      <c r="H262" s="27"/>
      <c r="I262" s="28" t="str">
        <f aca="false">IF(C262="","",IFERROR(INDEX(Settings!$C$8:$C$19,MATCH(C262,Settings!$B$8:$B$19,0)),"?"))</f>
        <v/>
      </c>
      <c r="J262" s="28" t="str">
        <f aca="false">IF(G262="","",IFERROR(INDEX(Settings!$C$8:$C$19,MATCH(G262,Settings!$B$8:$B$19,0)),"?"))</f>
        <v/>
      </c>
      <c r="K262" s="35" t="str">
        <f aca="false">IF(A262="","",DATE(YEAR(A262),MONTH(A262),1))</f>
        <v/>
      </c>
      <c r="L262" s="28" t="str">
        <f aca="false">IF(E262="","",IFERROR(INDEX(Settings!$K$8:$K$38,MATCH(E262,Settings!$H$8:$H$38,0))&amp;"",""))</f>
        <v/>
      </c>
    </row>
    <row r="263" customFormat="false" ht="15" hidden="false" customHeight="false" outlineLevel="0" collapsed="false">
      <c r="A263" s="33"/>
      <c r="B263" s="27"/>
      <c r="C263" s="27"/>
      <c r="D263" s="27"/>
      <c r="E263" s="27"/>
      <c r="F263" s="34"/>
      <c r="G263" s="27"/>
      <c r="H263" s="27"/>
      <c r="I263" s="28" t="str">
        <f aca="false">IF(C263="","",IFERROR(INDEX(Settings!$C$8:$C$19,MATCH(C263,Settings!$B$8:$B$19,0)),"?"))</f>
        <v/>
      </c>
      <c r="J263" s="28" t="str">
        <f aca="false">IF(G263="","",IFERROR(INDEX(Settings!$C$8:$C$19,MATCH(G263,Settings!$B$8:$B$19,0)),"?"))</f>
        <v/>
      </c>
      <c r="K263" s="35" t="str">
        <f aca="false">IF(A263="","",DATE(YEAR(A263),MONTH(A263),1))</f>
        <v/>
      </c>
      <c r="L263" s="28" t="str">
        <f aca="false">IF(E263="","",IFERROR(INDEX(Settings!$K$8:$K$38,MATCH(E263,Settings!$H$8:$H$38,0))&amp;"",""))</f>
        <v/>
      </c>
    </row>
    <row r="264" customFormat="false" ht="15" hidden="false" customHeight="false" outlineLevel="0" collapsed="false">
      <c r="A264" s="33"/>
      <c r="B264" s="27"/>
      <c r="C264" s="27"/>
      <c r="D264" s="27"/>
      <c r="E264" s="27"/>
      <c r="F264" s="34"/>
      <c r="G264" s="27"/>
      <c r="H264" s="27"/>
      <c r="I264" s="28" t="str">
        <f aca="false">IF(C264="","",IFERROR(INDEX(Settings!$C$8:$C$19,MATCH(C264,Settings!$B$8:$B$19,0)),"?"))</f>
        <v/>
      </c>
      <c r="J264" s="28" t="str">
        <f aca="false">IF(G264="","",IFERROR(INDEX(Settings!$C$8:$C$19,MATCH(G264,Settings!$B$8:$B$19,0)),"?"))</f>
        <v/>
      </c>
      <c r="K264" s="35" t="str">
        <f aca="false">IF(A264="","",DATE(YEAR(A264),MONTH(A264),1))</f>
        <v/>
      </c>
      <c r="L264" s="28" t="str">
        <f aca="false">IF(E264="","",IFERROR(INDEX(Settings!$K$8:$K$38,MATCH(E264,Settings!$H$8:$H$38,0))&amp;"",""))</f>
        <v/>
      </c>
    </row>
    <row r="265" customFormat="false" ht="15" hidden="false" customHeight="false" outlineLevel="0" collapsed="false">
      <c r="A265" s="33"/>
      <c r="B265" s="27"/>
      <c r="C265" s="27"/>
      <c r="D265" s="27"/>
      <c r="E265" s="27"/>
      <c r="F265" s="34"/>
      <c r="G265" s="27"/>
      <c r="H265" s="27"/>
      <c r="I265" s="28" t="str">
        <f aca="false">IF(C265="","",IFERROR(INDEX(Settings!$C$8:$C$19,MATCH(C265,Settings!$B$8:$B$19,0)),"?"))</f>
        <v/>
      </c>
      <c r="J265" s="28" t="str">
        <f aca="false">IF(G265="","",IFERROR(INDEX(Settings!$C$8:$C$19,MATCH(G265,Settings!$B$8:$B$19,0)),"?"))</f>
        <v/>
      </c>
      <c r="K265" s="35" t="str">
        <f aca="false">IF(A265="","",DATE(YEAR(A265),MONTH(A265),1))</f>
        <v/>
      </c>
      <c r="L265" s="28" t="str">
        <f aca="false">IF(E265="","",IFERROR(INDEX(Settings!$K$8:$K$38,MATCH(E265,Settings!$H$8:$H$38,0))&amp;"",""))</f>
        <v/>
      </c>
    </row>
    <row r="266" customFormat="false" ht="15" hidden="false" customHeight="false" outlineLevel="0" collapsed="false">
      <c r="A266" s="33"/>
      <c r="B266" s="27"/>
      <c r="C266" s="27"/>
      <c r="D266" s="27"/>
      <c r="E266" s="27"/>
      <c r="F266" s="34"/>
      <c r="G266" s="27"/>
      <c r="H266" s="27"/>
      <c r="I266" s="28" t="str">
        <f aca="false">IF(C266="","",IFERROR(INDEX(Settings!$C$8:$C$19,MATCH(C266,Settings!$B$8:$B$19,0)),"?"))</f>
        <v/>
      </c>
      <c r="J266" s="28" t="str">
        <f aca="false">IF(G266="","",IFERROR(INDEX(Settings!$C$8:$C$19,MATCH(G266,Settings!$B$8:$B$19,0)),"?"))</f>
        <v/>
      </c>
      <c r="K266" s="35" t="str">
        <f aca="false">IF(A266="","",DATE(YEAR(A266),MONTH(A266),1))</f>
        <v/>
      </c>
      <c r="L266" s="28" t="str">
        <f aca="false">IF(E266="","",IFERROR(INDEX(Settings!$K$8:$K$38,MATCH(E266,Settings!$H$8:$H$38,0))&amp;"",""))</f>
        <v/>
      </c>
    </row>
    <row r="267" customFormat="false" ht="15" hidden="false" customHeight="false" outlineLevel="0" collapsed="false">
      <c r="A267" s="33"/>
      <c r="B267" s="27"/>
      <c r="C267" s="27"/>
      <c r="D267" s="27"/>
      <c r="E267" s="27"/>
      <c r="F267" s="34"/>
      <c r="G267" s="27"/>
      <c r="H267" s="27"/>
      <c r="I267" s="28" t="str">
        <f aca="false">IF(C267="","",IFERROR(INDEX(Settings!$C$8:$C$19,MATCH(C267,Settings!$B$8:$B$19,0)),"?"))</f>
        <v/>
      </c>
      <c r="J267" s="28" t="str">
        <f aca="false">IF(G267="","",IFERROR(INDEX(Settings!$C$8:$C$19,MATCH(G267,Settings!$B$8:$B$19,0)),"?"))</f>
        <v/>
      </c>
      <c r="K267" s="35" t="str">
        <f aca="false">IF(A267="","",DATE(YEAR(A267),MONTH(A267),1))</f>
        <v/>
      </c>
      <c r="L267" s="28" t="str">
        <f aca="false">IF(E267="","",IFERROR(INDEX(Settings!$K$8:$K$38,MATCH(E267,Settings!$H$8:$H$38,0))&amp;"",""))</f>
        <v/>
      </c>
    </row>
    <row r="268" customFormat="false" ht="15" hidden="false" customHeight="false" outlineLevel="0" collapsed="false">
      <c r="A268" s="33"/>
      <c r="B268" s="27"/>
      <c r="C268" s="27"/>
      <c r="D268" s="27"/>
      <c r="E268" s="27"/>
      <c r="F268" s="34"/>
      <c r="G268" s="27"/>
      <c r="H268" s="27"/>
      <c r="I268" s="28" t="str">
        <f aca="false">IF(C268="","",IFERROR(INDEX(Settings!$C$8:$C$19,MATCH(C268,Settings!$B$8:$B$19,0)),"?"))</f>
        <v/>
      </c>
      <c r="J268" s="28" t="str">
        <f aca="false">IF(G268="","",IFERROR(INDEX(Settings!$C$8:$C$19,MATCH(G268,Settings!$B$8:$B$19,0)),"?"))</f>
        <v/>
      </c>
      <c r="K268" s="35" t="str">
        <f aca="false">IF(A268="","",DATE(YEAR(A268),MONTH(A268),1))</f>
        <v/>
      </c>
      <c r="L268" s="28" t="str">
        <f aca="false">IF(E268="","",IFERROR(INDEX(Settings!$K$8:$K$38,MATCH(E268,Settings!$H$8:$H$38,0))&amp;"",""))</f>
        <v/>
      </c>
    </row>
    <row r="269" customFormat="false" ht="15" hidden="false" customHeight="false" outlineLevel="0" collapsed="false">
      <c r="A269" s="33"/>
      <c r="B269" s="27"/>
      <c r="C269" s="27"/>
      <c r="D269" s="27"/>
      <c r="E269" s="27"/>
      <c r="F269" s="34"/>
      <c r="G269" s="27"/>
      <c r="H269" s="27"/>
      <c r="I269" s="28" t="str">
        <f aca="false">IF(C269="","",IFERROR(INDEX(Settings!$C$8:$C$19,MATCH(C269,Settings!$B$8:$B$19,0)),"?"))</f>
        <v/>
      </c>
      <c r="J269" s="28" t="str">
        <f aca="false">IF(G269="","",IFERROR(INDEX(Settings!$C$8:$C$19,MATCH(G269,Settings!$B$8:$B$19,0)),"?"))</f>
        <v/>
      </c>
      <c r="K269" s="35" t="str">
        <f aca="false">IF(A269="","",DATE(YEAR(A269),MONTH(A269),1))</f>
        <v/>
      </c>
      <c r="L269" s="28" t="str">
        <f aca="false">IF(E269="","",IFERROR(INDEX(Settings!$K$8:$K$38,MATCH(E269,Settings!$H$8:$H$38,0))&amp;"",""))</f>
        <v/>
      </c>
    </row>
    <row r="270" customFormat="false" ht="15" hidden="false" customHeight="false" outlineLevel="0" collapsed="false">
      <c r="A270" s="33"/>
      <c r="B270" s="27"/>
      <c r="C270" s="27"/>
      <c r="D270" s="27"/>
      <c r="E270" s="27"/>
      <c r="F270" s="34"/>
      <c r="G270" s="27"/>
      <c r="H270" s="27"/>
      <c r="I270" s="28" t="str">
        <f aca="false">IF(C270="","",IFERROR(INDEX(Settings!$C$8:$C$19,MATCH(C270,Settings!$B$8:$B$19,0)),"?"))</f>
        <v/>
      </c>
      <c r="J270" s="28" t="str">
        <f aca="false">IF(G270="","",IFERROR(INDEX(Settings!$C$8:$C$19,MATCH(G270,Settings!$B$8:$B$19,0)),"?"))</f>
        <v/>
      </c>
      <c r="K270" s="35" t="str">
        <f aca="false">IF(A270="","",DATE(YEAR(A270),MONTH(A270),1))</f>
        <v/>
      </c>
      <c r="L270" s="28" t="str">
        <f aca="false">IF(E270="","",IFERROR(INDEX(Settings!$K$8:$K$38,MATCH(E270,Settings!$H$8:$H$38,0))&amp;"",""))</f>
        <v/>
      </c>
    </row>
    <row r="271" customFormat="false" ht="15" hidden="false" customHeight="false" outlineLevel="0" collapsed="false">
      <c r="A271" s="33"/>
      <c r="B271" s="27"/>
      <c r="C271" s="27"/>
      <c r="D271" s="27"/>
      <c r="E271" s="27"/>
      <c r="F271" s="34"/>
      <c r="G271" s="27"/>
      <c r="H271" s="27"/>
      <c r="I271" s="28" t="str">
        <f aca="false">IF(C271="","",IFERROR(INDEX(Settings!$C$8:$C$19,MATCH(C271,Settings!$B$8:$B$19,0)),"?"))</f>
        <v/>
      </c>
      <c r="J271" s="28" t="str">
        <f aca="false">IF(G271="","",IFERROR(INDEX(Settings!$C$8:$C$19,MATCH(G271,Settings!$B$8:$B$19,0)),"?"))</f>
        <v/>
      </c>
      <c r="K271" s="35" t="str">
        <f aca="false">IF(A271="","",DATE(YEAR(A271),MONTH(A271),1))</f>
        <v/>
      </c>
      <c r="L271" s="28" t="str">
        <f aca="false">IF(E271="","",IFERROR(INDEX(Settings!$K$8:$K$38,MATCH(E271,Settings!$H$8:$H$38,0))&amp;"",""))</f>
        <v/>
      </c>
    </row>
    <row r="272" customFormat="false" ht="15" hidden="false" customHeight="false" outlineLevel="0" collapsed="false">
      <c r="A272" s="33"/>
      <c r="B272" s="27"/>
      <c r="C272" s="27"/>
      <c r="D272" s="27"/>
      <c r="E272" s="27"/>
      <c r="F272" s="34"/>
      <c r="G272" s="27"/>
      <c r="H272" s="27"/>
      <c r="I272" s="28" t="str">
        <f aca="false">IF(C272="","",IFERROR(INDEX(Settings!$C$8:$C$19,MATCH(C272,Settings!$B$8:$B$19,0)),"?"))</f>
        <v/>
      </c>
      <c r="J272" s="28" t="str">
        <f aca="false">IF(G272="","",IFERROR(INDEX(Settings!$C$8:$C$19,MATCH(G272,Settings!$B$8:$B$19,0)),"?"))</f>
        <v/>
      </c>
      <c r="K272" s="35" t="str">
        <f aca="false">IF(A272="","",DATE(YEAR(A272),MONTH(A272),1))</f>
        <v/>
      </c>
      <c r="L272" s="28" t="str">
        <f aca="false">IF(E272="","",IFERROR(INDEX(Settings!$K$8:$K$38,MATCH(E272,Settings!$H$8:$H$38,0))&amp;"",""))</f>
        <v/>
      </c>
    </row>
    <row r="273" customFormat="false" ht="15" hidden="false" customHeight="false" outlineLevel="0" collapsed="false">
      <c r="A273" s="33"/>
      <c r="B273" s="27"/>
      <c r="C273" s="27"/>
      <c r="D273" s="27"/>
      <c r="E273" s="27"/>
      <c r="F273" s="34"/>
      <c r="G273" s="27"/>
      <c r="H273" s="27"/>
      <c r="I273" s="28" t="str">
        <f aca="false">IF(C273="","",IFERROR(INDEX(Settings!$C$8:$C$19,MATCH(C273,Settings!$B$8:$B$19,0)),"?"))</f>
        <v/>
      </c>
      <c r="J273" s="28" t="str">
        <f aca="false">IF(G273="","",IFERROR(INDEX(Settings!$C$8:$C$19,MATCH(G273,Settings!$B$8:$B$19,0)),"?"))</f>
        <v/>
      </c>
      <c r="K273" s="35" t="str">
        <f aca="false">IF(A273="","",DATE(YEAR(A273),MONTH(A273),1))</f>
        <v/>
      </c>
      <c r="L273" s="28" t="str">
        <f aca="false">IF(E273="","",IFERROR(INDEX(Settings!$K$8:$K$38,MATCH(E273,Settings!$H$8:$H$38,0))&amp;"",""))</f>
        <v/>
      </c>
    </row>
    <row r="274" customFormat="false" ht="15" hidden="false" customHeight="false" outlineLevel="0" collapsed="false">
      <c r="A274" s="33"/>
      <c r="B274" s="27"/>
      <c r="C274" s="27"/>
      <c r="D274" s="27"/>
      <c r="E274" s="27"/>
      <c r="F274" s="34"/>
      <c r="G274" s="27"/>
      <c r="H274" s="27"/>
      <c r="I274" s="28" t="str">
        <f aca="false">IF(C274="","",IFERROR(INDEX(Settings!$C$8:$C$19,MATCH(C274,Settings!$B$8:$B$19,0)),"?"))</f>
        <v/>
      </c>
      <c r="J274" s="28" t="str">
        <f aca="false">IF(G274="","",IFERROR(INDEX(Settings!$C$8:$C$19,MATCH(G274,Settings!$B$8:$B$19,0)),"?"))</f>
        <v/>
      </c>
      <c r="K274" s="35" t="str">
        <f aca="false">IF(A274="","",DATE(YEAR(A274),MONTH(A274),1))</f>
        <v/>
      </c>
      <c r="L274" s="28" t="str">
        <f aca="false">IF(E274="","",IFERROR(INDEX(Settings!$K$8:$K$38,MATCH(E274,Settings!$H$8:$H$38,0))&amp;"",""))</f>
        <v/>
      </c>
    </row>
    <row r="275" customFormat="false" ht="15" hidden="false" customHeight="false" outlineLevel="0" collapsed="false">
      <c r="A275" s="33"/>
      <c r="B275" s="27"/>
      <c r="C275" s="27"/>
      <c r="D275" s="27"/>
      <c r="E275" s="27"/>
      <c r="F275" s="34"/>
      <c r="G275" s="27"/>
      <c r="H275" s="27"/>
      <c r="I275" s="28" t="str">
        <f aca="false">IF(C275="","",IFERROR(INDEX(Settings!$C$8:$C$19,MATCH(C275,Settings!$B$8:$B$19,0)),"?"))</f>
        <v/>
      </c>
      <c r="J275" s="28" t="str">
        <f aca="false">IF(G275="","",IFERROR(INDEX(Settings!$C$8:$C$19,MATCH(G275,Settings!$B$8:$B$19,0)),"?"))</f>
        <v/>
      </c>
      <c r="K275" s="35" t="str">
        <f aca="false">IF(A275="","",DATE(YEAR(A275),MONTH(A275),1))</f>
        <v/>
      </c>
      <c r="L275" s="28" t="str">
        <f aca="false">IF(E275="","",IFERROR(INDEX(Settings!$K$8:$K$38,MATCH(E275,Settings!$H$8:$H$38,0))&amp;"",""))</f>
        <v/>
      </c>
    </row>
    <row r="276" customFormat="false" ht="15" hidden="false" customHeight="false" outlineLevel="0" collapsed="false">
      <c r="A276" s="33"/>
      <c r="B276" s="27"/>
      <c r="C276" s="27"/>
      <c r="D276" s="27"/>
      <c r="E276" s="27"/>
      <c r="F276" s="34"/>
      <c r="G276" s="27"/>
      <c r="H276" s="27"/>
      <c r="I276" s="28" t="str">
        <f aca="false">IF(C276="","",IFERROR(INDEX(Settings!$C$8:$C$19,MATCH(C276,Settings!$B$8:$B$19,0)),"?"))</f>
        <v/>
      </c>
      <c r="J276" s="28" t="str">
        <f aca="false">IF(G276="","",IFERROR(INDEX(Settings!$C$8:$C$19,MATCH(G276,Settings!$B$8:$B$19,0)),"?"))</f>
        <v/>
      </c>
      <c r="K276" s="35" t="str">
        <f aca="false">IF(A276="","",DATE(YEAR(A276),MONTH(A276),1))</f>
        <v/>
      </c>
      <c r="L276" s="28" t="str">
        <f aca="false">IF(E276="","",IFERROR(INDEX(Settings!$K$8:$K$38,MATCH(E276,Settings!$H$8:$H$38,0))&amp;"",""))</f>
        <v/>
      </c>
    </row>
    <row r="277" customFormat="false" ht="15" hidden="false" customHeight="false" outlineLevel="0" collapsed="false">
      <c r="A277" s="33"/>
      <c r="B277" s="27"/>
      <c r="C277" s="27"/>
      <c r="D277" s="27"/>
      <c r="E277" s="27"/>
      <c r="F277" s="34"/>
      <c r="G277" s="27"/>
      <c r="H277" s="27"/>
      <c r="I277" s="28" t="str">
        <f aca="false">IF(C277="","",IFERROR(INDEX(Settings!$C$8:$C$19,MATCH(C277,Settings!$B$8:$B$19,0)),"?"))</f>
        <v/>
      </c>
      <c r="J277" s="28" t="str">
        <f aca="false">IF(G277="","",IFERROR(INDEX(Settings!$C$8:$C$19,MATCH(G277,Settings!$B$8:$B$19,0)),"?"))</f>
        <v/>
      </c>
      <c r="K277" s="35" t="str">
        <f aca="false">IF(A277="","",DATE(YEAR(A277),MONTH(A277),1))</f>
        <v/>
      </c>
      <c r="L277" s="28" t="str">
        <f aca="false">IF(E277="","",IFERROR(INDEX(Settings!$K$8:$K$38,MATCH(E277,Settings!$H$8:$H$38,0))&amp;"",""))</f>
        <v/>
      </c>
    </row>
    <row r="278" customFormat="false" ht="15" hidden="false" customHeight="false" outlineLevel="0" collapsed="false">
      <c r="A278" s="33"/>
      <c r="B278" s="27"/>
      <c r="C278" s="27"/>
      <c r="D278" s="27"/>
      <c r="E278" s="27"/>
      <c r="F278" s="34"/>
      <c r="G278" s="27"/>
      <c r="H278" s="27"/>
      <c r="I278" s="28" t="str">
        <f aca="false">IF(C278="","",IFERROR(INDEX(Settings!$C$8:$C$19,MATCH(C278,Settings!$B$8:$B$19,0)),"?"))</f>
        <v/>
      </c>
      <c r="J278" s="28" t="str">
        <f aca="false">IF(G278="","",IFERROR(INDEX(Settings!$C$8:$C$19,MATCH(G278,Settings!$B$8:$B$19,0)),"?"))</f>
        <v/>
      </c>
      <c r="K278" s="35" t="str">
        <f aca="false">IF(A278="","",DATE(YEAR(A278),MONTH(A278),1))</f>
        <v/>
      </c>
      <c r="L278" s="28" t="str">
        <f aca="false">IF(E278="","",IFERROR(INDEX(Settings!$K$8:$K$38,MATCH(E278,Settings!$H$8:$H$38,0))&amp;"",""))</f>
        <v/>
      </c>
    </row>
    <row r="279" customFormat="false" ht="15" hidden="false" customHeight="false" outlineLevel="0" collapsed="false">
      <c r="A279" s="33"/>
      <c r="B279" s="27"/>
      <c r="C279" s="27"/>
      <c r="D279" s="27"/>
      <c r="E279" s="27"/>
      <c r="F279" s="34"/>
      <c r="G279" s="27"/>
      <c r="H279" s="27"/>
      <c r="I279" s="28" t="str">
        <f aca="false">IF(C279="","",IFERROR(INDEX(Settings!$C$8:$C$19,MATCH(C279,Settings!$B$8:$B$19,0)),"?"))</f>
        <v/>
      </c>
      <c r="J279" s="28" t="str">
        <f aca="false">IF(G279="","",IFERROR(INDEX(Settings!$C$8:$C$19,MATCH(G279,Settings!$B$8:$B$19,0)),"?"))</f>
        <v/>
      </c>
      <c r="K279" s="35" t="str">
        <f aca="false">IF(A279="","",DATE(YEAR(A279),MONTH(A279),1))</f>
        <v/>
      </c>
      <c r="L279" s="28" t="str">
        <f aca="false">IF(E279="","",IFERROR(INDEX(Settings!$K$8:$K$38,MATCH(E279,Settings!$H$8:$H$38,0))&amp;"",""))</f>
        <v/>
      </c>
    </row>
    <row r="280" customFormat="false" ht="15" hidden="false" customHeight="false" outlineLevel="0" collapsed="false">
      <c r="A280" s="33"/>
      <c r="B280" s="27"/>
      <c r="C280" s="27"/>
      <c r="D280" s="27"/>
      <c r="E280" s="27"/>
      <c r="F280" s="34"/>
      <c r="G280" s="27"/>
      <c r="H280" s="27"/>
      <c r="I280" s="28" t="str">
        <f aca="false">IF(C280="","",IFERROR(INDEX(Settings!$C$8:$C$19,MATCH(C280,Settings!$B$8:$B$19,0)),"?"))</f>
        <v/>
      </c>
      <c r="J280" s="28" t="str">
        <f aca="false">IF(G280="","",IFERROR(INDEX(Settings!$C$8:$C$19,MATCH(G280,Settings!$B$8:$B$19,0)),"?"))</f>
        <v/>
      </c>
      <c r="K280" s="35" t="str">
        <f aca="false">IF(A280="","",DATE(YEAR(A280),MONTH(A280),1))</f>
        <v/>
      </c>
      <c r="L280" s="28" t="str">
        <f aca="false">IF(E280="","",IFERROR(INDEX(Settings!$K$8:$K$38,MATCH(E280,Settings!$H$8:$H$38,0))&amp;"",""))</f>
        <v/>
      </c>
    </row>
    <row r="281" customFormat="false" ht="15" hidden="false" customHeight="false" outlineLevel="0" collapsed="false">
      <c r="A281" s="33"/>
      <c r="B281" s="27"/>
      <c r="C281" s="27"/>
      <c r="D281" s="27"/>
      <c r="E281" s="27"/>
      <c r="F281" s="34"/>
      <c r="G281" s="27"/>
      <c r="H281" s="27"/>
      <c r="I281" s="28" t="str">
        <f aca="false">IF(C281="","",IFERROR(INDEX(Settings!$C$8:$C$19,MATCH(C281,Settings!$B$8:$B$19,0)),"?"))</f>
        <v/>
      </c>
      <c r="J281" s="28" t="str">
        <f aca="false">IF(G281="","",IFERROR(INDEX(Settings!$C$8:$C$19,MATCH(G281,Settings!$B$8:$B$19,0)),"?"))</f>
        <v/>
      </c>
      <c r="K281" s="35" t="str">
        <f aca="false">IF(A281="","",DATE(YEAR(A281),MONTH(A281),1))</f>
        <v/>
      </c>
      <c r="L281" s="28" t="str">
        <f aca="false">IF(E281="","",IFERROR(INDEX(Settings!$K$8:$K$38,MATCH(E281,Settings!$H$8:$H$38,0))&amp;"",""))</f>
        <v/>
      </c>
    </row>
    <row r="282" customFormat="false" ht="15" hidden="false" customHeight="false" outlineLevel="0" collapsed="false">
      <c r="A282" s="33"/>
      <c r="B282" s="27"/>
      <c r="C282" s="27"/>
      <c r="D282" s="27"/>
      <c r="E282" s="27"/>
      <c r="F282" s="34"/>
      <c r="G282" s="27"/>
      <c r="H282" s="27"/>
      <c r="I282" s="28" t="str">
        <f aca="false">IF(C282="","",IFERROR(INDEX(Settings!$C$8:$C$19,MATCH(C282,Settings!$B$8:$B$19,0)),"?"))</f>
        <v/>
      </c>
      <c r="J282" s="28" t="str">
        <f aca="false">IF(G282="","",IFERROR(INDEX(Settings!$C$8:$C$19,MATCH(G282,Settings!$B$8:$B$19,0)),"?"))</f>
        <v/>
      </c>
      <c r="K282" s="35" t="str">
        <f aca="false">IF(A282="","",DATE(YEAR(A282),MONTH(A282),1))</f>
        <v/>
      </c>
      <c r="L282" s="28" t="str">
        <f aca="false">IF(E282="","",IFERROR(INDEX(Settings!$K$8:$K$38,MATCH(E282,Settings!$H$8:$H$38,0))&amp;"",""))</f>
        <v/>
      </c>
    </row>
    <row r="283" customFormat="false" ht="15" hidden="false" customHeight="false" outlineLevel="0" collapsed="false">
      <c r="A283" s="33"/>
      <c r="B283" s="27"/>
      <c r="C283" s="27"/>
      <c r="D283" s="27"/>
      <c r="E283" s="27"/>
      <c r="F283" s="34"/>
      <c r="G283" s="27"/>
      <c r="H283" s="27"/>
      <c r="I283" s="28" t="str">
        <f aca="false">IF(C283="","",IFERROR(INDEX(Settings!$C$8:$C$19,MATCH(C283,Settings!$B$8:$B$19,0)),"?"))</f>
        <v/>
      </c>
      <c r="J283" s="28" t="str">
        <f aca="false">IF(G283="","",IFERROR(INDEX(Settings!$C$8:$C$19,MATCH(G283,Settings!$B$8:$B$19,0)),"?"))</f>
        <v/>
      </c>
      <c r="K283" s="35" t="str">
        <f aca="false">IF(A283="","",DATE(YEAR(A283),MONTH(A283),1))</f>
        <v/>
      </c>
      <c r="L283" s="28" t="str">
        <f aca="false">IF(E283="","",IFERROR(INDEX(Settings!$K$8:$K$38,MATCH(E283,Settings!$H$8:$H$38,0))&amp;"",""))</f>
        <v/>
      </c>
    </row>
    <row r="284" customFormat="false" ht="15" hidden="false" customHeight="false" outlineLevel="0" collapsed="false">
      <c r="A284" s="33"/>
      <c r="B284" s="27"/>
      <c r="C284" s="27"/>
      <c r="D284" s="27"/>
      <c r="E284" s="27"/>
      <c r="F284" s="34"/>
      <c r="G284" s="27"/>
      <c r="H284" s="27"/>
      <c r="I284" s="28" t="str">
        <f aca="false">IF(C284="","",IFERROR(INDEX(Settings!$C$8:$C$19,MATCH(C284,Settings!$B$8:$B$19,0)),"?"))</f>
        <v/>
      </c>
      <c r="J284" s="28" t="str">
        <f aca="false">IF(G284="","",IFERROR(INDEX(Settings!$C$8:$C$19,MATCH(G284,Settings!$B$8:$B$19,0)),"?"))</f>
        <v/>
      </c>
      <c r="K284" s="35" t="str">
        <f aca="false">IF(A284="","",DATE(YEAR(A284),MONTH(A284),1))</f>
        <v/>
      </c>
      <c r="L284" s="28" t="str">
        <f aca="false">IF(E284="","",IFERROR(INDEX(Settings!$K$8:$K$38,MATCH(E284,Settings!$H$8:$H$38,0))&amp;"",""))</f>
        <v/>
      </c>
    </row>
    <row r="285" customFormat="false" ht="15" hidden="false" customHeight="false" outlineLevel="0" collapsed="false">
      <c r="A285" s="33"/>
      <c r="B285" s="27"/>
      <c r="C285" s="27"/>
      <c r="D285" s="27"/>
      <c r="E285" s="27"/>
      <c r="F285" s="34"/>
      <c r="G285" s="27"/>
      <c r="H285" s="27"/>
      <c r="I285" s="28" t="str">
        <f aca="false">IF(C285="","",IFERROR(INDEX(Settings!$C$8:$C$19,MATCH(C285,Settings!$B$8:$B$19,0)),"?"))</f>
        <v/>
      </c>
      <c r="J285" s="28" t="str">
        <f aca="false">IF(G285="","",IFERROR(INDEX(Settings!$C$8:$C$19,MATCH(G285,Settings!$B$8:$B$19,0)),"?"))</f>
        <v/>
      </c>
      <c r="K285" s="35" t="str">
        <f aca="false">IF(A285="","",DATE(YEAR(A285),MONTH(A285),1))</f>
        <v/>
      </c>
      <c r="L285" s="28" t="str">
        <f aca="false">IF(E285="","",IFERROR(INDEX(Settings!$K$8:$K$38,MATCH(E285,Settings!$H$8:$H$38,0))&amp;"",""))</f>
        <v/>
      </c>
    </row>
    <row r="286" customFormat="false" ht="15" hidden="false" customHeight="false" outlineLevel="0" collapsed="false">
      <c r="A286" s="33"/>
      <c r="B286" s="27"/>
      <c r="C286" s="27"/>
      <c r="D286" s="27"/>
      <c r="E286" s="27"/>
      <c r="F286" s="34"/>
      <c r="G286" s="27"/>
      <c r="H286" s="27"/>
      <c r="I286" s="28" t="str">
        <f aca="false">IF(C286="","",IFERROR(INDEX(Settings!$C$8:$C$19,MATCH(C286,Settings!$B$8:$B$19,0)),"?"))</f>
        <v/>
      </c>
      <c r="J286" s="28" t="str">
        <f aca="false">IF(G286="","",IFERROR(INDEX(Settings!$C$8:$C$19,MATCH(G286,Settings!$B$8:$B$19,0)),"?"))</f>
        <v/>
      </c>
      <c r="K286" s="35" t="str">
        <f aca="false">IF(A286="","",DATE(YEAR(A286),MONTH(A286),1))</f>
        <v/>
      </c>
      <c r="L286" s="28" t="str">
        <f aca="false">IF(E286="","",IFERROR(INDEX(Settings!$K$8:$K$38,MATCH(E286,Settings!$H$8:$H$38,0))&amp;"",""))</f>
        <v/>
      </c>
    </row>
    <row r="287" customFormat="false" ht="15" hidden="false" customHeight="false" outlineLevel="0" collapsed="false">
      <c r="A287" s="33"/>
      <c r="B287" s="27"/>
      <c r="C287" s="27"/>
      <c r="D287" s="27"/>
      <c r="E287" s="27"/>
      <c r="F287" s="34"/>
      <c r="G287" s="27"/>
      <c r="H287" s="27"/>
      <c r="I287" s="28" t="str">
        <f aca="false">IF(C287="","",IFERROR(INDEX(Settings!$C$8:$C$19,MATCH(C287,Settings!$B$8:$B$19,0)),"?"))</f>
        <v/>
      </c>
      <c r="J287" s="28" t="str">
        <f aca="false">IF(G287="","",IFERROR(INDEX(Settings!$C$8:$C$19,MATCH(G287,Settings!$B$8:$B$19,0)),"?"))</f>
        <v/>
      </c>
      <c r="K287" s="35" t="str">
        <f aca="false">IF(A287="","",DATE(YEAR(A287),MONTH(A287),1))</f>
        <v/>
      </c>
      <c r="L287" s="28" t="str">
        <f aca="false">IF(E287="","",IFERROR(INDEX(Settings!$K$8:$K$38,MATCH(E287,Settings!$H$8:$H$38,0))&amp;"",""))</f>
        <v/>
      </c>
    </row>
    <row r="288" customFormat="false" ht="15" hidden="false" customHeight="false" outlineLevel="0" collapsed="false">
      <c r="A288" s="33"/>
      <c r="B288" s="27"/>
      <c r="C288" s="27"/>
      <c r="D288" s="27"/>
      <c r="E288" s="27"/>
      <c r="F288" s="34"/>
      <c r="G288" s="27"/>
      <c r="H288" s="27"/>
      <c r="I288" s="28" t="str">
        <f aca="false">IF(C288="","",IFERROR(INDEX(Settings!$C$8:$C$19,MATCH(C288,Settings!$B$8:$B$19,0)),"?"))</f>
        <v/>
      </c>
      <c r="J288" s="28" t="str">
        <f aca="false">IF(G288="","",IFERROR(INDEX(Settings!$C$8:$C$19,MATCH(G288,Settings!$B$8:$B$19,0)),"?"))</f>
        <v/>
      </c>
      <c r="K288" s="35" t="str">
        <f aca="false">IF(A288="","",DATE(YEAR(A288),MONTH(A288),1))</f>
        <v/>
      </c>
      <c r="L288" s="28" t="str">
        <f aca="false">IF(E288="","",IFERROR(INDEX(Settings!$K$8:$K$38,MATCH(E288,Settings!$H$8:$H$38,0))&amp;"",""))</f>
        <v/>
      </c>
    </row>
    <row r="289" customFormat="false" ht="15" hidden="false" customHeight="false" outlineLevel="0" collapsed="false">
      <c r="A289" s="33"/>
      <c r="B289" s="27"/>
      <c r="C289" s="27"/>
      <c r="D289" s="27"/>
      <c r="E289" s="27"/>
      <c r="F289" s="34"/>
      <c r="G289" s="27"/>
      <c r="H289" s="27"/>
      <c r="I289" s="28" t="str">
        <f aca="false">IF(C289="","",IFERROR(INDEX(Settings!$C$8:$C$19,MATCH(C289,Settings!$B$8:$B$19,0)),"?"))</f>
        <v/>
      </c>
      <c r="J289" s="28" t="str">
        <f aca="false">IF(G289="","",IFERROR(INDEX(Settings!$C$8:$C$19,MATCH(G289,Settings!$B$8:$B$19,0)),"?"))</f>
        <v/>
      </c>
      <c r="K289" s="35" t="str">
        <f aca="false">IF(A289="","",DATE(YEAR(A289),MONTH(A289),1))</f>
        <v/>
      </c>
      <c r="L289" s="28" t="str">
        <f aca="false">IF(E289="","",IFERROR(INDEX(Settings!$K$8:$K$38,MATCH(E289,Settings!$H$8:$H$38,0))&amp;"",""))</f>
        <v/>
      </c>
    </row>
    <row r="290" customFormat="false" ht="15" hidden="false" customHeight="false" outlineLevel="0" collapsed="false">
      <c r="A290" s="33"/>
      <c r="B290" s="27"/>
      <c r="C290" s="27"/>
      <c r="D290" s="27"/>
      <c r="E290" s="27"/>
      <c r="F290" s="34"/>
      <c r="G290" s="27"/>
      <c r="H290" s="27"/>
      <c r="I290" s="28" t="str">
        <f aca="false">IF(C290="","",IFERROR(INDEX(Settings!$C$8:$C$19,MATCH(C290,Settings!$B$8:$B$19,0)),"?"))</f>
        <v/>
      </c>
      <c r="J290" s="28" t="str">
        <f aca="false">IF(G290="","",IFERROR(INDEX(Settings!$C$8:$C$19,MATCH(G290,Settings!$B$8:$B$19,0)),"?"))</f>
        <v/>
      </c>
      <c r="K290" s="35" t="str">
        <f aca="false">IF(A290="","",DATE(YEAR(A290),MONTH(A290),1))</f>
        <v/>
      </c>
      <c r="L290" s="28" t="str">
        <f aca="false">IF(E290="","",IFERROR(INDEX(Settings!$K$8:$K$38,MATCH(E290,Settings!$H$8:$H$38,0))&amp;"",""))</f>
        <v/>
      </c>
    </row>
    <row r="291" customFormat="false" ht="15" hidden="false" customHeight="false" outlineLevel="0" collapsed="false">
      <c r="A291" s="33"/>
      <c r="B291" s="27"/>
      <c r="C291" s="27"/>
      <c r="D291" s="27"/>
      <c r="E291" s="27"/>
      <c r="F291" s="34"/>
      <c r="G291" s="27"/>
      <c r="H291" s="27"/>
      <c r="I291" s="28" t="str">
        <f aca="false">IF(C291="","",IFERROR(INDEX(Settings!$C$8:$C$19,MATCH(C291,Settings!$B$8:$B$19,0)),"?"))</f>
        <v/>
      </c>
      <c r="J291" s="28" t="str">
        <f aca="false">IF(G291="","",IFERROR(INDEX(Settings!$C$8:$C$19,MATCH(G291,Settings!$B$8:$B$19,0)),"?"))</f>
        <v/>
      </c>
      <c r="K291" s="35" t="str">
        <f aca="false">IF(A291="","",DATE(YEAR(A291),MONTH(A291),1))</f>
        <v/>
      </c>
      <c r="L291" s="28" t="str">
        <f aca="false">IF(E291="","",IFERROR(INDEX(Settings!$K$8:$K$38,MATCH(E291,Settings!$H$8:$H$38,0))&amp;"",""))</f>
        <v/>
      </c>
    </row>
    <row r="292" customFormat="false" ht="15" hidden="false" customHeight="false" outlineLevel="0" collapsed="false">
      <c r="A292" s="33"/>
      <c r="B292" s="27"/>
      <c r="C292" s="27"/>
      <c r="D292" s="27"/>
      <c r="E292" s="27"/>
      <c r="F292" s="34"/>
      <c r="G292" s="27"/>
      <c r="H292" s="27"/>
      <c r="I292" s="28" t="str">
        <f aca="false">IF(C292="","",IFERROR(INDEX(Settings!$C$8:$C$19,MATCH(C292,Settings!$B$8:$B$19,0)),"?"))</f>
        <v/>
      </c>
      <c r="J292" s="28" t="str">
        <f aca="false">IF(G292="","",IFERROR(INDEX(Settings!$C$8:$C$19,MATCH(G292,Settings!$B$8:$B$19,0)),"?"))</f>
        <v/>
      </c>
      <c r="K292" s="35" t="str">
        <f aca="false">IF(A292="","",DATE(YEAR(A292),MONTH(A292),1))</f>
        <v/>
      </c>
      <c r="L292" s="28" t="str">
        <f aca="false">IF(E292="","",IFERROR(INDEX(Settings!$K$8:$K$38,MATCH(E292,Settings!$H$8:$H$38,0))&amp;"",""))</f>
        <v/>
      </c>
    </row>
    <row r="293" customFormat="false" ht="15" hidden="false" customHeight="false" outlineLevel="0" collapsed="false">
      <c r="A293" s="33"/>
      <c r="B293" s="27"/>
      <c r="C293" s="27"/>
      <c r="D293" s="27"/>
      <c r="E293" s="27"/>
      <c r="F293" s="34"/>
      <c r="G293" s="27"/>
      <c r="H293" s="27"/>
      <c r="I293" s="28" t="str">
        <f aca="false">IF(C293="","",IFERROR(INDEX(Settings!$C$8:$C$19,MATCH(C293,Settings!$B$8:$B$19,0)),"?"))</f>
        <v/>
      </c>
      <c r="J293" s="28" t="str">
        <f aca="false">IF(G293="","",IFERROR(INDEX(Settings!$C$8:$C$19,MATCH(G293,Settings!$B$8:$B$19,0)),"?"))</f>
        <v/>
      </c>
      <c r="K293" s="35" t="str">
        <f aca="false">IF(A293="","",DATE(YEAR(A293),MONTH(A293),1))</f>
        <v/>
      </c>
      <c r="L293" s="28" t="str">
        <f aca="false">IF(E293="","",IFERROR(INDEX(Settings!$K$8:$K$38,MATCH(E293,Settings!$H$8:$H$38,0))&amp;"",""))</f>
        <v/>
      </c>
    </row>
    <row r="294" customFormat="false" ht="15" hidden="false" customHeight="false" outlineLevel="0" collapsed="false">
      <c r="A294" s="33"/>
      <c r="B294" s="27"/>
      <c r="C294" s="27"/>
      <c r="D294" s="27"/>
      <c r="E294" s="27"/>
      <c r="F294" s="34"/>
      <c r="G294" s="27"/>
      <c r="H294" s="27"/>
      <c r="I294" s="28" t="str">
        <f aca="false">IF(C294="","",IFERROR(INDEX(Settings!$C$8:$C$19,MATCH(C294,Settings!$B$8:$B$19,0)),"?"))</f>
        <v/>
      </c>
      <c r="J294" s="28" t="str">
        <f aca="false">IF(G294="","",IFERROR(INDEX(Settings!$C$8:$C$19,MATCH(G294,Settings!$B$8:$B$19,0)),"?"))</f>
        <v/>
      </c>
      <c r="K294" s="35" t="str">
        <f aca="false">IF(A294="","",DATE(YEAR(A294),MONTH(A294),1))</f>
        <v/>
      </c>
      <c r="L294" s="28" t="str">
        <f aca="false">IF(E294="","",IFERROR(INDEX(Settings!$K$8:$K$38,MATCH(E294,Settings!$H$8:$H$38,0))&amp;"",""))</f>
        <v/>
      </c>
    </row>
    <row r="295" customFormat="false" ht="15" hidden="false" customHeight="false" outlineLevel="0" collapsed="false">
      <c r="A295" s="33"/>
      <c r="B295" s="27"/>
      <c r="C295" s="27"/>
      <c r="D295" s="27"/>
      <c r="E295" s="27"/>
      <c r="F295" s="34"/>
      <c r="G295" s="27"/>
      <c r="H295" s="27"/>
      <c r="I295" s="28" t="str">
        <f aca="false">IF(C295="","",IFERROR(INDEX(Settings!$C$8:$C$19,MATCH(C295,Settings!$B$8:$B$19,0)),"?"))</f>
        <v/>
      </c>
      <c r="J295" s="28" t="str">
        <f aca="false">IF(G295="","",IFERROR(INDEX(Settings!$C$8:$C$19,MATCH(G295,Settings!$B$8:$B$19,0)),"?"))</f>
        <v/>
      </c>
      <c r="K295" s="35" t="str">
        <f aca="false">IF(A295="","",DATE(YEAR(A295),MONTH(A295),1))</f>
        <v/>
      </c>
      <c r="L295" s="28" t="str">
        <f aca="false">IF(E295="","",IFERROR(INDEX(Settings!$K$8:$K$38,MATCH(E295,Settings!$H$8:$H$38,0))&amp;"",""))</f>
        <v/>
      </c>
    </row>
    <row r="296" customFormat="false" ht="15" hidden="false" customHeight="false" outlineLevel="0" collapsed="false">
      <c r="A296" s="33"/>
      <c r="B296" s="27"/>
      <c r="C296" s="27"/>
      <c r="D296" s="27"/>
      <c r="E296" s="27"/>
      <c r="F296" s="34"/>
      <c r="G296" s="27"/>
      <c r="H296" s="27"/>
      <c r="I296" s="28" t="str">
        <f aca="false">IF(C296="","",IFERROR(INDEX(Settings!$C$8:$C$19,MATCH(C296,Settings!$B$8:$B$19,0)),"?"))</f>
        <v/>
      </c>
      <c r="J296" s="28" t="str">
        <f aca="false">IF(G296="","",IFERROR(INDEX(Settings!$C$8:$C$19,MATCH(G296,Settings!$B$8:$B$19,0)),"?"))</f>
        <v/>
      </c>
      <c r="K296" s="35" t="str">
        <f aca="false">IF(A296="","",DATE(YEAR(A296),MONTH(A296),1))</f>
        <v/>
      </c>
      <c r="L296" s="28" t="str">
        <f aca="false">IF(E296="","",IFERROR(INDEX(Settings!$K$8:$K$38,MATCH(E296,Settings!$H$8:$H$38,0))&amp;"",""))</f>
        <v/>
      </c>
    </row>
    <row r="297" customFormat="false" ht="15" hidden="false" customHeight="false" outlineLevel="0" collapsed="false">
      <c r="A297" s="33"/>
      <c r="B297" s="27"/>
      <c r="C297" s="27"/>
      <c r="D297" s="27"/>
      <c r="E297" s="27"/>
      <c r="F297" s="34"/>
      <c r="G297" s="27"/>
      <c r="H297" s="27"/>
      <c r="I297" s="28" t="str">
        <f aca="false">IF(C297="","",IFERROR(INDEX(Settings!$C$8:$C$19,MATCH(C297,Settings!$B$8:$B$19,0)),"?"))</f>
        <v/>
      </c>
      <c r="J297" s="28" t="str">
        <f aca="false">IF(G297="","",IFERROR(INDEX(Settings!$C$8:$C$19,MATCH(G297,Settings!$B$8:$B$19,0)),"?"))</f>
        <v/>
      </c>
      <c r="K297" s="35" t="str">
        <f aca="false">IF(A297="","",DATE(YEAR(A297),MONTH(A297),1))</f>
        <v/>
      </c>
      <c r="L297" s="28" t="str">
        <f aca="false">IF(E297="","",IFERROR(INDEX(Settings!$K$8:$K$38,MATCH(E297,Settings!$H$8:$H$38,0))&amp;"",""))</f>
        <v/>
      </c>
    </row>
    <row r="298" customFormat="false" ht="15" hidden="false" customHeight="false" outlineLevel="0" collapsed="false">
      <c r="A298" s="33"/>
      <c r="B298" s="27"/>
      <c r="C298" s="27"/>
      <c r="D298" s="27"/>
      <c r="E298" s="27"/>
      <c r="F298" s="34"/>
      <c r="G298" s="27"/>
      <c r="H298" s="27"/>
      <c r="I298" s="28" t="str">
        <f aca="false">IF(C298="","",IFERROR(INDEX(Settings!$C$8:$C$19,MATCH(C298,Settings!$B$8:$B$19,0)),"?"))</f>
        <v/>
      </c>
      <c r="J298" s="28" t="str">
        <f aca="false">IF(G298="","",IFERROR(INDEX(Settings!$C$8:$C$19,MATCH(G298,Settings!$B$8:$B$19,0)),"?"))</f>
        <v/>
      </c>
      <c r="K298" s="35" t="str">
        <f aca="false">IF(A298="","",DATE(YEAR(A298),MONTH(A298),1))</f>
        <v/>
      </c>
      <c r="L298" s="28" t="str">
        <f aca="false">IF(E298="","",IFERROR(INDEX(Settings!$K$8:$K$38,MATCH(E298,Settings!$H$8:$H$38,0))&amp;"",""))</f>
        <v/>
      </c>
    </row>
    <row r="299" customFormat="false" ht="15" hidden="false" customHeight="false" outlineLevel="0" collapsed="false">
      <c r="A299" s="33"/>
      <c r="B299" s="27"/>
      <c r="C299" s="27"/>
      <c r="D299" s="27"/>
      <c r="E299" s="27"/>
      <c r="F299" s="34"/>
      <c r="G299" s="27"/>
      <c r="H299" s="27"/>
      <c r="I299" s="28" t="str">
        <f aca="false">IF(C299="","",IFERROR(INDEX(Settings!$C$8:$C$19,MATCH(C299,Settings!$B$8:$B$19,0)),"?"))</f>
        <v/>
      </c>
      <c r="J299" s="28" t="str">
        <f aca="false">IF(G299="","",IFERROR(INDEX(Settings!$C$8:$C$19,MATCH(G299,Settings!$B$8:$B$19,0)),"?"))</f>
        <v/>
      </c>
      <c r="K299" s="35" t="str">
        <f aca="false">IF(A299="","",DATE(YEAR(A299),MONTH(A299),1))</f>
        <v/>
      </c>
      <c r="L299" s="28" t="str">
        <f aca="false">IF(E299="","",IFERROR(INDEX(Settings!$K$8:$K$38,MATCH(E299,Settings!$H$8:$H$38,0))&amp;"",""))</f>
        <v/>
      </c>
    </row>
    <row r="300" customFormat="false" ht="15" hidden="false" customHeight="false" outlineLevel="0" collapsed="false">
      <c r="A300" s="33"/>
      <c r="B300" s="27"/>
      <c r="C300" s="27"/>
      <c r="D300" s="27"/>
      <c r="E300" s="27"/>
      <c r="F300" s="34"/>
      <c r="G300" s="27"/>
      <c r="H300" s="27"/>
      <c r="I300" s="28" t="str">
        <f aca="false">IF(C300="","",IFERROR(INDEX(Settings!$C$8:$C$19,MATCH(C300,Settings!$B$8:$B$19,0)),"?"))</f>
        <v/>
      </c>
      <c r="J300" s="28" t="str">
        <f aca="false">IF(G300="","",IFERROR(INDEX(Settings!$C$8:$C$19,MATCH(G300,Settings!$B$8:$B$19,0)),"?"))</f>
        <v/>
      </c>
      <c r="K300" s="35" t="str">
        <f aca="false">IF(A300="","",DATE(YEAR(A300),MONTH(A300),1))</f>
        <v/>
      </c>
      <c r="L300" s="28" t="str">
        <f aca="false">IF(E300="","",IFERROR(INDEX(Settings!$K$8:$K$38,MATCH(E300,Settings!$H$8:$H$38,0))&amp;"",""))</f>
        <v/>
      </c>
    </row>
    <row r="301" customFormat="false" ht="15" hidden="false" customHeight="false" outlineLevel="0" collapsed="false">
      <c r="A301" s="33"/>
      <c r="B301" s="27"/>
      <c r="C301" s="27"/>
      <c r="D301" s="27"/>
      <c r="E301" s="27"/>
      <c r="F301" s="34"/>
      <c r="G301" s="27"/>
      <c r="H301" s="27"/>
      <c r="I301" s="28" t="str">
        <f aca="false">IF(C301="","",IFERROR(INDEX(Settings!$C$8:$C$19,MATCH(C301,Settings!$B$8:$B$19,0)),"?"))</f>
        <v/>
      </c>
      <c r="J301" s="28" t="str">
        <f aca="false">IF(G301="","",IFERROR(INDEX(Settings!$C$8:$C$19,MATCH(G301,Settings!$B$8:$B$19,0)),"?"))</f>
        <v/>
      </c>
      <c r="K301" s="35" t="str">
        <f aca="false">IF(A301="","",DATE(YEAR(A301),MONTH(A301),1))</f>
        <v/>
      </c>
      <c r="L301" s="28" t="str">
        <f aca="false">IF(E301="","",IFERROR(INDEX(Settings!$K$8:$K$38,MATCH(E301,Settings!$H$8:$H$38,0))&amp;"",""))</f>
        <v/>
      </c>
    </row>
    <row r="302" customFormat="false" ht="15" hidden="false" customHeight="false" outlineLevel="0" collapsed="false">
      <c r="A302" s="33"/>
      <c r="B302" s="27"/>
      <c r="C302" s="27"/>
      <c r="D302" s="27"/>
      <c r="E302" s="27"/>
      <c r="F302" s="34"/>
      <c r="G302" s="27"/>
      <c r="H302" s="27"/>
      <c r="I302" s="28" t="str">
        <f aca="false">IF(C302="","",IFERROR(INDEX(Settings!$C$8:$C$19,MATCH(C302,Settings!$B$8:$B$19,0)),"?"))</f>
        <v/>
      </c>
      <c r="J302" s="28" t="str">
        <f aca="false">IF(G302="","",IFERROR(INDEX(Settings!$C$8:$C$19,MATCH(G302,Settings!$B$8:$B$19,0)),"?"))</f>
        <v/>
      </c>
      <c r="K302" s="35" t="str">
        <f aca="false">IF(A302="","",DATE(YEAR(A302),MONTH(A302),1))</f>
        <v/>
      </c>
      <c r="L302" s="28" t="str">
        <f aca="false">IF(E302="","",IFERROR(INDEX(Settings!$K$8:$K$38,MATCH(E302,Settings!$H$8:$H$38,0))&amp;"",""))</f>
        <v/>
      </c>
    </row>
    <row r="303" customFormat="false" ht="15" hidden="false" customHeight="false" outlineLevel="0" collapsed="false">
      <c r="A303" s="33"/>
      <c r="B303" s="27"/>
      <c r="C303" s="27"/>
      <c r="D303" s="27"/>
      <c r="E303" s="27"/>
      <c r="F303" s="34"/>
      <c r="G303" s="27"/>
      <c r="H303" s="27"/>
      <c r="I303" s="28" t="str">
        <f aca="false">IF(C303="","",IFERROR(INDEX(Settings!$C$8:$C$19,MATCH(C303,Settings!$B$8:$B$19,0)),"?"))</f>
        <v/>
      </c>
      <c r="J303" s="28" t="str">
        <f aca="false">IF(G303="","",IFERROR(INDEX(Settings!$C$8:$C$19,MATCH(G303,Settings!$B$8:$B$19,0)),"?"))</f>
        <v/>
      </c>
      <c r="K303" s="35" t="str">
        <f aca="false">IF(A303="","",DATE(YEAR(A303),MONTH(A303),1))</f>
        <v/>
      </c>
      <c r="L303" s="28" t="str">
        <f aca="false">IF(E303="","",IFERROR(INDEX(Settings!$K$8:$K$38,MATCH(E303,Settings!$H$8:$H$38,0))&amp;"",""))</f>
        <v/>
      </c>
    </row>
    <row r="304" customFormat="false" ht="15" hidden="false" customHeight="false" outlineLevel="0" collapsed="false">
      <c r="A304" s="33"/>
      <c r="B304" s="27"/>
      <c r="C304" s="27"/>
      <c r="D304" s="27"/>
      <c r="E304" s="27"/>
      <c r="F304" s="34"/>
      <c r="G304" s="27"/>
      <c r="H304" s="27"/>
      <c r="I304" s="28" t="str">
        <f aca="false">IF(C304="","",IFERROR(INDEX(Settings!$C$8:$C$19,MATCH(C304,Settings!$B$8:$B$19,0)),"?"))</f>
        <v/>
      </c>
      <c r="J304" s="28" t="str">
        <f aca="false">IF(G304="","",IFERROR(INDEX(Settings!$C$8:$C$19,MATCH(G304,Settings!$B$8:$B$19,0)),"?"))</f>
        <v/>
      </c>
      <c r="K304" s="35" t="str">
        <f aca="false">IF(A304="","",DATE(YEAR(A304),MONTH(A304),1))</f>
        <v/>
      </c>
      <c r="L304" s="28" t="str">
        <f aca="false">IF(E304="","",IFERROR(INDEX(Settings!$K$8:$K$38,MATCH(E304,Settings!$H$8:$H$38,0))&amp;"",""))</f>
        <v/>
      </c>
    </row>
    <row r="305" customFormat="false" ht="15" hidden="false" customHeight="false" outlineLevel="0" collapsed="false">
      <c r="A305" s="33"/>
      <c r="B305" s="27"/>
      <c r="C305" s="27"/>
      <c r="D305" s="27"/>
      <c r="E305" s="27"/>
      <c r="F305" s="34"/>
      <c r="G305" s="27"/>
      <c r="H305" s="27"/>
      <c r="I305" s="28" t="str">
        <f aca="false">IF(C305="","",IFERROR(INDEX(Settings!$C$8:$C$19,MATCH(C305,Settings!$B$8:$B$19,0)),"?"))</f>
        <v/>
      </c>
      <c r="J305" s="28" t="str">
        <f aca="false">IF(G305="","",IFERROR(INDEX(Settings!$C$8:$C$19,MATCH(G305,Settings!$B$8:$B$19,0)),"?"))</f>
        <v/>
      </c>
      <c r="K305" s="35" t="str">
        <f aca="false">IF(A305="","",DATE(YEAR(A305),MONTH(A305),1))</f>
        <v/>
      </c>
      <c r="L305" s="28" t="str">
        <f aca="false">IF(E305="","",IFERROR(INDEX(Settings!$K$8:$K$38,MATCH(E305,Settings!$H$8:$H$38,0))&amp;"",""))</f>
        <v/>
      </c>
    </row>
    <row r="306" customFormat="false" ht="15" hidden="false" customHeight="false" outlineLevel="0" collapsed="false">
      <c r="A306" s="33"/>
      <c r="B306" s="27"/>
      <c r="C306" s="27"/>
      <c r="D306" s="27"/>
      <c r="E306" s="27"/>
      <c r="F306" s="34"/>
      <c r="G306" s="27"/>
      <c r="H306" s="27"/>
      <c r="I306" s="28" t="str">
        <f aca="false">IF(C306="","",IFERROR(INDEX(Settings!$C$8:$C$19,MATCH(C306,Settings!$B$8:$B$19,0)),"?"))</f>
        <v/>
      </c>
      <c r="J306" s="28" t="str">
        <f aca="false">IF(G306="","",IFERROR(INDEX(Settings!$C$8:$C$19,MATCH(G306,Settings!$B$8:$B$19,0)),"?"))</f>
        <v/>
      </c>
      <c r="K306" s="35" t="str">
        <f aca="false">IF(A306="","",DATE(YEAR(A306),MONTH(A306),1))</f>
        <v/>
      </c>
      <c r="L306" s="28" t="str">
        <f aca="false">IF(E306="","",IFERROR(INDEX(Settings!$K$8:$K$38,MATCH(E306,Settings!$H$8:$H$38,0))&amp;"",""))</f>
        <v/>
      </c>
    </row>
    <row r="307" customFormat="false" ht="15" hidden="false" customHeight="false" outlineLevel="0" collapsed="false">
      <c r="A307" s="33"/>
      <c r="B307" s="27"/>
      <c r="C307" s="27"/>
      <c r="D307" s="27"/>
      <c r="E307" s="27"/>
      <c r="F307" s="34"/>
      <c r="G307" s="27"/>
      <c r="H307" s="27"/>
      <c r="I307" s="28" t="str">
        <f aca="false">IF(C307="","",IFERROR(INDEX(Settings!$C$8:$C$19,MATCH(C307,Settings!$B$8:$B$19,0)),"?"))</f>
        <v/>
      </c>
      <c r="J307" s="28" t="str">
        <f aca="false">IF(G307="","",IFERROR(INDEX(Settings!$C$8:$C$19,MATCH(G307,Settings!$B$8:$B$19,0)),"?"))</f>
        <v/>
      </c>
      <c r="K307" s="35" t="str">
        <f aca="false">IF(A307="","",DATE(YEAR(A307),MONTH(A307),1))</f>
        <v/>
      </c>
      <c r="L307" s="28" t="str">
        <f aca="false">IF(E307="","",IFERROR(INDEX(Settings!$K$8:$K$38,MATCH(E307,Settings!$H$8:$H$38,0))&amp;"",""))</f>
        <v/>
      </c>
    </row>
    <row r="308" customFormat="false" ht="15" hidden="false" customHeight="false" outlineLevel="0" collapsed="false">
      <c r="A308" s="33"/>
      <c r="B308" s="27"/>
      <c r="C308" s="27"/>
      <c r="D308" s="27"/>
      <c r="E308" s="27"/>
      <c r="F308" s="34"/>
      <c r="G308" s="27"/>
      <c r="H308" s="27"/>
      <c r="I308" s="28" t="str">
        <f aca="false">IF(C308="","",IFERROR(INDEX(Settings!$C$8:$C$19,MATCH(C308,Settings!$B$8:$B$19,0)),"?"))</f>
        <v/>
      </c>
      <c r="J308" s="28" t="str">
        <f aca="false">IF(G308="","",IFERROR(INDEX(Settings!$C$8:$C$19,MATCH(G308,Settings!$B$8:$B$19,0)),"?"))</f>
        <v/>
      </c>
      <c r="K308" s="35" t="str">
        <f aca="false">IF(A308="","",DATE(YEAR(A308),MONTH(A308),1))</f>
        <v/>
      </c>
      <c r="L308" s="28" t="str">
        <f aca="false">IF(E308="","",IFERROR(INDEX(Settings!$K$8:$K$38,MATCH(E308,Settings!$H$8:$H$38,0))&amp;"",""))</f>
        <v/>
      </c>
    </row>
    <row r="309" customFormat="false" ht="15" hidden="false" customHeight="false" outlineLevel="0" collapsed="false">
      <c r="A309" s="33"/>
      <c r="B309" s="27"/>
      <c r="C309" s="27"/>
      <c r="D309" s="27"/>
      <c r="E309" s="27"/>
      <c r="F309" s="34"/>
      <c r="G309" s="27"/>
      <c r="H309" s="27"/>
      <c r="I309" s="28" t="str">
        <f aca="false">IF(C309="","",IFERROR(INDEX(Settings!$C$8:$C$19,MATCH(C309,Settings!$B$8:$B$19,0)),"?"))</f>
        <v/>
      </c>
      <c r="J309" s="28" t="str">
        <f aca="false">IF(G309="","",IFERROR(INDEX(Settings!$C$8:$C$19,MATCH(G309,Settings!$B$8:$B$19,0)),"?"))</f>
        <v/>
      </c>
      <c r="K309" s="35" t="str">
        <f aca="false">IF(A309="","",DATE(YEAR(A309),MONTH(A309),1))</f>
        <v/>
      </c>
      <c r="L309" s="28" t="str">
        <f aca="false">IF(E309="","",IFERROR(INDEX(Settings!$K$8:$K$38,MATCH(E309,Settings!$H$8:$H$38,0))&amp;"",""))</f>
        <v/>
      </c>
    </row>
    <row r="310" customFormat="false" ht="15" hidden="false" customHeight="false" outlineLevel="0" collapsed="false">
      <c r="A310" s="33"/>
      <c r="B310" s="27"/>
      <c r="C310" s="27"/>
      <c r="D310" s="27"/>
      <c r="E310" s="27"/>
      <c r="F310" s="34"/>
      <c r="G310" s="27"/>
      <c r="H310" s="27"/>
      <c r="I310" s="28" t="str">
        <f aca="false">IF(C310="","",IFERROR(INDEX(Settings!$C$8:$C$19,MATCH(C310,Settings!$B$8:$B$19,0)),"?"))</f>
        <v/>
      </c>
      <c r="J310" s="28" t="str">
        <f aca="false">IF(G310="","",IFERROR(INDEX(Settings!$C$8:$C$19,MATCH(G310,Settings!$B$8:$B$19,0)),"?"))</f>
        <v/>
      </c>
      <c r="K310" s="35" t="str">
        <f aca="false">IF(A310="","",DATE(YEAR(A310),MONTH(A310),1))</f>
        <v/>
      </c>
      <c r="L310" s="28" t="str">
        <f aca="false">IF(E310="","",IFERROR(INDEX(Settings!$K$8:$K$38,MATCH(E310,Settings!$H$8:$H$38,0))&amp;"",""))</f>
        <v/>
      </c>
    </row>
    <row r="311" customFormat="false" ht="15" hidden="false" customHeight="false" outlineLevel="0" collapsed="false">
      <c r="A311" s="33"/>
      <c r="B311" s="27"/>
      <c r="C311" s="27"/>
      <c r="D311" s="27"/>
      <c r="E311" s="27"/>
      <c r="F311" s="34"/>
      <c r="G311" s="27"/>
      <c r="H311" s="27"/>
      <c r="I311" s="28" t="str">
        <f aca="false">IF(C311="","",IFERROR(INDEX(Settings!$C$8:$C$19,MATCH(C311,Settings!$B$8:$B$19,0)),"?"))</f>
        <v/>
      </c>
      <c r="J311" s="28" t="str">
        <f aca="false">IF(G311="","",IFERROR(INDEX(Settings!$C$8:$C$19,MATCH(G311,Settings!$B$8:$B$19,0)),"?"))</f>
        <v/>
      </c>
      <c r="K311" s="35" t="str">
        <f aca="false">IF(A311="","",DATE(YEAR(A311),MONTH(A311),1))</f>
        <v/>
      </c>
      <c r="L311" s="28" t="str">
        <f aca="false">IF(E311="","",IFERROR(INDEX(Settings!$K$8:$K$38,MATCH(E311,Settings!$H$8:$H$38,0))&amp;"",""))</f>
        <v/>
      </c>
    </row>
    <row r="312" customFormat="false" ht="15" hidden="false" customHeight="false" outlineLevel="0" collapsed="false">
      <c r="A312" s="33"/>
      <c r="B312" s="27"/>
      <c r="C312" s="27"/>
      <c r="D312" s="27"/>
      <c r="E312" s="27"/>
      <c r="F312" s="34"/>
      <c r="G312" s="27"/>
      <c r="H312" s="27"/>
      <c r="I312" s="28" t="str">
        <f aca="false">IF(C312="","",IFERROR(INDEX(Settings!$C$8:$C$19,MATCH(C312,Settings!$B$8:$B$19,0)),"?"))</f>
        <v/>
      </c>
      <c r="J312" s="28" t="str">
        <f aca="false">IF(G312="","",IFERROR(INDEX(Settings!$C$8:$C$19,MATCH(G312,Settings!$B$8:$B$19,0)),"?"))</f>
        <v/>
      </c>
      <c r="K312" s="35" t="str">
        <f aca="false">IF(A312="","",DATE(YEAR(A312),MONTH(A312),1))</f>
        <v/>
      </c>
      <c r="L312" s="28" t="str">
        <f aca="false">IF(E312="","",IFERROR(INDEX(Settings!$K$8:$K$38,MATCH(E312,Settings!$H$8:$H$38,0))&amp;"",""))</f>
        <v/>
      </c>
    </row>
    <row r="313" customFormat="false" ht="15" hidden="false" customHeight="false" outlineLevel="0" collapsed="false">
      <c r="A313" s="33"/>
      <c r="B313" s="27"/>
      <c r="C313" s="27"/>
      <c r="D313" s="27"/>
      <c r="E313" s="27"/>
      <c r="F313" s="34"/>
      <c r="G313" s="27"/>
      <c r="H313" s="27"/>
      <c r="I313" s="28" t="str">
        <f aca="false">IF(C313="","",IFERROR(INDEX(Settings!$C$8:$C$19,MATCH(C313,Settings!$B$8:$B$19,0)),"?"))</f>
        <v/>
      </c>
      <c r="J313" s="28" t="str">
        <f aca="false">IF(G313="","",IFERROR(INDEX(Settings!$C$8:$C$19,MATCH(G313,Settings!$B$8:$B$19,0)),"?"))</f>
        <v/>
      </c>
      <c r="K313" s="35" t="str">
        <f aca="false">IF(A313="","",DATE(YEAR(A313),MONTH(A313),1))</f>
        <v/>
      </c>
      <c r="L313" s="28" t="str">
        <f aca="false">IF(E313="","",IFERROR(INDEX(Settings!$K$8:$K$38,MATCH(E313,Settings!$H$8:$H$38,0))&amp;"",""))</f>
        <v/>
      </c>
    </row>
    <row r="314" customFormat="false" ht="15" hidden="false" customHeight="false" outlineLevel="0" collapsed="false">
      <c r="A314" s="33"/>
      <c r="B314" s="27"/>
      <c r="C314" s="27"/>
      <c r="D314" s="27"/>
      <c r="E314" s="27"/>
      <c r="F314" s="34"/>
      <c r="G314" s="27"/>
      <c r="H314" s="27"/>
      <c r="I314" s="28" t="str">
        <f aca="false">IF(C314="","",IFERROR(INDEX(Settings!$C$8:$C$19,MATCH(C314,Settings!$B$8:$B$19,0)),"?"))</f>
        <v/>
      </c>
      <c r="J314" s="28" t="str">
        <f aca="false">IF(G314="","",IFERROR(INDEX(Settings!$C$8:$C$19,MATCH(G314,Settings!$B$8:$B$19,0)),"?"))</f>
        <v/>
      </c>
      <c r="K314" s="35" t="str">
        <f aca="false">IF(A314="","",DATE(YEAR(A314),MONTH(A314),1))</f>
        <v/>
      </c>
      <c r="L314" s="28" t="str">
        <f aca="false">IF(E314="","",IFERROR(INDEX(Settings!$K$8:$K$38,MATCH(E314,Settings!$H$8:$H$38,0))&amp;"",""))</f>
        <v/>
      </c>
    </row>
    <row r="315" customFormat="false" ht="15" hidden="false" customHeight="false" outlineLevel="0" collapsed="false">
      <c r="A315" s="33"/>
      <c r="B315" s="27"/>
      <c r="C315" s="27"/>
      <c r="D315" s="27"/>
      <c r="E315" s="27"/>
      <c r="F315" s="34"/>
      <c r="G315" s="27"/>
      <c r="H315" s="27"/>
      <c r="I315" s="28" t="str">
        <f aca="false">IF(C315="","",IFERROR(INDEX(Settings!$C$8:$C$19,MATCH(C315,Settings!$B$8:$B$19,0)),"?"))</f>
        <v/>
      </c>
      <c r="J315" s="28" t="str">
        <f aca="false">IF(G315="","",IFERROR(INDEX(Settings!$C$8:$C$19,MATCH(G315,Settings!$B$8:$B$19,0)),"?"))</f>
        <v/>
      </c>
      <c r="K315" s="35" t="str">
        <f aca="false">IF(A315="","",DATE(YEAR(A315),MONTH(A315),1))</f>
        <v/>
      </c>
      <c r="L315" s="28" t="str">
        <f aca="false">IF(E315="","",IFERROR(INDEX(Settings!$K$8:$K$38,MATCH(E315,Settings!$H$8:$H$38,0))&amp;"",""))</f>
        <v/>
      </c>
    </row>
    <row r="316" customFormat="false" ht="15" hidden="false" customHeight="false" outlineLevel="0" collapsed="false">
      <c r="A316" s="33"/>
      <c r="B316" s="27"/>
      <c r="C316" s="27"/>
      <c r="D316" s="27"/>
      <c r="E316" s="27"/>
      <c r="F316" s="34"/>
      <c r="G316" s="27"/>
      <c r="H316" s="27"/>
      <c r="I316" s="28" t="str">
        <f aca="false">IF(C316="","",IFERROR(INDEX(Settings!$C$8:$C$19,MATCH(C316,Settings!$B$8:$B$19,0)),"?"))</f>
        <v/>
      </c>
      <c r="J316" s="28" t="str">
        <f aca="false">IF(G316="","",IFERROR(INDEX(Settings!$C$8:$C$19,MATCH(G316,Settings!$B$8:$B$19,0)),"?"))</f>
        <v/>
      </c>
      <c r="K316" s="35" t="str">
        <f aca="false">IF(A316="","",DATE(YEAR(A316),MONTH(A316),1))</f>
        <v/>
      </c>
      <c r="L316" s="28" t="str">
        <f aca="false">IF(E316="","",IFERROR(INDEX(Settings!$K$8:$K$38,MATCH(E316,Settings!$H$8:$H$38,0))&amp;"",""))</f>
        <v/>
      </c>
    </row>
    <row r="317" customFormat="false" ht="15" hidden="false" customHeight="false" outlineLevel="0" collapsed="false">
      <c r="A317" s="33"/>
      <c r="B317" s="27"/>
      <c r="C317" s="27"/>
      <c r="D317" s="27"/>
      <c r="E317" s="27"/>
      <c r="F317" s="34"/>
      <c r="G317" s="27"/>
      <c r="H317" s="27"/>
      <c r="I317" s="28" t="str">
        <f aca="false">IF(C317="","",IFERROR(INDEX(Settings!$C$8:$C$19,MATCH(C317,Settings!$B$8:$B$19,0)),"?"))</f>
        <v/>
      </c>
      <c r="J317" s="28" t="str">
        <f aca="false">IF(G317="","",IFERROR(INDEX(Settings!$C$8:$C$19,MATCH(G317,Settings!$B$8:$B$19,0)),"?"))</f>
        <v/>
      </c>
      <c r="K317" s="35" t="str">
        <f aca="false">IF(A317="","",DATE(YEAR(A317),MONTH(A317),1))</f>
        <v/>
      </c>
      <c r="L317" s="28" t="str">
        <f aca="false">IF(E317="","",IFERROR(INDEX(Settings!$K$8:$K$38,MATCH(E317,Settings!$H$8:$H$38,0))&amp;"",""))</f>
        <v/>
      </c>
    </row>
    <row r="318" customFormat="false" ht="15" hidden="false" customHeight="false" outlineLevel="0" collapsed="false">
      <c r="A318" s="33"/>
      <c r="B318" s="27"/>
      <c r="C318" s="27"/>
      <c r="D318" s="27"/>
      <c r="E318" s="27"/>
      <c r="F318" s="34"/>
      <c r="G318" s="27"/>
      <c r="H318" s="27"/>
      <c r="I318" s="28" t="str">
        <f aca="false">IF(C318="","",IFERROR(INDEX(Settings!$C$8:$C$19,MATCH(C318,Settings!$B$8:$B$19,0)),"?"))</f>
        <v/>
      </c>
      <c r="J318" s="28" t="str">
        <f aca="false">IF(G318="","",IFERROR(INDEX(Settings!$C$8:$C$19,MATCH(G318,Settings!$B$8:$B$19,0)),"?"))</f>
        <v/>
      </c>
      <c r="K318" s="35" t="str">
        <f aca="false">IF(A318="","",DATE(YEAR(A318),MONTH(A318),1))</f>
        <v/>
      </c>
      <c r="L318" s="28" t="str">
        <f aca="false">IF(E318="","",IFERROR(INDEX(Settings!$K$8:$K$38,MATCH(E318,Settings!$H$8:$H$38,0))&amp;"",""))</f>
        <v/>
      </c>
    </row>
    <row r="319" customFormat="false" ht="15" hidden="false" customHeight="false" outlineLevel="0" collapsed="false">
      <c r="A319" s="33"/>
      <c r="B319" s="27"/>
      <c r="C319" s="27"/>
      <c r="D319" s="27"/>
      <c r="E319" s="27"/>
      <c r="F319" s="34"/>
      <c r="G319" s="27"/>
      <c r="H319" s="27"/>
      <c r="I319" s="28" t="str">
        <f aca="false">IF(C319="","",IFERROR(INDEX(Settings!$C$8:$C$19,MATCH(C319,Settings!$B$8:$B$19,0)),"?"))</f>
        <v/>
      </c>
      <c r="J319" s="28" t="str">
        <f aca="false">IF(G319="","",IFERROR(INDEX(Settings!$C$8:$C$19,MATCH(G319,Settings!$B$8:$B$19,0)),"?"))</f>
        <v/>
      </c>
      <c r="K319" s="35" t="str">
        <f aca="false">IF(A319="","",DATE(YEAR(A319),MONTH(A319),1))</f>
        <v/>
      </c>
      <c r="L319" s="28" t="str">
        <f aca="false">IF(E319="","",IFERROR(INDEX(Settings!$K$8:$K$38,MATCH(E319,Settings!$H$8:$H$38,0))&amp;"",""))</f>
        <v/>
      </c>
    </row>
    <row r="320" customFormat="false" ht="15" hidden="false" customHeight="false" outlineLevel="0" collapsed="false">
      <c r="A320" s="33"/>
      <c r="B320" s="27"/>
      <c r="C320" s="27"/>
      <c r="D320" s="27"/>
      <c r="E320" s="27"/>
      <c r="F320" s="34"/>
      <c r="G320" s="27"/>
      <c r="H320" s="27"/>
      <c r="I320" s="28" t="str">
        <f aca="false">IF(C320="","",IFERROR(INDEX(Settings!$C$8:$C$19,MATCH(C320,Settings!$B$8:$B$19,0)),"?"))</f>
        <v/>
      </c>
      <c r="J320" s="28" t="str">
        <f aca="false">IF(G320="","",IFERROR(INDEX(Settings!$C$8:$C$19,MATCH(G320,Settings!$B$8:$B$19,0)),"?"))</f>
        <v/>
      </c>
      <c r="K320" s="35" t="str">
        <f aca="false">IF(A320="","",DATE(YEAR(A320),MONTH(A320),1))</f>
        <v/>
      </c>
      <c r="L320" s="28" t="str">
        <f aca="false">IF(E320="","",IFERROR(INDEX(Settings!$K$8:$K$38,MATCH(E320,Settings!$H$8:$H$38,0))&amp;"",""))</f>
        <v/>
      </c>
    </row>
    <row r="321" customFormat="false" ht="15" hidden="false" customHeight="false" outlineLevel="0" collapsed="false">
      <c r="A321" s="33"/>
      <c r="B321" s="27"/>
      <c r="C321" s="27"/>
      <c r="D321" s="27"/>
      <c r="E321" s="27"/>
      <c r="F321" s="34"/>
      <c r="G321" s="27"/>
      <c r="H321" s="27"/>
      <c r="I321" s="28" t="str">
        <f aca="false">IF(C321="","",IFERROR(INDEX(Settings!$C$8:$C$19,MATCH(C321,Settings!$B$8:$B$19,0)),"?"))</f>
        <v/>
      </c>
      <c r="J321" s="28" t="str">
        <f aca="false">IF(G321="","",IFERROR(INDEX(Settings!$C$8:$C$19,MATCH(G321,Settings!$B$8:$B$19,0)),"?"))</f>
        <v/>
      </c>
      <c r="K321" s="35" t="str">
        <f aca="false">IF(A321="","",DATE(YEAR(A321),MONTH(A321),1))</f>
        <v/>
      </c>
      <c r="L321" s="28" t="str">
        <f aca="false">IF(E321="","",IFERROR(INDEX(Settings!$K$8:$K$38,MATCH(E321,Settings!$H$8:$H$38,0))&amp;"",""))</f>
        <v/>
      </c>
    </row>
    <row r="322" customFormat="false" ht="15" hidden="false" customHeight="false" outlineLevel="0" collapsed="false">
      <c r="A322" s="33"/>
      <c r="B322" s="27"/>
      <c r="C322" s="27"/>
      <c r="D322" s="27"/>
      <c r="E322" s="27"/>
      <c r="F322" s="34"/>
      <c r="G322" s="27"/>
      <c r="H322" s="27"/>
      <c r="I322" s="28" t="str">
        <f aca="false">IF(C322="","",IFERROR(INDEX(Settings!$C$8:$C$19,MATCH(C322,Settings!$B$8:$B$19,0)),"?"))</f>
        <v/>
      </c>
      <c r="J322" s="28" t="str">
        <f aca="false">IF(G322="","",IFERROR(INDEX(Settings!$C$8:$C$19,MATCH(G322,Settings!$B$8:$B$19,0)),"?"))</f>
        <v/>
      </c>
      <c r="K322" s="35" t="str">
        <f aca="false">IF(A322="","",DATE(YEAR(A322),MONTH(A322),1))</f>
        <v/>
      </c>
      <c r="L322" s="28" t="str">
        <f aca="false">IF(E322="","",IFERROR(INDEX(Settings!$K$8:$K$38,MATCH(E322,Settings!$H$8:$H$38,0))&amp;"",""))</f>
        <v/>
      </c>
    </row>
    <row r="323" customFormat="false" ht="15" hidden="false" customHeight="false" outlineLevel="0" collapsed="false">
      <c r="A323" s="33"/>
      <c r="B323" s="27"/>
      <c r="C323" s="27"/>
      <c r="D323" s="27"/>
      <c r="E323" s="27"/>
      <c r="F323" s="34"/>
      <c r="G323" s="27"/>
      <c r="H323" s="27"/>
      <c r="I323" s="28" t="str">
        <f aca="false">IF(C323="","",IFERROR(INDEX(Settings!$C$8:$C$19,MATCH(C323,Settings!$B$8:$B$19,0)),"?"))</f>
        <v/>
      </c>
      <c r="J323" s="28" t="str">
        <f aca="false">IF(G323="","",IFERROR(INDEX(Settings!$C$8:$C$19,MATCH(G323,Settings!$B$8:$B$19,0)),"?"))</f>
        <v/>
      </c>
      <c r="K323" s="35" t="str">
        <f aca="false">IF(A323="","",DATE(YEAR(A323),MONTH(A323),1))</f>
        <v/>
      </c>
      <c r="L323" s="28" t="str">
        <f aca="false">IF(E323="","",IFERROR(INDEX(Settings!$K$8:$K$38,MATCH(E323,Settings!$H$8:$H$38,0))&amp;"",""))</f>
        <v/>
      </c>
    </row>
    <row r="324" customFormat="false" ht="15" hidden="false" customHeight="false" outlineLevel="0" collapsed="false">
      <c r="A324" s="33"/>
      <c r="B324" s="27"/>
      <c r="C324" s="27"/>
      <c r="D324" s="27"/>
      <c r="E324" s="27"/>
      <c r="F324" s="34"/>
      <c r="G324" s="27"/>
      <c r="H324" s="27"/>
      <c r="I324" s="28" t="str">
        <f aca="false">IF(C324="","",IFERROR(INDEX(Settings!$C$8:$C$19,MATCH(C324,Settings!$B$8:$B$19,0)),"?"))</f>
        <v/>
      </c>
      <c r="J324" s="28" t="str">
        <f aca="false">IF(G324="","",IFERROR(INDEX(Settings!$C$8:$C$19,MATCH(G324,Settings!$B$8:$B$19,0)),"?"))</f>
        <v/>
      </c>
      <c r="K324" s="35" t="str">
        <f aca="false">IF(A324="","",DATE(YEAR(A324),MONTH(A324),1))</f>
        <v/>
      </c>
      <c r="L324" s="28" t="str">
        <f aca="false">IF(E324="","",IFERROR(INDEX(Settings!$K$8:$K$38,MATCH(E324,Settings!$H$8:$H$38,0))&amp;"",""))</f>
        <v/>
      </c>
    </row>
    <row r="325" customFormat="false" ht="15" hidden="false" customHeight="false" outlineLevel="0" collapsed="false">
      <c r="A325" s="33"/>
      <c r="B325" s="27"/>
      <c r="C325" s="27"/>
      <c r="D325" s="27"/>
      <c r="E325" s="27"/>
      <c r="F325" s="34"/>
      <c r="G325" s="27"/>
      <c r="H325" s="27"/>
      <c r="I325" s="28" t="str">
        <f aca="false">IF(C325="","",IFERROR(INDEX(Settings!$C$8:$C$19,MATCH(C325,Settings!$B$8:$B$19,0)),"?"))</f>
        <v/>
      </c>
      <c r="J325" s="28" t="str">
        <f aca="false">IF(G325="","",IFERROR(INDEX(Settings!$C$8:$C$19,MATCH(G325,Settings!$B$8:$B$19,0)),"?"))</f>
        <v/>
      </c>
      <c r="K325" s="35" t="str">
        <f aca="false">IF(A325="","",DATE(YEAR(A325),MONTH(A325),1))</f>
        <v/>
      </c>
      <c r="L325" s="28" t="str">
        <f aca="false">IF(E325="","",IFERROR(INDEX(Settings!$K$8:$K$38,MATCH(E325,Settings!$H$8:$H$38,0))&amp;"",""))</f>
        <v/>
      </c>
    </row>
    <row r="326" customFormat="false" ht="15" hidden="false" customHeight="false" outlineLevel="0" collapsed="false">
      <c r="A326" s="33"/>
      <c r="B326" s="27"/>
      <c r="C326" s="27"/>
      <c r="D326" s="27"/>
      <c r="E326" s="27"/>
      <c r="F326" s="34"/>
      <c r="G326" s="27"/>
      <c r="H326" s="27"/>
      <c r="I326" s="28" t="str">
        <f aca="false">IF(C326="","",IFERROR(INDEX(Settings!$C$8:$C$19,MATCH(C326,Settings!$B$8:$B$19,0)),"?"))</f>
        <v/>
      </c>
      <c r="J326" s="28" t="str">
        <f aca="false">IF(G326="","",IFERROR(INDEX(Settings!$C$8:$C$19,MATCH(G326,Settings!$B$8:$B$19,0)),"?"))</f>
        <v/>
      </c>
      <c r="K326" s="35" t="str">
        <f aca="false">IF(A326="","",DATE(YEAR(A326),MONTH(A326),1))</f>
        <v/>
      </c>
      <c r="L326" s="28" t="str">
        <f aca="false">IF(E326="","",IFERROR(INDEX(Settings!$K$8:$K$38,MATCH(E326,Settings!$H$8:$H$38,0))&amp;"",""))</f>
        <v/>
      </c>
    </row>
    <row r="327" customFormat="false" ht="15" hidden="false" customHeight="false" outlineLevel="0" collapsed="false">
      <c r="A327" s="33"/>
      <c r="B327" s="27"/>
      <c r="C327" s="27"/>
      <c r="D327" s="27"/>
      <c r="E327" s="27"/>
      <c r="F327" s="34"/>
      <c r="G327" s="27"/>
      <c r="H327" s="27"/>
      <c r="I327" s="28" t="str">
        <f aca="false">IF(C327="","",IFERROR(INDEX(Settings!$C$8:$C$19,MATCH(C327,Settings!$B$8:$B$19,0)),"?"))</f>
        <v/>
      </c>
      <c r="J327" s="28" t="str">
        <f aca="false">IF(G327="","",IFERROR(INDEX(Settings!$C$8:$C$19,MATCH(G327,Settings!$B$8:$B$19,0)),"?"))</f>
        <v/>
      </c>
      <c r="K327" s="35" t="str">
        <f aca="false">IF(A327="","",DATE(YEAR(A327),MONTH(A327),1))</f>
        <v/>
      </c>
      <c r="L327" s="28" t="str">
        <f aca="false">IF(E327="","",IFERROR(INDEX(Settings!$K$8:$K$38,MATCH(E327,Settings!$H$8:$H$38,0))&amp;"",""))</f>
        <v/>
      </c>
    </row>
    <row r="328" customFormat="false" ht="15" hidden="false" customHeight="false" outlineLevel="0" collapsed="false">
      <c r="A328" s="33"/>
      <c r="B328" s="27"/>
      <c r="C328" s="27"/>
      <c r="D328" s="27"/>
      <c r="E328" s="27"/>
      <c r="F328" s="34"/>
      <c r="G328" s="27"/>
      <c r="H328" s="27"/>
      <c r="I328" s="28" t="str">
        <f aca="false">IF(C328="","",IFERROR(INDEX(Settings!$C$8:$C$19,MATCH(C328,Settings!$B$8:$B$19,0)),"?"))</f>
        <v/>
      </c>
      <c r="J328" s="28" t="str">
        <f aca="false">IF(G328="","",IFERROR(INDEX(Settings!$C$8:$C$19,MATCH(G328,Settings!$B$8:$B$19,0)),"?"))</f>
        <v/>
      </c>
      <c r="K328" s="35" t="str">
        <f aca="false">IF(A328="","",DATE(YEAR(A328),MONTH(A328),1))</f>
        <v/>
      </c>
      <c r="L328" s="28" t="str">
        <f aca="false">IF(E328="","",IFERROR(INDEX(Settings!$K$8:$K$38,MATCH(E328,Settings!$H$8:$H$38,0))&amp;"",""))</f>
        <v/>
      </c>
    </row>
    <row r="329" customFormat="false" ht="15" hidden="false" customHeight="false" outlineLevel="0" collapsed="false">
      <c r="A329" s="33"/>
      <c r="B329" s="27"/>
      <c r="C329" s="27"/>
      <c r="D329" s="27"/>
      <c r="E329" s="27"/>
      <c r="F329" s="34"/>
      <c r="G329" s="27"/>
      <c r="H329" s="27"/>
      <c r="I329" s="28" t="str">
        <f aca="false">IF(C329="","",IFERROR(INDEX(Settings!$C$8:$C$19,MATCH(C329,Settings!$B$8:$B$19,0)),"?"))</f>
        <v/>
      </c>
      <c r="J329" s="28" t="str">
        <f aca="false">IF(G329="","",IFERROR(INDEX(Settings!$C$8:$C$19,MATCH(G329,Settings!$B$8:$B$19,0)),"?"))</f>
        <v/>
      </c>
      <c r="K329" s="35" t="str">
        <f aca="false">IF(A329="","",DATE(YEAR(A329),MONTH(A329),1))</f>
        <v/>
      </c>
      <c r="L329" s="28" t="str">
        <f aca="false">IF(E329="","",IFERROR(INDEX(Settings!$K$8:$K$38,MATCH(E329,Settings!$H$8:$H$38,0))&amp;"",""))</f>
        <v/>
      </c>
    </row>
    <row r="330" customFormat="false" ht="15" hidden="false" customHeight="false" outlineLevel="0" collapsed="false">
      <c r="A330" s="33"/>
      <c r="B330" s="27"/>
      <c r="C330" s="27"/>
      <c r="D330" s="27"/>
      <c r="E330" s="27"/>
      <c r="F330" s="34"/>
      <c r="G330" s="27"/>
      <c r="H330" s="27"/>
      <c r="I330" s="28" t="str">
        <f aca="false">IF(C330="","",IFERROR(INDEX(Settings!$C$8:$C$19,MATCH(C330,Settings!$B$8:$B$19,0)),"?"))</f>
        <v/>
      </c>
      <c r="J330" s="28" t="str">
        <f aca="false">IF(G330="","",IFERROR(INDEX(Settings!$C$8:$C$19,MATCH(G330,Settings!$B$8:$B$19,0)),"?"))</f>
        <v/>
      </c>
      <c r="K330" s="35" t="str">
        <f aca="false">IF(A330="","",DATE(YEAR(A330),MONTH(A330),1))</f>
        <v/>
      </c>
      <c r="L330" s="28" t="str">
        <f aca="false">IF(E330="","",IFERROR(INDEX(Settings!$K$8:$K$38,MATCH(E330,Settings!$H$8:$H$38,0))&amp;"",""))</f>
        <v/>
      </c>
    </row>
    <row r="331" customFormat="false" ht="15" hidden="false" customHeight="false" outlineLevel="0" collapsed="false">
      <c r="A331" s="33"/>
      <c r="B331" s="27"/>
      <c r="C331" s="27"/>
      <c r="D331" s="27"/>
      <c r="E331" s="27"/>
      <c r="F331" s="34"/>
      <c r="G331" s="27"/>
      <c r="H331" s="27"/>
      <c r="I331" s="28" t="str">
        <f aca="false">IF(C331="","",IFERROR(INDEX(Settings!$C$8:$C$19,MATCH(C331,Settings!$B$8:$B$19,0)),"?"))</f>
        <v/>
      </c>
      <c r="J331" s="28" t="str">
        <f aca="false">IF(G331="","",IFERROR(INDEX(Settings!$C$8:$C$19,MATCH(G331,Settings!$B$8:$B$19,0)),"?"))</f>
        <v/>
      </c>
      <c r="K331" s="35" t="str">
        <f aca="false">IF(A331="","",DATE(YEAR(A331),MONTH(A331),1))</f>
        <v/>
      </c>
      <c r="L331" s="28" t="str">
        <f aca="false">IF(E331="","",IFERROR(INDEX(Settings!$K$8:$K$38,MATCH(E331,Settings!$H$8:$H$38,0))&amp;"",""))</f>
        <v/>
      </c>
    </row>
    <row r="332" customFormat="false" ht="15" hidden="false" customHeight="false" outlineLevel="0" collapsed="false">
      <c r="A332" s="33"/>
      <c r="B332" s="27"/>
      <c r="C332" s="27"/>
      <c r="D332" s="27"/>
      <c r="E332" s="27"/>
      <c r="F332" s="34"/>
      <c r="G332" s="27"/>
      <c r="H332" s="27"/>
      <c r="I332" s="28" t="str">
        <f aca="false">IF(C332="","",IFERROR(INDEX(Settings!$C$8:$C$19,MATCH(C332,Settings!$B$8:$B$19,0)),"?"))</f>
        <v/>
      </c>
      <c r="J332" s="28" t="str">
        <f aca="false">IF(G332="","",IFERROR(INDEX(Settings!$C$8:$C$19,MATCH(G332,Settings!$B$8:$B$19,0)),"?"))</f>
        <v/>
      </c>
      <c r="K332" s="35" t="str">
        <f aca="false">IF(A332="","",DATE(YEAR(A332),MONTH(A332),1))</f>
        <v/>
      </c>
      <c r="L332" s="28" t="str">
        <f aca="false">IF(E332="","",IFERROR(INDEX(Settings!$K$8:$K$38,MATCH(E332,Settings!$H$8:$H$38,0))&amp;"",""))</f>
        <v/>
      </c>
    </row>
    <row r="333" customFormat="false" ht="15" hidden="false" customHeight="false" outlineLevel="0" collapsed="false">
      <c r="A333" s="33"/>
      <c r="B333" s="27"/>
      <c r="C333" s="27"/>
      <c r="D333" s="27"/>
      <c r="E333" s="27"/>
      <c r="F333" s="34"/>
      <c r="G333" s="27"/>
      <c r="H333" s="27"/>
      <c r="I333" s="28" t="str">
        <f aca="false">IF(C333="","",IFERROR(INDEX(Settings!$C$8:$C$19,MATCH(C333,Settings!$B$8:$B$19,0)),"?"))</f>
        <v/>
      </c>
      <c r="J333" s="28" t="str">
        <f aca="false">IF(G333="","",IFERROR(INDEX(Settings!$C$8:$C$19,MATCH(G333,Settings!$B$8:$B$19,0)),"?"))</f>
        <v/>
      </c>
      <c r="K333" s="35" t="str">
        <f aca="false">IF(A333="","",DATE(YEAR(A333),MONTH(A333),1))</f>
        <v/>
      </c>
      <c r="L333" s="28" t="str">
        <f aca="false">IF(E333="","",IFERROR(INDEX(Settings!$K$8:$K$38,MATCH(E333,Settings!$H$8:$H$38,0))&amp;"",""))</f>
        <v/>
      </c>
    </row>
    <row r="334" customFormat="false" ht="15" hidden="false" customHeight="false" outlineLevel="0" collapsed="false">
      <c r="A334" s="33"/>
      <c r="B334" s="27"/>
      <c r="C334" s="27"/>
      <c r="D334" s="27"/>
      <c r="E334" s="27"/>
      <c r="F334" s="34"/>
      <c r="G334" s="27"/>
      <c r="H334" s="27"/>
      <c r="I334" s="28" t="str">
        <f aca="false">IF(C334="","",IFERROR(INDEX(Settings!$C$8:$C$19,MATCH(C334,Settings!$B$8:$B$19,0)),"?"))</f>
        <v/>
      </c>
      <c r="J334" s="28" t="str">
        <f aca="false">IF(G334="","",IFERROR(INDEX(Settings!$C$8:$C$19,MATCH(G334,Settings!$B$8:$B$19,0)),"?"))</f>
        <v/>
      </c>
      <c r="K334" s="35" t="str">
        <f aca="false">IF(A334="","",DATE(YEAR(A334),MONTH(A334),1))</f>
        <v/>
      </c>
      <c r="L334" s="28" t="str">
        <f aca="false">IF(E334="","",IFERROR(INDEX(Settings!$K$8:$K$38,MATCH(E334,Settings!$H$8:$H$38,0))&amp;"",""))</f>
        <v/>
      </c>
    </row>
    <row r="335" customFormat="false" ht="15" hidden="false" customHeight="false" outlineLevel="0" collapsed="false">
      <c r="A335" s="33"/>
      <c r="B335" s="27"/>
      <c r="C335" s="27"/>
      <c r="D335" s="27"/>
      <c r="E335" s="27"/>
      <c r="F335" s="34"/>
      <c r="G335" s="27"/>
      <c r="H335" s="27"/>
      <c r="I335" s="28" t="str">
        <f aca="false">IF(C335="","",IFERROR(INDEX(Settings!$C$8:$C$19,MATCH(C335,Settings!$B$8:$B$19,0)),"?"))</f>
        <v/>
      </c>
      <c r="J335" s="28" t="str">
        <f aca="false">IF(G335="","",IFERROR(INDEX(Settings!$C$8:$C$19,MATCH(G335,Settings!$B$8:$B$19,0)),"?"))</f>
        <v/>
      </c>
      <c r="K335" s="35" t="str">
        <f aca="false">IF(A335="","",DATE(YEAR(A335),MONTH(A335),1))</f>
        <v/>
      </c>
      <c r="L335" s="28" t="str">
        <f aca="false">IF(E335="","",IFERROR(INDEX(Settings!$K$8:$K$38,MATCH(E335,Settings!$H$8:$H$38,0))&amp;"",""))</f>
        <v/>
      </c>
    </row>
    <row r="336" customFormat="false" ht="15" hidden="false" customHeight="false" outlineLevel="0" collapsed="false">
      <c r="A336" s="33"/>
      <c r="B336" s="27"/>
      <c r="C336" s="27"/>
      <c r="D336" s="27"/>
      <c r="E336" s="27"/>
      <c r="F336" s="34"/>
      <c r="G336" s="27"/>
      <c r="H336" s="27"/>
      <c r="I336" s="28" t="str">
        <f aca="false">IF(C336="","",IFERROR(INDEX(Settings!$C$8:$C$19,MATCH(C336,Settings!$B$8:$B$19,0)),"?"))</f>
        <v/>
      </c>
      <c r="J336" s="28" t="str">
        <f aca="false">IF(G336="","",IFERROR(INDEX(Settings!$C$8:$C$19,MATCH(G336,Settings!$B$8:$B$19,0)),"?"))</f>
        <v/>
      </c>
      <c r="K336" s="35" t="str">
        <f aca="false">IF(A336="","",DATE(YEAR(A336),MONTH(A336),1))</f>
        <v/>
      </c>
      <c r="L336" s="28" t="str">
        <f aca="false">IF(E336="","",IFERROR(INDEX(Settings!$K$8:$K$38,MATCH(E336,Settings!$H$8:$H$38,0))&amp;"",""))</f>
        <v/>
      </c>
    </row>
    <row r="337" customFormat="false" ht="15" hidden="false" customHeight="false" outlineLevel="0" collapsed="false">
      <c r="A337" s="33"/>
      <c r="B337" s="27"/>
      <c r="C337" s="27"/>
      <c r="D337" s="27"/>
      <c r="E337" s="27"/>
      <c r="F337" s="34"/>
      <c r="G337" s="27"/>
      <c r="H337" s="27"/>
      <c r="I337" s="28" t="str">
        <f aca="false">IF(C337="","",IFERROR(INDEX(Settings!$C$8:$C$19,MATCH(C337,Settings!$B$8:$B$19,0)),"?"))</f>
        <v/>
      </c>
      <c r="J337" s="28" t="str">
        <f aca="false">IF(G337="","",IFERROR(INDEX(Settings!$C$8:$C$19,MATCH(G337,Settings!$B$8:$B$19,0)),"?"))</f>
        <v/>
      </c>
      <c r="K337" s="35" t="str">
        <f aca="false">IF(A337="","",DATE(YEAR(A337),MONTH(A337),1))</f>
        <v/>
      </c>
      <c r="L337" s="28" t="str">
        <f aca="false">IF(E337="","",IFERROR(INDEX(Settings!$K$8:$K$38,MATCH(E337,Settings!$H$8:$H$38,0))&amp;"",""))</f>
        <v/>
      </c>
    </row>
    <row r="338" customFormat="false" ht="15" hidden="false" customHeight="false" outlineLevel="0" collapsed="false">
      <c r="A338" s="33"/>
      <c r="B338" s="27"/>
      <c r="C338" s="27"/>
      <c r="D338" s="27"/>
      <c r="E338" s="27"/>
      <c r="F338" s="34"/>
      <c r="G338" s="27"/>
      <c r="H338" s="27"/>
      <c r="I338" s="28" t="str">
        <f aca="false">IF(C338="","",IFERROR(INDEX(Settings!$C$8:$C$19,MATCH(C338,Settings!$B$8:$B$19,0)),"?"))</f>
        <v/>
      </c>
      <c r="J338" s="28" t="str">
        <f aca="false">IF(G338="","",IFERROR(INDEX(Settings!$C$8:$C$19,MATCH(G338,Settings!$B$8:$B$19,0)),"?"))</f>
        <v/>
      </c>
      <c r="K338" s="35" t="str">
        <f aca="false">IF(A338="","",DATE(YEAR(A338),MONTH(A338),1))</f>
        <v/>
      </c>
      <c r="L338" s="28" t="str">
        <f aca="false">IF(E338="","",IFERROR(INDEX(Settings!$K$8:$K$38,MATCH(E338,Settings!$H$8:$H$38,0))&amp;"",""))</f>
        <v/>
      </c>
    </row>
    <row r="339" customFormat="false" ht="15" hidden="false" customHeight="false" outlineLevel="0" collapsed="false">
      <c r="A339" s="33"/>
      <c r="B339" s="27"/>
      <c r="C339" s="27"/>
      <c r="D339" s="27"/>
      <c r="E339" s="27"/>
      <c r="F339" s="34"/>
      <c r="G339" s="27"/>
      <c r="H339" s="27"/>
      <c r="I339" s="28" t="str">
        <f aca="false">IF(C339="","",IFERROR(INDEX(Settings!$C$8:$C$19,MATCH(C339,Settings!$B$8:$B$19,0)),"?"))</f>
        <v/>
      </c>
      <c r="J339" s="28" t="str">
        <f aca="false">IF(G339="","",IFERROR(INDEX(Settings!$C$8:$C$19,MATCH(G339,Settings!$B$8:$B$19,0)),"?"))</f>
        <v/>
      </c>
      <c r="K339" s="35" t="str">
        <f aca="false">IF(A339="","",DATE(YEAR(A339),MONTH(A339),1))</f>
        <v/>
      </c>
      <c r="L339" s="28" t="str">
        <f aca="false">IF(E339="","",IFERROR(INDEX(Settings!$K$8:$K$38,MATCH(E339,Settings!$H$8:$H$38,0))&amp;"",""))</f>
        <v/>
      </c>
    </row>
    <row r="340" customFormat="false" ht="15" hidden="false" customHeight="false" outlineLevel="0" collapsed="false">
      <c r="A340" s="33"/>
      <c r="B340" s="27"/>
      <c r="C340" s="27"/>
      <c r="D340" s="27"/>
      <c r="E340" s="27"/>
      <c r="F340" s="34"/>
      <c r="G340" s="27"/>
      <c r="H340" s="27"/>
      <c r="I340" s="28" t="str">
        <f aca="false">IF(C340="","",IFERROR(INDEX(Settings!$C$8:$C$19,MATCH(C340,Settings!$B$8:$B$19,0)),"?"))</f>
        <v/>
      </c>
      <c r="J340" s="28" t="str">
        <f aca="false">IF(G340="","",IFERROR(INDEX(Settings!$C$8:$C$19,MATCH(G340,Settings!$B$8:$B$19,0)),"?"))</f>
        <v/>
      </c>
      <c r="K340" s="35" t="str">
        <f aca="false">IF(A340="","",DATE(YEAR(A340),MONTH(A340),1))</f>
        <v/>
      </c>
      <c r="L340" s="28" t="str">
        <f aca="false">IF(E340="","",IFERROR(INDEX(Settings!$K$8:$K$38,MATCH(E340,Settings!$H$8:$H$38,0))&amp;"",""))</f>
        <v/>
      </c>
    </row>
    <row r="341" customFormat="false" ht="15" hidden="false" customHeight="false" outlineLevel="0" collapsed="false">
      <c r="A341" s="33"/>
      <c r="B341" s="27"/>
      <c r="C341" s="27"/>
      <c r="D341" s="27"/>
      <c r="E341" s="27"/>
      <c r="F341" s="34"/>
      <c r="G341" s="27"/>
      <c r="H341" s="27"/>
      <c r="I341" s="28" t="str">
        <f aca="false">IF(C341="","",IFERROR(INDEX(Settings!$C$8:$C$19,MATCH(C341,Settings!$B$8:$B$19,0)),"?"))</f>
        <v/>
      </c>
      <c r="J341" s="28" t="str">
        <f aca="false">IF(G341="","",IFERROR(INDEX(Settings!$C$8:$C$19,MATCH(G341,Settings!$B$8:$B$19,0)),"?"))</f>
        <v/>
      </c>
      <c r="K341" s="35" t="str">
        <f aca="false">IF(A341="","",DATE(YEAR(A341),MONTH(A341),1))</f>
        <v/>
      </c>
      <c r="L341" s="28" t="str">
        <f aca="false">IF(E341="","",IFERROR(INDEX(Settings!$K$8:$K$38,MATCH(E341,Settings!$H$8:$H$38,0))&amp;"",""))</f>
        <v/>
      </c>
    </row>
    <row r="342" customFormat="false" ht="15" hidden="false" customHeight="false" outlineLevel="0" collapsed="false">
      <c r="A342" s="33"/>
      <c r="B342" s="27"/>
      <c r="C342" s="27"/>
      <c r="D342" s="27"/>
      <c r="E342" s="27"/>
      <c r="F342" s="34"/>
      <c r="G342" s="27"/>
      <c r="H342" s="27"/>
      <c r="I342" s="28" t="str">
        <f aca="false">IF(C342="","",IFERROR(INDEX(Settings!$C$8:$C$19,MATCH(C342,Settings!$B$8:$B$19,0)),"?"))</f>
        <v/>
      </c>
      <c r="J342" s="28" t="str">
        <f aca="false">IF(G342="","",IFERROR(INDEX(Settings!$C$8:$C$19,MATCH(G342,Settings!$B$8:$B$19,0)),"?"))</f>
        <v/>
      </c>
      <c r="K342" s="35" t="str">
        <f aca="false">IF(A342="","",DATE(YEAR(A342),MONTH(A342),1))</f>
        <v/>
      </c>
      <c r="L342" s="28" t="str">
        <f aca="false">IF(E342="","",IFERROR(INDEX(Settings!$K$8:$K$38,MATCH(E342,Settings!$H$8:$H$38,0))&amp;"",""))</f>
        <v/>
      </c>
    </row>
    <row r="343" customFormat="false" ht="15" hidden="false" customHeight="false" outlineLevel="0" collapsed="false">
      <c r="A343" s="33"/>
      <c r="B343" s="27"/>
      <c r="C343" s="27"/>
      <c r="D343" s="27"/>
      <c r="E343" s="27"/>
      <c r="F343" s="34"/>
      <c r="G343" s="27"/>
      <c r="H343" s="27"/>
      <c r="I343" s="28" t="str">
        <f aca="false">IF(C343="","",IFERROR(INDEX(Settings!$C$8:$C$19,MATCH(C343,Settings!$B$8:$B$19,0)),"?"))</f>
        <v/>
      </c>
      <c r="J343" s="28" t="str">
        <f aca="false">IF(G343="","",IFERROR(INDEX(Settings!$C$8:$C$19,MATCH(G343,Settings!$B$8:$B$19,0)),"?"))</f>
        <v/>
      </c>
      <c r="K343" s="35" t="str">
        <f aca="false">IF(A343="","",DATE(YEAR(A343),MONTH(A343),1))</f>
        <v/>
      </c>
      <c r="L343" s="28" t="str">
        <f aca="false">IF(E343="","",IFERROR(INDEX(Settings!$K$8:$K$38,MATCH(E343,Settings!$H$8:$H$38,0))&amp;"",""))</f>
        <v/>
      </c>
    </row>
    <row r="344" customFormat="false" ht="15" hidden="false" customHeight="false" outlineLevel="0" collapsed="false">
      <c r="A344" s="33"/>
      <c r="B344" s="27"/>
      <c r="C344" s="27"/>
      <c r="D344" s="27"/>
      <c r="E344" s="27"/>
      <c r="F344" s="34"/>
      <c r="G344" s="27"/>
      <c r="H344" s="27"/>
      <c r="I344" s="28" t="str">
        <f aca="false">IF(C344="","",IFERROR(INDEX(Settings!$C$8:$C$19,MATCH(C344,Settings!$B$8:$B$19,0)),"?"))</f>
        <v/>
      </c>
      <c r="J344" s="28" t="str">
        <f aca="false">IF(G344="","",IFERROR(INDEX(Settings!$C$8:$C$19,MATCH(G344,Settings!$B$8:$B$19,0)),"?"))</f>
        <v/>
      </c>
      <c r="K344" s="35" t="str">
        <f aca="false">IF(A344="","",DATE(YEAR(A344),MONTH(A344),1))</f>
        <v/>
      </c>
      <c r="L344" s="28" t="str">
        <f aca="false">IF(E344="","",IFERROR(INDEX(Settings!$K$8:$K$38,MATCH(E344,Settings!$H$8:$H$38,0))&amp;"",""))</f>
        <v/>
      </c>
    </row>
    <row r="345" customFormat="false" ht="15" hidden="false" customHeight="false" outlineLevel="0" collapsed="false">
      <c r="A345" s="33"/>
      <c r="B345" s="27"/>
      <c r="C345" s="27"/>
      <c r="D345" s="27"/>
      <c r="E345" s="27"/>
      <c r="F345" s="34"/>
      <c r="G345" s="27"/>
      <c r="H345" s="27"/>
      <c r="I345" s="28" t="str">
        <f aca="false">IF(C345="","",IFERROR(INDEX(Settings!$C$8:$C$19,MATCH(C345,Settings!$B$8:$B$19,0)),"?"))</f>
        <v/>
      </c>
      <c r="J345" s="28" t="str">
        <f aca="false">IF(G345="","",IFERROR(INDEX(Settings!$C$8:$C$19,MATCH(G345,Settings!$B$8:$B$19,0)),"?"))</f>
        <v/>
      </c>
      <c r="K345" s="35" t="str">
        <f aca="false">IF(A345="","",DATE(YEAR(A345),MONTH(A345),1))</f>
        <v/>
      </c>
      <c r="L345" s="28" t="str">
        <f aca="false">IF(E345="","",IFERROR(INDEX(Settings!$K$8:$K$38,MATCH(E345,Settings!$H$8:$H$38,0))&amp;"",""))</f>
        <v/>
      </c>
    </row>
    <row r="346" customFormat="false" ht="15" hidden="false" customHeight="false" outlineLevel="0" collapsed="false">
      <c r="A346" s="33"/>
      <c r="B346" s="27"/>
      <c r="C346" s="27"/>
      <c r="D346" s="27"/>
      <c r="E346" s="27"/>
      <c r="F346" s="34"/>
      <c r="G346" s="27"/>
      <c r="H346" s="27"/>
      <c r="I346" s="28" t="str">
        <f aca="false">IF(C346="","",IFERROR(INDEX(Settings!$C$8:$C$19,MATCH(C346,Settings!$B$8:$B$19,0)),"?"))</f>
        <v/>
      </c>
      <c r="J346" s="28" t="str">
        <f aca="false">IF(G346="","",IFERROR(INDEX(Settings!$C$8:$C$19,MATCH(G346,Settings!$B$8:$B$19,0)),"?"))</f>
        <v/>
      </c>
      <c r="K346" s="35" t="str">
        <f aca="false">IF(A346="","",DATE(YEAR(A346),MONTH(A346),1))</f>
        <v/>
      </c>
      <c r="L346" s="28" t="str">
        <f aca="false">IF(E346="","",IFERROR(INDEX(Settings!$K$8:$K$38,MATCH(E346,Settings!$H$8:$H$38,0))&amp;"",""))</f>
        <v/>
      </c>
    </row>
    <row r="347" customFormat="false" ht="15" hidden="false" customHeight="false" outlineLevel="0" collapsed="false">
      <c r="A347" s="33"/>
      <c r="B347" s="27"/>
      <c r="C347" s="27"/>
      <c r="D347" s="27"/>
      <c r="E347" s="27"/>
      <c r="F347" s="34"/>
      <c r="G347" s="27"/>
      <c r="H347" s="27"/>
      <c r="I347" s="28" t="str">
        <f aca="false">IF(C347="","",IFERROR(INDEX(Settings!$C$8:$C$19,MATCH(C347,Settings!$B$8:$B$19,0)),"?"))</f>
        <v/>
      </c>
      <c r="J347" s="28" t="str">
        <f aca="false">IF(G347="","",IFERROR(INDEX(Settings!$C$8:$C$19,MATCH(G347,Settings!$B$8:$B$19,0)),"?"))</f>
        <v/>
      </c>
      <c r="K347" s="35" t="str">
        <f aca="false">IF(A347="","",DATE(YEAR(A347),MONTH(A347),1))</f>
        <v/>
      </c>
      <c r="L347" s="28" t="str">
        <f aca="false">IF(E347="","",IFERROR(INDEX(Settings!$K$8:$K$38,MATCH(E347,Settings!$H$8:$H$38,0))&amp;"",""))</f>
        <v/>
      </c>
    </row>
    <row r="348" customFormat="false" ht="15" hidden="false" customHeight="false" outlineLevel="0" collapsed="false">
      <c r="A348" s="33"/>
      <c r="B348" s="27"/>
      <c r="C348" s="27"/>
      <c r="D348" s="27"/>
      <c r="E348" s="27"/>
      <c r="F348" s="34"/>
      <c r="G348" s="27"/>
      <c r="H348" s="27"/>
      <c r="I348" s="28" t="str">
        <f aca="false">IF(C348="","",IFERROR(INDEX(Settings!$C$8:$C$19,MATCH(C348,Settings!$B$8:$B$19,0)),"?"))</f>
        <v/>
      </c>
      <c r="J348" s="28" t="str">
        <f aca="false">IF(G348="","",IFERROR(INDEX(Settings!$C$8:$C$19,MATCH(G348,Settings!$B$8:$B$19,0)),"?"))</f>
        <v/>
      </c>
      <c r="K348" s="35" t="str">
        <f aca="false">IF(A348="","",DATE(YEAR(A348),MONTH(A348),1))</f>
        <v/>
      </c>
      <c r="L348" s="28" t="str">
        <f aca="false">IF(E348="","",IFERROR(INDEX(Settings!$K$8:$K$38,MATCH(E348,Settings!$H$8:$H$38,0))&amp;"",""))</f>
        <v/>
      </c>
    </row>
    <row r="349" customFormat="false" ht="15" hidden="false" customHeight="false" outlineLevel="0" collapsed="false">
      <c r="A349" s="33"/>
      <c r="B349" s="27"/>
      <c r="C349" s="27"/>
      <c r="D349" s="27"/>
      <c r="E349" s="27"/>
      <c r="F349" s="34"/>
      <c r="G349" s="27"/>
      <c r="H349" s="27"/>
      <c r="I349" s="28" t="str">
        <f aca="false">IF(C349="","",IFERROR(INDEX(Settings!$C$8:$C$19,MATCH(C349,Settings!$B$8:$B$19,0)),"?"))</f>
        <v/>
      </c>
      <c r="J349" s="28" t="str">
        <f aca="false">IF(G349="","",IFERROR(INDEX(Settings!$C$8:$C$19,MATCH(G349,Settings!$B$8:$B$19,0)),"?"))</f>
        <v/>
      </c>
      <c r="K349" s="35" t="str">
        <f aca="false">IF(A349="","",DATE(YEAR(A349),MONTH(A349),1))</f>
        <v/>
      </c>
      <c r="L349" s="28" t="str">
        <f aca="false">IF(E349="","",IFERROR(INDEX(Settings!$K$8:$K$38,MATCH(E349,Settings!$H$8:$H$38,0))&amp;"",""))</f>
        <v/>
      </c>
    </row>
    <row r="350" customFormat="false" ht="15" hidden="false" customHeight="false" outlineLevel="0" collapsed="false">
      <c r="A350" s="33"/>
      <c r="B350" s="27"/>
      <c r="C350" s="27"/>
      <c r="D350" s="27"/>
      <c r="E350" s="27"/>
      <c r="F350" s="34"/>
      <c r="G350" s="27"/>
      <c r="H350" s="27"/>
      <c r="I350" s="28" t="str">
        <f aca="false">IF(C350="","",IFERROR(INDEX(Settings!$C$8:$C$19,MATCH(C350,Settings!$B$8:$B$19,0)),"?"))</f>
        <v/>
      </c>
      <c r="J350" s="28" t="str">
        <f aca="false">IF(G350="","",IFERROR(INDEX(Settings!$C$8:$C$19,MATCH(G350,Settings!$B$8:$B$19,0)),"?"))</f>
        <v/>
      </c>
      <c r="K350" s="35" t="str">
        <f aca="false">IF(A350="","",DATE(YEAR(A350),MONTH(A350),1))</f>
        <v/>
      </c>
      <c r="L350" s="28" t="str">
        <f aca="false">IF(E350="","",IFERROR(INDEX(Settings!$K$8:$K$38,MATCH(E350,Settings!$H$8:$H$38,0))&amp;"",""))</f>
        <v/>
      </c>
    </row>
    <row r="351" customFormat="false" ht="15" hidden="false" customHeight="false" outlineLevel="0" collapsed="false">
      <c r="A351" s="33"/>
      <c r="B351" s="27"/>
      <c r="C351" s="27"/>
      <c r="D351" s="27"/>
      <c r="E351" s="27"/>
      <c r="F351" s="34"/>
      <c r="G351" s="27"/>
      <c r="H351" s="27"/>
      <c r="I351" s="28" t="str">
        <f aca="false">IF(C351="","",IFERROR(INDEX(Settings!$C$8:$C$19,MATCH(C351,Settings!$B$8:$B$19,0)),"?"))</f>
        <v/>
      </c>
      <c r="J351" s="28" t="str">
        <f aca="false">IF(G351="","",IFERROR(INDEX(Settings!$C$8:$C$19,MATCH(G351,Settings!$B$8:$B$19,0)),"?"))</f>
        <v/>
      </c>
      <c r="K351" s="35" t="str">
        <f aca="false">IF(A351="","",DATE(YEAR(A351),MONTH(A351),1))</f>
        <v/>
      </c>
      <c r="L351" s="28" t="str">
        <f aca="false">IF(E351="","",IFERROR(INDEX(Settings!$K$8:$K$38,MATCH(E351,Settings!$H$8:$H$38,0))&amp;"",""))</f>
        <v/>
      </c>
    </row>
    <row r="352" customFormat="false" ht="15" hidden="false" customHeight="false" outlineLevel="0" collapsed="false">
      <c r="A352" s="33"/>
      <c r="B352" s="27"/>
      <c r="C352" s="27"/>
      <c r="D352" s="27"/>
      <c r="E352" s="27"/>
      <c r="F352" s="34"/>
      <c r="G352" s="27"/>
      <c r="H352" s="27"/>
      <c r="I352" s="28" t="str">
        <f aca="false">IF(C352="","",IFERROR(INDEX(Settings!$C$8:$C$19,MATCH(C352,Settings!$B$8:$B$19,0)),"?"))</f>
        <v/>
      </c>
      <c r="J352" s="28" t="str">
        <f aca="false">IF(G352="","",IFERROR(INDEX(Settings!$C$8:$C$19,MATCH(G352,Settings!$B$8:$B$19,0)),"?"))</f>
        <v/>
      </c>
      <c r="K352" s="35" t="str">
        <f aca="false">IF(A352="","",DATE(YEAR(A352),MONTH(A352),1))</f>
        <v/>
      </c>
      <c r="L352" s="28" t="str">
        <f aca="false">IF(E352="","",IFERROR(INDEX(Settings!$K$8:$K$38,MATCH(E352,Settings!$H$8:$H$38,0))&amp;"",""))</f>
        <v/>
      </c>
    </row>
    <row r="353" customFormat="false" ht="15" hidden="false" customHeight="false" outlineLevel="0" collapsed="false">
      <c r="A353" s="33"/>
      <c r="B353" s="27"/>
      <c r="C353" s="27"/>
      <c r="D353" s="27"/>
      <c r="E353" s="27"/>
      <c r="F353" s="34"/>
      <c r="G353" s="27"/>
      <c r="H353" s="27"/>
      <c r="I353" s="28" t="str">
        <f aca="false">IF(C353="","",IFERROR(INDEX(Settings!$C$8:$C$19,MATCH(C353,Settings!$B$8:$B$19,0)),"?"))</f>
        <v/>
      </c>
      <c r="J353" s="28" t="str">
        <f aca="false">IF(G353="","",IFERROR(INDEX(Settings!$C$8:$C$19,MATCH(G353,Settings!$B$8:$B$19,0)),"?"))</f>
        <v/>
      </c>
      <c r="K353" s="35" t="str">
        <f aca="false">IF(A353="","",DATE(YEAR(A353),MONTH(A353),1))</f>
        <v/>
      </c>
      <c r="L353" s="28" t="str">
        <f aca="false">IF(E353="","",IFERROR(INDEX(Settings!$K$8:$K$38,MATCH(E353,Settings!$H$8:$H$38,0))&amp;"",""))</f>
        <v/>
      </c>
    </row>
    <row r="354" customFormat="false" ht="15" hidden="false" customHeight="false" outlineLevel="0" collapsed="false">
      <c r="A354" s="33"/>
      <c r="B354" s="27"/>
      <c r="C354" s="27"/>
      <c r="D354" s="27"/>
      <c r="E354" s="27"/>
      <c r="F354" s="34"/>
      <c r="G354" s="27"/>
      <c r="H354" s="27"/>
      <c r="I354" s="28" t="str">
        <f aca="false">IF(C354="","",IFERROR(INDEX(Settings!$C$8:$C$19,MATCH(C354,Settings!$B$8:$B$19,0)),"?"))</f>
        <v/>
      </c>
      <c r="J354" s="28" t="str">
        <f aca="false">IF(G354="","",IFERROR(INDEX(Settings!$C$8:$C$19,MATCH(G354,Settings!$B$8:$B$19,0)),"?"))</f>
        <v/>
      </c>
      <c r="K354" s="35" t="str">
        <f aca="false">IF(A354="","",DATE(YEAR(A354),MONTH(A354),1))</f>
        <v/>
      </c>
      <c r="L354" s="28" t="str">
        <f aca="false">IF(E354="","",IFERROR(INDEX(Settings!$K$8:$K$38,MATCH(E354,Settings!$H$8:$H$38,0))&amp;"",""))</f>
        <v/>
      </c>
    </row>
    <row r="355" customFormat="false" ht="15" hidden="false" customHeight="false" outlineLevel="0" collapsed="false">
      <c r="A355" s="33"/>
      <c r="B355" s="27"/>
      <c r="C355" s="27"/>
      <c r="D355" s="27"/>
      <c r="E355" s="27"/>
      <c r="F355" s="34"/>
      <c r="G355" s="27"/>
      <c r="H355" s="27"/>
      <c r="I355" s="28" t="str">
        <f aca="false">IF(C355="","",IFERROR(INDEX(Settings!$C$8:$C$19,MATCH(C355,Settings!$B$8:$B$19,0)),"?"))</f>
        <v/>
      </c>
      <c r="J355" s="28" t="str">
        <f aca="false">IF(G355="","",IFERROR(INDEX(Settings!$C$8:$C$19,MATCH(G355,Settings!$B$8:$B$19,0)),"?"))</f>
        <v/>
      </c>
      <c r="K355" s="35" t="str">
        <f aca="false">IF(A355="","",DATE(YEAR(A355),MONTH(A355),1))</f>
        <v/>
      </c>
      <c r="L355" s="28" t="str">
        <f aca="false">IF(E355="","",IFERROR(INDEX(Settings!$K$8:$K$38,MATCH(E355,Settings!$H$8:$H$38,0))&amp;"",""))</f>
        <v/>
      </c>
    </row>
    <row r="356" customFormat="false" ht="15" hidden="false" customHeight="false" outlineLevel="0" collapsed="false">
      <c r="A356" s="33"/>
      <c r="B356" s="27"/>
      <c r="C356" s="27"/>
      <c r="D356" s="27"/>
      <c r="E356" s="27"/>
      <c r="F356" s="34"/>
      <c r="G356" s="27"/>
      <c r="H356" s="27"/>
      <c r="I356" s="28" t="str">
        <f aca="false">IF(C356="","",IFERROR(INDEX(Settings!$C$8:$C$19,MATCH(C356,Settings!$B$8:$B$19,0)),"?"))</f>
        <v/>
      </c>
      <c r="J356" s="28" t="str">
        <f aca="false">IF(G356="","",IFERROR(INDEX(Settings!$C$8:$C$19,MATCH(G356,Settings!$B$8:$B$19,0)),"?"))</f>
        <v/>
      </c>
      <c r="K356" s="35" t="str">
        <f aca="false">IF(A356="","",DATE(YEAR(A356),MONTH(A356),1))</f>
        <v/>
      </c>
      <c r="L356" s="28" t="str">
        <f aca="false">IF(E356="","",IFERROR(INDEX(Settings!$K$8:$K$38,MATCH(E356,Settings!$H$8:$H$38,0))&amp;"",""))</f>
        <v/>
      </c>
    </row>
    <row r="357" customFormat="false" ht="15" hidden="false" customHeight="false" outlineLevel="0" collapsed="false">
      <c r="A357" s="33"/>
      <c r="B357" s="27"/>
      <c r="C357" s="27"/>
      <c r="D357" s="27"/>
      <c r="E357" s="27"/>
      <c r="F357" s="34"/>
      <c r="G357" s="27"/>
      <c r="H357" s="27"/>
      <c r="I357" s="28" t="str">
        <f aca="false">IF(C357="","",IFERROR(INDEX(Settings!$C$8:$C$19,MATCH(C357,Settings!$B$8:$B$19,0)),"?"))</f>
        <v/>
      </c>
      <c r="J357" s="28" t="str">
        <f aca="false">IF(G357="","",IFERROR(INDEX(Settings!$C$8:$C$19,MATCH(G357,Settings!$B$8:$B$19,0)),"?"))</f>
        <v/>
      </c>
      <c r="K357" s="35" t="str">
        <f aca="false">IF(A357="","",DATE(YEAR(A357),MONTH(A357),1))</f>
        <v/>
      </c>
      <c r="L357" s="28" t="str">
        <f aca="false">IF(E357="","",IFERROR(INDEX(Settings!$K$8:$K$38,MATCH(E357,Settings!$H$8:$H$38,0))&amp;"",""))</f>
        <v/>
      </c>
    </row>
    <row r="358" customFormat="false" ht="15" hidden="false" customHeight="false" outlineLevel="0" collapsed="false">
      <c r="A358" s="33"/>
      <c r="B358" s="27"/>
      <c r="C358" s="27"/>
      <c r="D358" s="27"/>
      <c r="E358" s="27"/>
      <c r="F358" s="34"/>
      <c r="G358" s="27"/>
      <c r="H358" s="27"/>
      <c r="I358" s="28" t="str">
        <f aca="false">IF(C358="","",IFERROR(INDEX(Settings!$C$8:$C$19,MATCH(C358,Settings!$B$8:$B$19,0)),"?"))</f>
        <v/>
      </c>
      <c r="J358" s="28" t="str">
        <f aca="false">IF(G358="","",IFERROR(INDEX(Settings!$C$8:$C$19,MATCH(G358,Settings!$B$8:$B$19,0)),"?"))</f>
        <v/>
      </c>
      <c r="K358" s="35" t="str">
        <f aca="false">IF(A358="","",DATE(YEAR(A358),MONTH(A358),1))</f>
        <v/>
      </c>
      <c r="L358" s="28" t="str">
        <f aca="false">IF(E358="","",IFERROR(INDEX(Settings!$K$8:$K$38,MATCH(E358,Settings!$H$8:$H$38,0))&amp;"",""))</f>
        <v/>
      </c>
    </row>
    <row r="359" customFormat="false" ht="15" hidden="false" customHeight="false" outlineLevel="0" collapsed="false">
      <c r="A359" s="33"/>
      <c r="B359" s="27"/>
      <c r="C359" s="27"/>
      <c r="D359" s="27"/>
      <c r="E359" s="27"/>
      <c r="F359" s="34"/>
      <c r="G359" s="27"/>
      <c r="H359" s="27"/>
      <c r="I359" s="28" t="str">
        <f aca="false">IF(C359="","",IFERROR(INDEX(Settings!$C$8:$C$19,MATCH(C359,Settings!$B$8:$B$19,0)),"?"))</f>
        <v/>
      </c>
      <c r="J359" s="28" t="str">
        <f aca="false">IF(G359="","",IFERROR(INDEX(Settings!$C$8:$C$19,MATCH(G359,Settings!$B$8:$B$19,0)),"?"))</f>
        <v/>
      </c>
      <c r="K359" s="35" t="str">
        <f aca="false">IF(A359="","",DATE(YEAR(A359),MONTH(A359),1))</f>
        <v/>
      </c>
      <c r="L359" s="28" t="str">
        <f aca="false">IF(E359="","",IFERROR(INDEX(Settings!$K$8:$K$38,MATCH(E359,Settings!$H$8:$H$38,0))&amp;"",""))</f>
        <v/>
      </c>
    </row>
    <row r="360" customFormat="false" ht="15" hidden="false" customHeight="false" outlineLevel="0" collapsed="false">
      <c r="A360" s="33"/>
      <c r="B360" s="27"/>
      <c r="C360" s="27"/>
      <c r="D360" s="27"/>
      <c r="E360" s="27"/>
      <c r="F360" s="34"/>
      <c r="G360" s="27"/>
      <c r="H360" s="27"/>
      <c r="I360" s="28" t="str">
        <f aca="false">IF(C360="","",IFERROR(INDEX(Settings!$C$8:$C$19,MATCH(C360,Settings!$B$8:$B$19,0)),"?"))</f>
        <v/>
      </c>
      <c r="J360" s="28" t="str">
        <f aca="false">IF(G360="","",IFERROR(INDEX(Settings!$C$8:$C$19,MATCH(G360,Settings!$B$8:$B$19,0)),"?"))</f>
        <v/>
      </c>
      <c r="K360" s="35" t="str">
        <f aca="false">IF(A360="","",DATE(YEAR(A360),MONTH(A360),1))</f>
        <v/>
      </c>
      <c r="L360" s="28" t="str">
        <f aca="false">IF(E360="","",IFERROR(INDEX(Settings!$K$8:$K$38,MATCH(E360,Settings!$H$8:$H$38,0))&amp;"",""))</f>
        <v/>
      </c>
    </row>
    <row r="361" customFormat="false" ht="15" hidden="false" customHeight="false" outlineLevel="0" collapsed="false">
      <c r="A361" s="33"/>
      <c r="B361" s="27"/>
      <c r="C361" s="27"/>
      <c r="D361" s="27"/>
      <c r="E361" s="27"/>
      <c r="F361" s="34"/>
      <c r="G361" s="27"/>
      <c r="H361" s="27"/>
      <c r="I361" s="28" t="str">
        <f aca="false">IF(C361="","",IFERROR(INDEX(Settings!$C$8:$C$19,MATCH(C361,Settings!$B$8:$B$19,0)),"?"))</f>
        <v/>
      </c>
      <c r="J361" s="28" t="str">
        <f aca="false">IF(G361="","",IFERROR(INDEX(Settings!$C$8:$C$19,MATCH(G361,Settings!$B$8:$B$19,0)),"?"))</f>
        <v/>
      </c>
      <c r="K361" s="35" t="str">
        <f aca="false">IF(A361="","",DATE(YEAR(A361),MONTH(A361),1))</f>
        <v/>
      </c>
      <c r="L361" s="28" t="str">
        <f aca="false">IF(E361="","",IFERROR(INDEX(Settings!$K$8:$K$38,MATCH(E361,Settings!$H$8:$H$38,0))&amp;"",""))</f>
        <v/>
      </c>
    </row>
    <row r="362" customFormat="false" ht="15" hidden="false" customHeight="false" outlineLevel="0" collapsed="false">
      <c r="A362" s="33"/>
      <c r="B362" s="27"/>
      <c r="C362" s="27"/>
      <c r="D362" s="27"/>
      <c r="E362" s="27"/>
      <c r="F362" s="34"/>
      <c r="G362" s="27"/>
      <c r="H362" s="27"/>
      <c r="I362" s="28" t="str">
        <f aca="false">IF(C362="","",IFERROR(INDEX(Settings!$C$8:$C$19,MATCH(C362,Settings!$B$8:$B$19,0)),"?"))</f>
        <v/>
      </c>
      <c r="J362" s="28" t="str">
        <f aca="false">IF(G362="","",IFERROR(INDEX(Settings!$C$8:$C$19,MATCH(G362,Settings!$B$8:$B$19,0)),"?"))</f>
        <v/>
      </c>
      <c r="K362" s="35" t="str">
        <f aca="false">IF(A362="","",DATE(YEAR(A362),MONTH(A362),1))</f>
        <v/>
      </c>
      <c r="L362" s="28" t="str">
        <f aca="false">IF(E362="","",IFERROR(INDEX(Settings!$K$8:$K$38,MATCH(E362,Settings!$H$8:$H$38,0))&amp;"",""))</f>
        <v/>
      </c>
    </row>
    <row r="363" customFormat="false" ht="15" hidden="false" customHeight="false" outlineLevel="0" collapsed="false">
      <c r="A363" s="33"/>
      <c r="B363" s="27"/>
      <c r="C363" s="27"/>
      <c r="D363" s="27"/>
      <c r="E363" s="27"/>
      <c r="F363" s="34"/>
      <c r="G363" s="27"/>
      <c r="H363" s="27"/>
      <c r="I363" s="28" t="str">
        <f aca="false">IF(C363="","",IFERROR(INDEX(Settings!$C$8:$C$19,MATCH(C363,Settings!$B$8:$B$19,0)),"?"))</f>
        <v/>
      </c>
      <c r="J363" s="28" t="str">
        <f aca="false">IF(G363="","",IFERROR(INDEX(Settings!$C$8:$C$19,MATCH(G363,Settings!$B$8:$B$19,0)),"?"))</f>
        <v/>
      </c>
      <c r="K363" s="35" t="str">
        <f aca="false">IF(A363="","",DATE(YEAR(A363),MONTH(A363),1))</f>
        <v/>
      </c>
      <c r="L363" s="28" t="str">
        <f aca="false">IF(E363="","",IFERROR(INDEX(Settings!$K$8:$K$38,MATCH(E363,Settings!$H$8:$H$38,0))&amp;"",""))</f>
        <v/>
      </c>
    </row>
    <row r="364" customFormat="false" ht="15" hidden="false" customHeight="false" outlineLevel="0" collapsed="false">
      <c r="A364" s="33"/>
      <c r="B364" s="27"/>
      <c r="C364" s="27"/>
      <c r="D364" s="27"/>
      <c r="E364" s="27"/>
      <c r="F364" s="34"/>
      <c r="G364" s="27"/>
      <c r="H364" s="27"/>
      <c r="I364" s="28" t="str">
        <f aca="false">IF(C364="","",IFERROR(INDEX(Settings!$C$8:$C$19,MATCH(C364,Settings!$B$8:$B$19,0)),"?"))</f>
        <v/>
      </c>
      <c r="J364" s="28" t="str">
        <f aca="false">IF(G364="","",IFERROR(INDEX(Settings!$C$8:$C$19,MATCH(G364,Settings!$B$8:$B$19,0)),"?"))</f>
        <v/>
      </c>
      <c r="K364" s="35" t="str">
        <f aca="false">IF(A364="","",DATE(YEAR(A364),MONTH(A364),1))</f>
        <v/>
      </c>
      <c r="L364" s="28" t="str">
        <f aca="false">IF(E364="","",IFERROR(INDEX(Settings!$K$8:$K$38,MATCH(E364,Settings!$H$8:$H$38,0))&amp;"",""))</f>
        <v/>
      </c>
    </row>
    <row r="365" customFormat="false" ht="15" hidden="false" customHeight="false" outlineLevel="0" collapsed="false">
      <c r="A365" s="33"/>
      <c r="B365" s="27"/>
      <c r="C365" s="27"/>
      <c r="D365" s="27"/>
      <c r="E365" s="27"/>
      <c r="F365" s="34"/>
      <c r="G365" s="27"/>
      <c r="H365" s="27"/>
      <c r="I365" s="28" t="str">
        <f aca="false">IF(C365="","",IFERROR(INDEX(Settings!$C$8:$C$19,MATCH(C365,Settings!$B$8:$B$19,0)),"?"))</f>
        <v/>
      </c>
      <c r="J365" s="28" t="str">
        <f aca="false">IF(G365="","",IFERROR(INDEX(Settings!$C$8:$C$19,MATCH(G365,Settings!$B$8:$B$19,0)),"?"))</f>
        <v/>
      </c>
      <c r="K365" s="35" t="str">
        <f aca="false">IF(A365="","",DATE(YEAR(A365),MONTH(A365),1))</f>
        <v/>
      </c>
      <c r="L365" s="28" t="str">
        <f aca="false">IF(E365="","",IFERROR(INDEX(Settings!$K$8:$K$38,MATCH(E365,Settings!$H$8:$H$38,0))&amp;"",""))</f>
        <v/>
      </c>
    </row>
    <row r="366" customFormat="false" ht="15" hidden="false" customHeight="false" outlineLevel="0" collapsed="false">
      <c r="A366" s="33"/>
      <c r="B366" s="27"/>
      <c r="C366" s="27"/>
      <c r="D366" s="27"/>
      <c r="E366" s="27"/>
      <c r="F366" s="34"/>
      <c r="G366" s="27"/>
      <c r="H366" s="27"/>
      <c r="I366" s="28" t="str">
        <f aca="false">IF(C366="","",IFERROR(INDEX(Settings!$C$8:$C$19,MATCH(C366,Settings!$B$8:$B$19,0)),"?"))</f>
        <v/>
      </c>
      <c r="J366" s="28" t="str">
        <f aca="false">IF(G366="","",IFERROR(INDEX(Settings!$C$8:$C$19,MATCH(G366,Settings!$B$8:$B$19,0)),"?"))</f>
        <v/>
      </c>
      <c r="K366" s="35" t="str">
        <f aca="false">IF(A366="","",DATE(YEAR(A366),MONTH(A366),1))</f>
        <v/>
      </c>
      <c r="L366" s="28" t="str">
        <f aca="false">IF(E366="","",IFERROR(INDEX(Settings!$K$8:$K$38,MATCH(E366,Settings!$H$8:$H$38,0))&amp;"",""))</f>
        <v/>
      </c>
    </row>
    <row r="367" customFormat="false" ht="15" hidden="false" customHeight="false" outlineLevel="0" collapsed="false">
      <c r="A367" s="33"/>
      <c r="B367" s="27"/>
      <c r="C367" s="27"/>
      <c r="D367" s="27"/>
      <c r="E367" s="27"/>
      <c r="F367" s="34"/>
      <c r="G367" s="27"/>
      <c r="H367" s="27"/>
      <c r="I367" s="28" t="str">
        <f aca="false">IF(C367="","",IFERROR(INDEX(Settings!$C$8:$C$19,MATCH(C367,Settings!$B$8:$B$19,0)),"?"))</f>
        <v/>
      </c>
      <c r="J367" s="28" t="str">
        <f aca="false">IF(G367="","",IFERROR(INDEX(Settings!$C$8:$C$19,MATCH(G367,Settings!$B$8:$B$19,0)),"?"))</f>
        <v/>
      </c>
      <c r="K367" s="35" t="str">
        <f aca="false">IF(A367="","",DATE(YEAR(A367),MONTH(A367),1))</f>
        <v/>
      </c>
      <c r="L367" s="28" t="str">
        <f aca="false">IF(E367="","",IFERROR(INDEX(Settings!$K$8:$K$38,MATCH(E367,Settings!$H$8:$H$38,0))&amp;"",""))</f>
        <v/>
      </c>
    </row>
    <row r="368" customFormat="false" ht="15" hidden="false" customHeight="false" outlineLevel="0" collapsed="false">
      <c r="A368" s="33"/>
      <c r="B368" s="27"/>
      <c r="C368" s="27"/>
      <c r="D368" s="27"/>
      <c r="E368" s="27"/>
      <c r="F368" s="34"/>
      <c r="G368" s="27"/>
      <c r="H368" s="27"/>
      <c r="I368" s="28" t="str">
        <f aca="false">IF(C368="","",IFERROR(INDEX(Settings!$C$8:$C$19,MATCH(C368,Settings!$B$8:$B$19,0)),"?"))</f>
        <v/>
      </c>
      <c r="J368" s="28" t="str">
        <f aca="false">IF(G368="","",IFERROR(INDEX(Settings!$C$8:$C$19,MATCH(G368,Settings!$B$8:$B$19,0)),"?"))</f>
        <v/>
      </c>
      <c r="K368" s="35" t="str">
        <f aca="false">IF(A368="","",DATE(YEAR(A368),MONTH(A368),1))</f>
        <v/>
      </c>
      <c r="L368" s="28" t="str">
        <f aca="false">IF(E368="","",IFERROR(INDEX(Settings!$K$8:$K$38,MATCH(E368,Settings!$H$8:$H$38,0))&amp;"",""))</f>
        <v/>
      </c>
    </row>
    <row r="369" customFormat="false" ht="15" hidden="false" customHeight="false" outlineLevel="0" collapsed="false">
      <c r="A369" s="33"/>
      <c r="B369" s="27"/>
      <c r="C369" s="27"/>
      <c r="D369" s="27"/>
      <c r="E369" s="27"/>
      <c r="F369" s="34"/>
      <c r="G369" s="27"/>
      <c r="H369" s="27"/>
      <c r="I369" s="28" t="str">
        <f aca="false">IF(C369="","",IFERROR(INDEX(Settings!$C$8:$C$19,MATCH(C369,Settings!$B$8:$B$19,0)),"?"))</f>
        <v/>
      </c>
      <c r="J369" s="28" t="str">
        <f aca="false">IF(G369="","",IFERROR(INDEX(Settings!$C$8:$C$19,MATCH(G369,Settings!$B$8:$B$19,0)),"?"))</f>
        <v/>
      </c>
      <c r="K369" s="35" t="str">
        <f aca="false">IF(A369="","",DATE(YEAR(A369),MONTH(A369),1))</f>
        <v/>
      </c>
      <c r="L369" s="28" t="str">
        <f aca="false">IF(E369="","",IFERROR(INDEX(Settings!$K$8:$K$38,MATCH(E369,Settings!$H$8:$H$38,0))&amp;"",""))</f>
        <v/>
      </c>
    </row>
    <row r="370" customFormat="false" ht="15" hidden="false" customHeight="false" outlineLevel="0" collapsed="false">
      <c r="A370" s="33"/>
      <c r="B370" s="27"/>
      <c r="C370" s="27"/>
      <c r="D370" s="27"/>
      <c r="E370" s="27"/>
      <c r="F370" s="34"/>
      <c r="G370" s="27"/>
      <c r="H370" s="27"/>
      <c r="I370" s="28" t="str">
        <f aca="false">IF(C370="","",IFERROR(INDEX(Settings!$C$8:$C$19,MATCH(C370,Settings!$B$8:$B$19,0)),"?"))</f>
        <v/>
      </c>
      <c r="J370" s="28" t="str">
        <f aca="false">IF(G370="","",IFERROR(INDEX(Settings!$C$8:$C$19,MATCH(G370,Settings!$B$8:$B$19,0)),"?"))</f>
        <v/>
      </c>
      <c r="K370" s="35" t="str">
        <f aca="false">IF(A370="","",DATE(YEAR(A370),MONTH(A370),1))</f>
        <v/>
      </c>
      <c r="L370" s="28" t="str">
        <f aca="false">IF(E370="","",IFERROR(INDEX(Settings!$K$8:$K$38,MATCH(E370,Settings!$H$8:$H$38,0))&amp;"",""))</f>
        <v/>
      </c>
    </row>
    <row r="371" customFormat="false" ht="15" hidden="false" customHeight="false" outlineLevel="0" collapsed="false">
      <c r="A371" s="33"/>
      <c r="B371" s="27"/>
      <c r="C371" s="27"/>
      <c r="D371" s="27"/>
      <c r="E371" s="27"/>
      <c r="F371" s="34"/>
      <c r="G371" s="27"/>
      <c r="H371" s="27"/>
      <c r="I371" s="28" t="str">
        <f aca="false">IF(C371="","",IFERROR(INDEX(Settings!$C$8:$C$19,MATCH(C371,Settings!$B$8:$B$19,0)),"?"))</f>
        <v/>
      </c>
      <c r="J371" s="28" t="str">
        <f aca="false">IF(G371="","",IFERROR(INDEX(Settings!$C$8:$C$19,MATCH(G371,Settings!$B$8:$B$19,0)),"?"))</f>
        <v/>
      </c>
      <c r="K371" s="35" t="str">
        <f aca="false">IF(A371="","",DATE(YEAR(A371),MONTH(A371),1))</f>
        <v/>
      </c>
      <c r="L371" s="28" t="str">
        <f aca="false">IF(E371="","",IFERROR(INDEX(Settings!$K$8:$K$38,MATCH(E371,Settings!$H$8:$H$38,0))&amp;"",""))</f>
        <v/>
      </c>
    </row>
    <row r="372" customFormat="false" ht="15" hidden="false" customHeight="false" outlineLevel="0" collapsed="false">
      <c r="A372" s="33"/>
      <c r="B372" s="27"/>
      <c r="C372" s="27"/>
      <c r="D372" s="27"/>
      <c r="E372" s="27"/>
      <c r="F372" s="34"/>
      <c r="G372" s="27"/>
      <c r="H372" s="27"/>
      <c r="I372" s="28" t="str">
        <f aca="false">IF(C372="","",IFERROR(INDEX(Settings!$C$8:$C$19,MATCH(C372,Settings!$B$8:$B$19,0)),"?"))</f>
        <v/>
      </c>
      <c r="J372" s="28" t="str">
        <f aca="false">IF(G372="","",IFERROR(INDEX(Settings!$C$8:$C$19,MATCH(G372,Settings!$B$8:$B$19,0)),"?"))</f>
        <v/>
      </c>
      <c r="K372" s="35" t="str">
        <f aca="false">IF(A372="","",DATE(YEAR(A372),MONTH(A372),1))</f>
        <v/>
      </c>
      <c r="L372" s="28" t="str">
        <f aca="false">IF(E372="","",IFERROR(INDEX(Settings!$K$8:$K$38,MATCH(E372,Settings!$H$8:$H$38,0))&amp;"",""))</f>
        <v/>
      </c>
    </row>
    <row r="373" customFormat="false" ht="15" hidden="false" customHeight="false" outlineLevel="0" collapsed="false">
      <c r="A373" s="33"/>
      <c r="B373" s="27"/>
      <c r="C373" s="27"/>
      <c r="D373" s="27"/>
      <c r="E373" s="27"/>
      <c r="F373" s="34"/>
      <c r="G373" s="27"/>
      <c r="H373" s="27"/>
      <c r="I373" s="28" t="str">
        <f aca="false">IF(C373="","",IFERROR(INDEX(Settings!$C$8:$C$19,MATCH(C373,Settings!$B$8:$B$19,0)),"?"))</f>
        <v/>
      </c>
      <c r="J373" s="28" t="str">
        <f aca="false">IF(G373="","",IFERROR(INDEX(Settings!$C$8:$C$19,MATCH(G373,Settings!$B$8:$B$19,0)),"?"))</f>
        <v/>
      </c>
      <c r="K373" s="35" t="str">
        <f aca="false">IF(A373="","",DATE(YEAR(A373),MONTH(A373),1))</f>
        <v/>
      </c>
      <c r="L373" s="28" t="str">
        <f aca="false">IF(E373="","",IFERROR(INDEX(Settings!$K$8:$K$38,MATCH(E373,Settings!$H$8:$H$38,0))&amp;"",""))</f>
        <v/>
      </c>
    </row>
    <row r="374" customFormat="false" ht="15" hidden="false" customHeight="false" outlineLevel="0" collapsed="false">
      <c r="A374" s="33"/>
      <c r="B374" s="27"/>
      <c r="C374" s="27"/>
      <c r="D374" s="27"/>
      <c r="E374" s="27"/>
      <c r="F374" s="34"/>
      <c r="G374" s="27"/>
      <c r="H374" s="27"/>
      <c r="I374" s="28" t="str">
        <f aca="false">IF(C374="","",IFERROR(INDEX(Settings!$C$8:$C$19,MATCH(C374,Settings!$B$8:$B$19,0)),"?"))</f>
        <v/>
      </c>
      <c r="J374" s="28" t="str">
        <f aca="false">IF(G374="","",IFERROR(INDEX(Settings!$C$8:$C$19,MATCH(G374,Settings!$B$8:$B$19,0)),"?"))</f>
        <v/>
      </c>
      <c r="K374" s="35" t="str">
        <f aca="false">IF(A374="","",DATE(YEAR(A374),MONTH(A374),1))</f>
        <v/>
      </c>
      <c r="L374" s="28" t="str">
        <f aca="false">IF(E374="","",IFERROR(INDEX(Settings!$K$8:$K$38,MATCH(E374,Settings!$H$8:$H$38,0))&amp;"",""))</f>
        <v/>
      </c>
    </row>
    <row r="375" customFormat="false" ht="15" hidden="false" customHeight="false" outlineLevel="0" collapsed="false">
      <c r="A375" s="33"/>
      <c r="B375" s="27"/>
      <c r="C375" s="27"/>
      <c r="D375" s="27"/>
      <c r="E375" s="27"/>
      <c r="F375" s="34"/>
      <c r="G375" s="27"/>
      <c r="H375" s="27"/>
      <c r="I375" s="28" t="str">
        <f aca="false">IF(C375="","",IFERROR(INDEX(Settings!$C$8:$C$19,MATCH(C375,Settings!$B$8:$B$19,0)),"?"))</f>
        <v/>
      </c>
      <c r="J375" s="28" t="str">
        <f aca="false">IF(G375="","",IFERROR(INDEX(Settings!$C$8:$C$19,MATCH(G375,Settings!$B$8:$B$19,0)),"?"))</f>
        <v/>
      </c>
      <c r="K375" s="35" t="str">
        <f aca="false">IF(A375="","",DATE(YEAR(A375),MONTH(A375),1))</f>
        <v/>
      </c>
      <c r="L375" s="28" t="str">
        <f aca="false">IF(E375="","",IFERROR(INDEX(Settings!$K$8:$K$38,MATCH(E375,Settings!$H$8:$H$38,0))&amp;"",""))</f>
        <v/>
      </c>
    </row>
    <row r="376" customFormat="false" ht="15" hidden="false" customHeight="false" outlineLevel="0" collapsed="false">
      <c r="A376" s="33"/>
      <c r="B376" s="27"/>
      <c r="C376" s="27"/>
      <c r="D376" s="27"/>
      <c r="E376" s="27"/>
      <c r="F376" s="34"/>
      <c r="G376" s="27"/>
      <c r="H376" s="27"/>
      <c r="I376" s="28" t="str">
        <f aca="false">IF(C376="","",IFERROR(INDEX(Settings!$C$8:$C$19,MATCH(C376,Settings!$B$8:$B$19,0)),"?"))</f>
        <v/>
      </c>
      <c r="J376" s="28" t="str">
        <f aca="false">IF(G376="","",IFERROR(INDEX(Settings!$C$8:$C$19,MATCH(G376,Settings!$B$8:$B$19,0)),"?"))</f>
        <v/>
      </c>
      <c r="K376" s="35" t="str">
        <f aca="false">IF(A376="","",DATE(YEAR(A376),MONTH(A376),1))</f>
        <v/>
      </c>
      <c r="L376" s="28" t="str">
        <f aca="false">IF(E376="","",IFERROR(INDEX(Settings!$K$8:$K$38,MATCH(E376,Settings!$H$8:$H$38,0))&amp;"",""))</f>
        <v/>
      </c>
    </row>
    <row r="377" customFormat="false" ht="15" hidden="false" customHeight="false" outlineLevel="0" collapsed="false">
      <c r="A377" s="33"/>
      <c r="B377" s="27"/>
      <c r="C377" s="27"/>
      <c r="D377" s="27"/>
      <c r="E377" s="27"/>
      <c r="F377" s="34"/>
      <c r="G377" s="27"/>
      <c r="H377" s="27"/>
      <c r="I377" s="28" t="str">
        <f aca="false">IF(C377="","",IFERROR(INDEX(Settings!$C$8:$C$19,MATCH(C377,Settings!$B$8:$B$19,0)),"?"))</f>
        <v/>
      </c>
      <c r="J377" s="28" t="str">
        <f aca="false">IF(G377="","",IFERROR(INDEX(Settings!$C$8:$C$19,MATCH(G377,Settings!$B$8:$B$19,0)),"?"))</f>
        <v/>
      </c>
      <c r="K377" s="35" t="str">
        <f aca="false">IF(A377="","",DATE(YEAR(A377),MONTH(A377),1))</f>
        <v/>
      </c>
      <c r="L377" s="28" t="str">
        <f aca="false">IF(E377="","",IFERROR(INDEX(Settings!$K$8:$K$38,MATCH(E377,Settings!$H$8:$H$38,0))&amp;"",""))</f>
        <v/>
      </c>
    </row>
    <row r="378" customFormat="false" ht="15" hidden="false" customHeight="false" outlineLevel="0" collapsed="false">
      <c r="A378" s="33"/>
      <c r="B378" s="27"/>
      <c r="C378" s="27"/>
      <c r="D378" s="27"/>
      <c r="E378" s="27"/>
      <c r="F378" s="34"/>
      <c r="G378" s="27"/>
      <c r="H378" s="27"/>
      <c r="I378" s="28" t="str">
        <f aca="false">IF(C378="","",IFERROR(INDEX(Settings!$C$8:$C$19,MATCH(C378,Settings!$B$8:$B$19,0)),"?"))</f>
        <v/>
      </c>
      <c r="J378" s="28" t="str">
        <f aca="false">IF(G378="","",IFERROR(INDEX(Settings!$C$8:$C$19,MATCH(G378,Settings!$B$8:$B$19,0)),"?"))</f>
        <v/>
      </c>
      <c r="K378" s="35" t="str">
        <f aca="false">IF(A378="","",DATE(YEAR(A378),MONTH(A378),1))</f>
        <v/>
      </c>
      <c r="L378" s="28" t="str">
        <f aca="false">IF(E378="","",IFERROR(INDEX(Settings!$K$8:$K$38,MATCH(E378,Settings!$H$8:$H$38,0))&amp;"",""))</f>
        <v/>
      </c>
    </row>
    <row r="379" customFormat="false" ht="15" hidden="false" customHeight="false" outlineLevel="0" collapsed="false">
      <c r="A379" s="33"/>
      <c r="B379" s="27"/>
      <c r="C379" s="27"/>
      <c r="D379" s="27"/>
      <c r="E379" s="27"/>
      <c r="F379" s="34"/>
      <c r="G379" s="27"/>
      <c r="H379" s="27"/>
      <c r="I379" s="28" t="str">
        <f aca="false">IF(C379="","",IFERROR(INDEX(Settings!$C$8:$C$19,MATCH(C379,Settings!$B$8:$B$19,0)),"?"))</f>
        <v/>
      </c>
      <c r="J379" s="28" t="str">
        <f aca="false">IF(G379="","",IFERROR(INDEX(Settings!$C$8:$C$19,MATCH(G379,Settings!$B$8:$B$19,0)),"?"))</f>
        <v/>
      </c>
      <c r="K379" s="35" t="str">
        <f aca="false">IF(A379="","",DATE(YEAR(A379),MONTH(A379),1))</f>
        <v/>
      </c>
      <c r="L379" s="28" t="str">
        <f aca="false">IF(E379="","",IFERROR(INDEX(Settings!$K$8:$K$38,MATCH(E379,Settings!$H$8:$H$38,0))&amp;"",""))</f>
        <v/>
      </c>
    </row>
    <row r="380" customFormat="false" ht="15" hidden="false" customHeight="false" outlineLevel="0" collapsed="false">
      <c r="A380" s="33"/>
      <c r="B380" s="27"/>
      <c r="C380" s="27"/>
      <c r="D380" s="27"/>
      <c r="E380" s="27"/>
      <c r="F380" s="34"/>
      <c r="G380" s="27"/>
      <c r="H380" s="27"/>
      <c r="I380" s="28" t="str">
        <f aca="false">IF(C380="","",IFERROR(INDEX(Settings!$C$8:$C$19,MATCH(C380,Settings!$B$8:$B$19,0)),"?"))</f>
        <v/>
      </c>
      <c r="J380" s="28" t="str">
        <f aca="false">IF(G380="","",IFERROR(INDEX(Settings!$C$8:$C$19,MATCH(G380,Settings!$B$8:$B$19,0)),"?"))</f>
        <v/>
      </c>
      <c r="K380" s="35" t="str">
        <f aca="false">IF(A380="","",DATE(YEAR(A380),MONTH(A380),1))</f>
        <v/>
      </c>
      <c r="L380" s="28" t="str">
        <f aca="false">IF(E380="","",IFERROR(INDEX(Settings!$K$8:$K$38,MATCH(E380,Settings!$H$8:$H$38,0))&amp;"",""))</f>
        <v/>
      </c>
    </row>
    <row r="381" customFormat="false" ht="15" hidden="false" customHeight="false" outlineLevel="0" collapsed="false">
      <c r="A381" s="33"/>
      <c r="B381" s="27"/>
      <c r="C381" s="27"/>
      <c r="D381" s="27"/>
      <c r="E381" s="27"/>
      <c r="F381" s="34"/>
      <c r="G381" s="27"/>
      <c r="H381" s="27"/>
      <c r="I381" s="28" t="str">
        <f aca="false">IF(C381="","",IFERROR(INDEX(Settings!$C$8:$C$19,MATCH(C381,Settings!$B$8:$B$19,0)),"?"))</f>
        <v/>
      </c>
      <c r="J381" s="28" t="str">
        <f aca="false">IF(G381="","",IFERROR(INDEX(Settings!$C$8:$C$19,MATCH(G381,Settings!$B$8:$B$19,0)),"?"))</f>
        <v/>
      </c>
      <c r="K381" s="35" t="str">
        <f aca="false">IF(A381="","",DATE(YEAR(A381),MONTH(A381),1))</f>
        <v/>
      </c>
      <c r="L381" s="28" t="str">
        <f aca="false">IF(E381="","",IFERROR(INDEX(Settings!$K$8:$K$38,MATCH(E381,Settings!$H$8:$H$38,0))&amp;"",""))</f>
        <v/>
      </c>
    </row>
    <row r="382" customFormat="false" ht="15" hidden="false" customHeight="false" outlineLevel="0" collapsed="false">
      <c r="A382" s="33"/>
      <c r="B382" s="27"/>
      <c r="C382" s="27"/>
      <c r="D382" s="27"/>
      <c r="E382" s="27"/>
      <c r="F382" s="34"/>
      <c r="G382" s="27"/>
      <c r="H382" s="27"/>
      <c r="I382" s="28" t="str">
        <f aca="false">IF(C382="","",IFERROR(INDEX(Settings!$C$8:$C$19,MATCH(C382,Settings!$B$8:$B$19,0)),"?"))</f>
        <v/>
      </c>
      <c r="J382" s="28" t="str">
        <f aca="false">IF(G382="","",IFERROR(INDEX(Settings!$C$8:$C$19,MATCH(G382,Settings!$B$8:$B$19,0)),"?"))</f>
        <v/>
      </c>
      <c r="K382" s="35" t="str">
        <f aca="false">IF(A382="","",DATE(YEAR(A382),MONTH(A382),1))</f>
        <v/>
      </c>
      <c r="L382" s="28" t="str">
        <f aca="false">IF(E382="","",IFERROR(INDEX(Settings!$K$8:$K$38,MATCH(E382,Settings!$H$8:$H$38,0))&amp;"",""))</f>
        <v/>
      </c>
    </row>
    <row r="383" customFormat="false" ht="15" hidden="false" customHeight="false" outlineLevel="0" collapsed="false">
      <c r="A383" s="33"/>
      <c r="B383" s="27"/>
      <c r="C383" s="27"/>
      <c r="D383" s="27"/>
      <c r="E383" s="27"/>
      <c r="F383" s="34"/>
      <c r="G383" s="27"/>
      <c r="H383" s="27"/>
      <c r="I383" s="28" t="str">
        <f aca="false">IF(C383="","",IFERROR(INDEX(Settings!$C$8:$C$19,MATCH(C383,Settings!$B$8:$B$19,0)),"?"))</f>
        <v/>
      </c>
      <c r="J383" s="28" t="str">
        <f aca="false">IF(G383="","",IFERROR(INDEX(Settings!$C$8:$C$19,MATCH(G383,Settings!$B$8:$B$19,0)),"?"))</f>
        <v/>
      </c>
      <c r="K383" s="35" t="str">
        <f aca="false">IF(A383="","",DATE(YEAR(A383),MONTH(A383),1))</f>
        <v/>
      </c>
      <c r="L383" s="28" t="str">
        <f aca="false">IF(E383="","",IFERROR(INDEX(Settings!$K$8:$K$38,MATCH(E383,Settings!$H$8:$H$38,0))&amp;"",""))</f>
        <v/>
      </c>
    </row>
    <row r="384" customFormat="false" ht="15" hidden="false" customHeight="false" outlineLevel="0" collapsed="false">
      <c r="A384" s="33"/>
      <c r="B384" s="27"/>
      <c r="C384" s="27"/>
      <c r="D384" s="27"/>
      <c r="E384" s="27"/>
      <c r="F384" s="34"/>
      <c r="G384" s="27"/>
      <c r="H384" s="27"/>
      <c r="I384" s="28" t="str">
        <f aca="false">IF(C384="","",IFERROR(INDEX(Settings!$C$8:$C$19,MATCH(C384,Settings!$B$8:$B$19,0)),"?"))</f>
        <v/>
      </c>
      <c r="J384" s="28" t="str">
        <f aca="false">IF(G384="","",IFERROR(INDEX(Settings!$C$8:$C$19,MATCH(G384,Settings!$B$8:$B$19,0)),"?"))</f>
        <v/>
      </c>
      <c r="K384" s="35" t="str">
        <f aca="false">IF(A384="","",DATE(YEAR(A384),MONTH(A384),1))</f>
        <v/>
      </c>
      <c r="L384" s="28" t="str">
        <f aca="false">IF(E384="","",IFERROR(INDEX(Settings!$K$8:$K$38,MATCH(E384,Settings!$H$8:$H$38,0))&amp;"",""))</f>
        <v/>
      </c>
    </row>
    <row r="385" customFormat="false" ht="15" hidden="false" customHeight="false" outlineLevel="0" collapsed="false">
      <c r="A385" s="33"/>
      <c r="B385" s="27"/>
      <c r="C385" s="27"/>
      <c r="D385" s="27"/>
      <c r="E385" s="27"/>
      <c r="F385" s="34"/>
      <c r="G385" s="27"/>
      <c r="H385" s="27"/>
      <c r="I385" s="28" t="str">
        <f aca="false">IF(C385="","",IFERROR(INDEX(Settings!$C$8:$C$19,MATCH(C385,Settings!$B$8:$B$19,0)),"?"))</f>
        <v/>
      </c>
      <c r="J385" s="28" t="str">
        <f aca="false">IF(G385="","",IFERROR(INDEX(Settings!$C$8:$C$19,MATCH(G385,Settings!$B$8:$B$19,0)),"?"))</f>
        <v/>
      </c>
      <c r="K385" s="35" t="str">
        <f aca="false">IF(A385="","",DATE(YEAR(A385),MONTH(A385),1))</f>
        <v/>
      </c>
      <c r="L385" s="28" t="str">
        <f aca="false">IF(E385="","",IFERROR(INDEX(Settings!$K$8:$K$38,MATCH(E385,Settings!$H$8:$H$38,0))&amp;"",""))</f>
        <v/>
      </c>
    </row>
    <row r="386" customFormat="false" ht="15" hidden="false" customHeight="false" outlineLevel="0" collapsed="false">
      <c r="A386" s="33"/>
      <c r="B386" s="27"/>
      <c r="C386" s="27"/>
      <c r="D386" s="27"/>
      <c r="E386" s="27"/>
      <c r="F386" s="34"/>
      <c r="G386" s="27"/>
      <c r="H386" s="27"/>
      <c r="I386" s="28" t="str">
        <f aca="false">IF(C386="","",IFERROR(INDEX(Settings!$C$8:$C$19,MATCH(C386,Settings!$B$8:$B$19,0)),"?"))</f>
        <v/>
      </c>
      <c r="J386" s="28" t="str">
        <f aca="false">IF(G386="","",IFERROR(INDEX(Settings!$C$8:$C$19,MATCH(G386,Settings!$B$8:$B$19,0)),"?"))</f>
        <v/>
      </c>
      <c r="K386" s="35" t="str">
        <f aca="false">IF(A386="","",DATE(YEAR(A386),MONTH(A386),1))</f>
        <v/>
      </c>
      <c r="L386" s="28" t="str">
        <f aca="false">IF(E386="","",IFERROR(INDEX(Settings!$K$8:$K$38,MATCH(E386,Settings!$H$8:$H$38,0))&amp;"",""))</f>
        <v/>
      </c>
    </row>
    <row r="387" customFormat="false" ht="15" hidden="false" customHeight="false" outlineLevel="0" collapsed="false">
      <c r="A387" s="33"/>
      <c r="B387" s="27"/>
      <c r="C387" s="27"/>
      <c r="D387" s="27"/>
      <c r="E387" s="27"/>
      <c r="F387" s="34"/>
      <c r="G387" s="27"/>
      <c r="H387" s="27"/>
      <c r="I387" s="28" t="str">
        <f aca="false">IF(C387="","",IFERROR(INDEX(Settings!$C$8:$C$19,MATCH(C387,Settings!$B$8:$B$19,0)),"?"))</f>
        <v/>
      </c>
      <c r="J387" s="28" t="str">
        <f aca="false">IF(G387="","",IFERROR(INDEX(Settings!$C$8:$C$19,MATCH(G387,Settings!$B$8:$B$19,0)),"?"))</f>
        <v/>
      </c>
      <c r="K387" s="35" t="str">
        <f aca="false">IF(A387="","",DATE(YEAR(A387),MONTH(A387),1))</f>
        <v/>
      </c>
      <c r="L387" s="28" t="str">
        <f aca="false">IF(E387="","",IFERROR(INDEX(Settings!$K$8:$K$38,MATCH(E387,Settings!$H$8:$H$38,0))&amp;"",""))</f>
        <v/>
      </c>
    </row>
    <row r="388" customFormat="false" ht="15" hidden="false" customHeight="false" outlineLevel="0" collapsed="false">
      <c r="A388" s="33"/>
      <c r="B388" s="27"/>
      <c r="C388" s="27"/>
      <c r="D388" s="27"/>
      <c r="E388" s="27"/>
      <c r="F388" s="34"/>
      <c r="G388" s="27"/>
      <c r="H388" s="27"/>
      <c r="I388" s="28" t="str">
        <f aca="false">IF(C388="","",IFERROR(INDEX(Settings!$C$8:$C$19,MATCH(C388,Settings!$B$8:$B$19,0)),"?"))</f>
        <v/>
      </c>
      <c r="J388" s="28" t="str">
        <f aca="false">IF(G388="","",IFERROR(INDEX(Settings!$C$8:$C$19,MATCH(G388,Settings!$B$8:$B$19,0)),"?"))</f>
        <v/>
      </c>
      <c r="K388" s="35" t="str">
        <f aca="false">IF(A388="","",DATE(YEAR(A388),MONTH(A388),1))</f>
        <v/>
      </c>
      <c r="L388" s="28" t="str">
        <f aca="false">IF(E388="","",IFERROR(INDEX(Settings!$K$8:$K$38,MATCH(E388,Settings!$H$8:$H$38,0))&amp;"",""))</f>
        <v/>
      </c>
    </row>
    <row r="389" customFormat="false" ht="15" hidden="false" customHeight="false" outlineLevel="0" collapsed="false">
      <c r="A389" s="33"/>
      <c r="B389" s="27"/>
      <c r="C389" s="27"/>
      <c r="D389" s="27"/>
      <c r="E389" s="27"/>
      <c r="F389" s="34"/>
      <c r="G389" s="27"/>
      <c r="H389" s="27"/>
      <c r="I389" s="28" t="str">
        <f aca="false">IF(C389="","",IFERROR(INDEX(Settings!$C$8:$C$19,MATCH(C389,Settings!$B$8:$B$19,0)),"?"))</f>
        <v/>
      </c>
      <c r="J389" s="28" t="str">
        <f aca="false">IF(G389="","",IFERROR(INDEX(Settings!$C$8:$C$19,MATCH(G389,Settings!$B$8:$B$19,0)),"?"))</f>
        <v/>
      </c>
      <c r="K389" s="35" t="str">
        <f aca="false">IF(A389="","",DATE(YEAR(A389),MONTH(A389),1))</f>
        <v/>
      </c>
      <c r="L389" s="28" t="str">
        <f aca="false">IF(E389="","",IFERROR(INDEX(Settings!$K$8:$K$38,MATCH(E389,Settings!$H$8:$H$38,0))&amp;"",""))</f>
        <v/>
      </c>
    </row>
    <row r="390" customFormat="false" ht="15" hidden="false" customHeight="false" outlineLevel="0" collapsed="false">
      <c r="A390" s="33"/>
      <c r="B390" s="27"/>
      <c r="C390" s="27"/>
      <c r="D390" s="27"/>
      <c r="E390" s="27"/>
      <c r="F390" s="34"/>
      <c r="G390" s="27"/>
      <c r="H390" s="27"/>
      <c r="I390" s="28" t="str">
        <f aca="false">IF(C390="","",IFERROR(INDEX(Settings!$C$8:$C$19,MATCH(C390,Settings!$B$8:$B$19,0)),"?"))</f>
        <v/>
      </c>
      <c r="J390" s="28" t="str">
        <f aca="false">IF(G390="","",IFERROR(INDEX(Settings!$C$8:$C$19,MATCH(G390,Settings!$B$8:$B$19,0)),"?"))</f>
        <v/>
      </c>
      <c r="K390" s="35" t="str">
        <f aca="false">IF(A390="","",DATE(YEAR(A390),MONTH(A390),1))</f>
        <v/>
      </c>
      <c r="L390" s="28" t="str">
        <f aca="false">IF(E390="","",IFERROR(INDEX(Settings!$K$8:$K$38,MATCH(E390,Settings!$H$8:$H$38,0))&amp;"",""))</f>
        <v/>
      </c>
    </row>
    <row r="391" customFormat="false" ht="15" hidden="false" customHeight="false" outlineLevel="0" collapsed="false">
      <c r="A391" s="33"/>
      <c r="B391" s="27"/>
      <c r="C391" s="27"/>
      <c r="D391" s="27"/>
      <c r="E391" s="27"/>
      <c r="F391" s="34"/>
      <c r="G391" s="27"/>
      <c r="H391" s="27"/>
      <c r="I391" s="28" t="str">
        <f aca="false">IF(C391="","",IFERROR(INDEX(Settings!$C$8:$C$19,MATCH(C391,Settings!$B$8:$B$19,0)),"?"))</f>
        <v/>
      </c>
      <c r="J391" s="28" t="str">
        <f aca="false">IF(G391="","",IFERROR(INDEX(Settings!$C$8:$C$19,MATCH(G391,Settings!$B$8:$B$19,0)),"?"))</f>
        <v/>
      </c>
      <c r="K391" s="35" t="str">
        <f aca="false">IF(A391="","",DATE(YEAR(A391),MONTH(A391),1))</f>
        <v/>
      </c>
      <c r="L391" s="28" t="str">
        <f aca="false">IF(E391="","",IFERROR(INDEX(Settings!$K$8:$K$38,MATCH(E391,Settings!$H$8:$H$38,0))&amp;"",""))</f>
        <v/>
      </c>
    </row>
    <row r="392" customFormat="false" ht="15" hidden="false" customHeight="false" outlineLevel="0" collapsed="false">
      <c r="A392" s="33"/>
      <c r="B392" s="27"/>
      <c r="C392" s="27"/>
      <c r="D392" s="27"/>
      <c r="E392" s="27"/>
      <c r="F392" s="34"/>
      <c r="G392" s="27"/>
      <c r="H392" s="27"/>
      <c r="I392" s="28" t="str">
        <f aca="false">IF(C392="","",IFERROR(INDEX(Settings!$C$8:$C$19,MATCH(C392,Settings!$B$8:$B$19,0)),"?"))</f>
        <v/>
      </c>
      <c r="J392" s="28" t="str">
        <f aca="false">IF(G392="","",IFERROR(INDEX(Settings!$C$8:$C$19,MATCH(G392,Settings!$B$8:$B$19,0)),"?"))</f>
        <v/>
      </c>
      <c r="K392" s="35" t="str">
        <f aca="false">IF(A392="","",DATE(YEAR(A392),MONTH(A392),1))</f>
        <v/>
      </c>
      <c r="L392" s="28" t="str">
        <f aca="false">IF(E392="","",IFERROR(INDEX(Settings!$K$8:$K$38,MATCH(E392,Settings!$H$8:$H$38,0))&amp;"",""))</f>
        <v/>
      </c>
    </row>
    <row r="393" customFormat="false" ht="15" hidden="false" customHeight="false" outlineLevel="0" collapsed="false">
      <c r="A393" s="33"/>
      <c r="B393" s="27"/>
      <c r="C393" s="27"/>
      <c r="D393" s="27"/>
      <c r="E393" s="27"/>
      <c r="F393" s="34"/>
      <c r="G393" s="27"/>
      <c r="H393" s="27"/>
      <c r="I393" s="28" t="str">
        <f aca="false">IF(C393="","",IFERROR(INDEX(Settings!$C$8:$C$19,MATCH(C393,Settings!$B$8:$B$19,0)),"?"))</f>
        <v/>
      </c>
      <c r="J393" s="28" t="str">
        <f aca="false">IF(G393="","",IFERROR(INDEX(Settings!$C$8:$C$19,MATCH(G393,Settings!$B$8:$B$19,0)),"?"))</f>
        <v/>
      </c>
      <c r="K393" s="35" t="str">
        <f aca="false">IF(A393="","",DATE(YEAR(A393),MONTH(A393),1))</f>
        <v/>
      </c>
      <c r="L393" s="28" t="str">
        <f aca="false">IF(E393="","",IFERROR(INDEX(Settings!$K$8:$K$38,MATCH(E393,Settings!$H$8:$H$38,0))&amp;"",""))</f>
        <v/>
      </c>
    </row>
    <row r="394" customFormat="false" ht="15" hidden="false" customHeight="false" outlineLevel="0" collapsed="false">
      <c r="A394" s="33"/>
      <c r="B394" s="27"/>
      <c r="C394" s="27"/>
      <c r="D394" s="27"/>
      <c r="E394" s="27"/>
      <c r="F394" s="34"/>
      <c r="G394" s="27"/>
      <c r="H394" s="27"/>
      <c r="I394" s="28" t="str">
        <f aca="false">IF(C394="","",IFERROR(INDEX(Settings!$C$8:$C$19,MATCH(C394,Settings!$B$8:$B$19,0)),"?"))</f>
        <v/>
      </c>
      <c r="J394" s="28" t="str">
        <f aca="false">IF(G394="","",IFERROR(INDEX(Settings!$C$8:$C$19,MATCH(G394,Settings!$B$8:$B$19,0)),"?"))</f>
        <v/>
      </c>
      <c r="K394" s="35" t="str">
        <f aca="false">IF(A394="","",DATE(YEAR(A394),MONTH(A394),1))</f>
        <v/>
      </c>
      <c r="L394" s="28" t="str">
        <f aca="false">IF(E394="","",IFERROR(INDEX(Settings!$K$8:$K$38,MATCH(E394,Settings!$H$8:$H$38,0))&amp;"",""))</f>
        <v/>
      </c>
    </row>
    <row r="395" customFormat="false" ht="15" hidden="false" customHeight="false" outlineLevel="0" collapsed="false">
      <c r="A395" s="33"/>
      <c r="B395" s="27"/>
      <c r="C395" s="27"/>
      <c r="D395" s="27"/>
      <c r="E395" s="27"/>
      <c r="F395" s="34"/>
      <c r="G395" s="27"/>
      <c r="H395" s="27"/>
      <c r="I395" s="28" t="str">
        <f aca="false">IF(C395="","",IFERROR(INDEX(Settings!$C$8:$C$19,MATCH(C395,Settings!$B$8:$B$19,0)),"?"))</f>
        <v/>
      </c>
      <c r="J395" s="28" t="str">
        <f aca="false">IF(G395="","",IFERROR(INDEX(Settings!$C$8:$C$19,MATCH(G395,Settings!$B$8:$B$19,0)),"?"))</f>
        <v/>
      </c>
      <c r="K395" s="35" t="str">
        <f aca="false">IF(A395="","",DATE(YEAR(A395),MONTH(A395),1))</f>
        <v/>
      </c>
      <c r="L395" s="28" t="str">
        <f aca="false">IF(E395="","",IFERROR(INDEX(Settings!$K$8:$K$38,MATCH(E395,Settings!$H$8:$H$38,0))&amp;"",""))</f>
        <v/>
      </c>
    </row>
    <row r="396" customFormat="false" ht="15" hidden="false" customHeight="false" outlineLevel="0" collapsed="false">
      <c r="A396" s="33"/>
      <c r="B396" s="27"/>
      <c r="C396" s="27"/>
      <c r="D396" s="27"/>
      <c r="E396" s="27"/>
      <c r="F396" s="34"/>
      <c r="G396" s="27"/>
      <c r="H396" s="27"/>
      <c r="I396" s="28" t="str">
        <f aca="false">IF(C396="","",IFERROR(INDEX(Settings!$C$8:$C$19,MATCH(C396,Settings!$B$8:$B$19,0)),"?"))</f>
        <v/>
      </c>
      <c r="J396" s="28" t="str">
        <f aca="false">IF(G396="","",IFERROR(INDEX(Settings!$C$8:$C$19,MATCH(G396,Settings!$B$8:$B$19,0)),"?"))</f>
        <v/>
      </c>
      <c r="K396" s="35" t="str">
        <f aca="false">IF(A396="","",DATE(YEAR(A396),MONTH(A396),1))</f>
        <v/>
      </c>
      <c r="L396" s="28" t="str">
        <f aca="false">IF(E396="","",IFERROR(INDEX(Settings!$K$8:$K$38,MATCH(E396,Settings!$H$8:$H$38,0))&amp;"",""))</f>
        <v/>
      </c>
    </row>
    <row r="397" customFormat="false" ht="15" hidden="false" customHeight="false" outlineLevel="0" collapsed="false">
      <c r="A397" s="33"/>
      <c r="B397" s="27"/>
      <c r="C397" s="27"/>
      <c r="D397" s="27"/>
      <c r="E397" s="27"/>
      <c r="F397" s="34"/>
      <c r="G397" s="27"/>
      <c r="H397" s="27"/>
      <c r="I397" s="28" t="str">
        <f aca="false">IF(C397="","",IFERROR(INDEX(Settings!$C$8:$C$19,MATCH(C397,Settings!$B$8:$B$19,0)),"?"))</f>
        <v/>
      </c>
      <c r="J397" s="28" t="str">
        <f aca="false">IF(G397="","",IFERROR(INDEX(Settings!$C$8:$C$19,MATCH(G397,Settings!$B$8:$B$19,0)),"?"))</f>
        <v/>
      </c>
      <c r="K397" s="35" t="str">
        <f aca="false">IF(A397="","",DATE(YEAR(A397),MONTH(A397),1))</f>
        <v/>
      </c>
      <c r="L397" s="28" t="str">
        <f aca="false">IF(E397="","",IFERROR(INDEX(Settings!$K$8:$K$38,MATCH(E397,Settings!$H$8:$H$38,0))&amp;"",""))</f>
        <v/>
      </c>
    </row>
    <row r="398" customFormat="false" ht="15" hidden="false" customHeight="false" outlineLevel="0" collapsed="false">
      <c r="A398" s="33"/>
      <c r="B398" s="27"/>
      <c r="C398" s="27"/>
      <c r="D398" s="27"/>
      <c r="E398" s="27"/>
      <c r="F398" s="34"/>
      <c r="G398" s="27"/>
      <c r="H398" s="27"/>
      <c r="I398" s="28" t="str">
        <f aca="false">IF(C398="","",IFERROR(INDEX(Settings!$C$8:$C$19,MATCH(C398,Settings!$B$8:$B$19,0)),"?"))</f>
        <v/>
      </c>
      <c r="J398" s="28" t="str">
        <f aca="false">IF(G398="","",IFERROR(INDEX(Settings!$C$8:$C$19,MATCH(G398,Settings!$B$8:$B$19,0)),"?"))</f>
        <v/>
      </c>
      <c r="K398" s="35" t="str">
        <f aca="false">IF(A398="","",DATE(YEAR(A398),MONTH(A398),1))</f>
        <v/>
      </c>
      <c r="L398" s="28" t="str">
        <f aca="false">IF(E398="","",IFERROR(INDEX(Settings!$K$8:$K$38,MATCH(E398,Settings!$H$8:$H$38,0))&amp;"",""))</f>
        <v/>
      </c>
    </row>
    <row r="399" customFormat="false" ht="15" hidden="false" customHeight="false" outlineLevel="0" collapsed="false">
      <c r="A399" s="33"/>
      <c r="B399" s="27"/>
      <c r="C399" s="27"/>
      <c r="D399" s="27"/>
      <c r="E399" s="27"/>
      <c r="F399" s="34"/>
      <c r="G399" s="27"/>
      <c r="H399" s="27"/>
      <c r="I399" s="28" t="str">
        <f aca="false">IF(C399="","",IFERROR(INDEX(Settings!$C$8:$C$19,MATCH(C399,Settings!$B$8:$B$19,0)),"?"))</f>
        <v/>
      </c>
      <c r="J399" s="28" t="str">
        <f aca="false">IF(G399="","",IFERROR(INDEX(Settings!$C$8:$C$19,MATCH(G399,Settings!$B$8:$B$19,0)),"?"))</f>
        <v/>
      </c>
      <c r="K399" s="35" t="str">
        <f aca="false">IF(A399="","",DATE(YEAR(A399),MONTH(A399),1))</f>
        <v/>
      </c>
      <c r="L399" s="28" t="str">
        <f aca="false">IF(E399="","",IFERROR(INDEX(Settings!$K$8:$K$38,MATCH(E399,Settings!$H$8:$H$38,0))&amp;"",""))</f>
        <v/>
      </c>
    </row>
    <row r="400" customFormat="false" ht="15" hidden="false" customHeight="false" outlineLevel="0" collapsed="false">
      <c r="A400" s="33"/>
      <c r="B400" s="27"/>
      <c r="C400" s="27"/>
      <c r="D400" s="27"/>
      <c r="E400" s="27"/>
      <c r="F400" s="34"/>
      <c r="G400" s="27"/>
      <c r="H400" s="27"/>
      <c r="I400" s="28" t="str">
        <f aca="false">IF(C400="","",IFERROR(INDEX(Settings!$C$8:$C$19,MATCH(C400,Settings!$B$8:$B$19,0)),"?"))</f>
        <v/>
      </c>
      <c r="J400" s="28" t="str">
        <f aca="false">IF(G400="","",IFERROR(INDEX(Settings!$C$8:$C$19,MATCH(G400,Settings!$B$8:$B$19,0)),"?"))</f>
        <v/>
      </c>
      <c r="K400" s="35" t="str">
        <f aca="false">IF(A400="","",DATE(YEAR(A400),MONTH(A400),1))</f>
        <v/>
      </c>
      <c r="L400" s="28" t="str">
        <f aca="false">IF(E400="","",IFERROR(INDEX(Settings!$K$8:$K$38,MATCH(E400,Settings!$H$8:$H$38,0))&amp;"",""))</f>
        <v/>
      </c>
    </row>
    <row r="401" customFormat="false" ht="15" hidden="false" customHeight="false" outlineLevel="0" collapsed="false">
      <c r="A401" s="33"/>
      <c r="B401" s="27"/>
      <c r="C401" s="27"/>
      <c r="D401" s="27"/>
      <c r="E401" s="27"/>
      <c r="F401" s="34"/>
      <c r="G401" s="27"/>
      <c r="H401" s="27"/>
      <c r="I401" s="28" t="str">
        <f aca="false">IF(C401="","",IFERROR(INDEX(Settings!$C$8:$C$19,MATCH(C401,Settings!$B$8:$B$19,0)),"?"))</f>
        <v/>
      </c>
      <c r="J401" s="28" t="str">
        <f aca="false">IF(G401="","",IFERROR(INDEX(Settings!$C$8:$C$19,MATCH(G401,Settings!$B$8:$B$19,0)),"?"))</f>
        <v/>
      </c>
      <c r="K401" s="35" t="str">
        <f aca="false">IF(A401="","",DATE(YEAR(A401),MONTH(A401),1))</f>
        <v/>
      </c>
      <c r="L401" s="28" t="str">
        <f aca="false">IF(E401="","",IFERROR(INDEX(Settings!$K$8:$K$38,MATCH(E401,Settings!$H$8:$H$38,0))&amp;"",""))</f>
        <v/>
      </c>
    </row>
    <row r="402" customFormat="false" ht="15" hidden="false" customHeight="false" outlineLevel="0" collapsed="false">
      <c r="A402" s="33"/>
      <c r="B402" s="27"/>
      <c r="C402" s="27"/>
      <c r="D402" s="27"/>
      <c r="E402" s="27"/>
      <c r="F402" s="34"/>
      <c r="G402" s="27"/>
      <c r="H402" s="27"/>
      <c r="I402" s="28" t="str">
        <f aca="false">IF(C402="","",IFERROR(INDEX(Settings!$C$8:$C$19,MATCH(C402,Settings!$B$8:$B$19,0)),"?"))</f>
        <v/>
      </c>
      <c r="J402" s="28" t="str">
        <f aca="false">IF(G402="","",IFERROR(INDEX(Settings!$C$8:$C$19,MATCH(G402,Settings!$B$8:$B$19,0)),"?"))</f>
        <v/>
      </c>
      <c r="K402" s="35" t="str">
        <f aca="false">IF(A402="","",DATE(YEAR(A402),MONTH(A402),1))</f>
        <v/>
      </c>
      <c r="L402" s="28" t="str">
        <f aca="false">IF(E402="","",IFERROR(INDEX(Settings!$K$8:$K$38,MATCH(E402,Settings!$H$8:$H$38,0))&amp;"",""))</f>
        <v/>
      </c>
    </row>
    <row r="403" customFormat="false" ht="15" hidden="false" customHeight="false" outlineLevel="0" collapsed="false">
      <c r="A403" s="33"/>
      <c r="B403" s="27"/>
      <c r="C403" s="27"/>
      <c r="D403" s="27"/>
      <c r="E403" s="27"/>
      <c r="F403" s="34"/>
      <c r="G403" s="27"/>
      <c r="H403" s="27"/>
      <c r="I403" s="28" t="str">
        <f aca="false">IF(C403="","",IFERROR(INDEX(Settings!$C$8:$C$19,MATCH(C403,Settings!$B$8:$B$19,0)),"?"))</f>
        <v/>
      </c>
      <c r="J403" s="28" t="str">
        <f aca="false">IF(G403="","",IFERROR(INDEX(Settings!$C$8:$C$19,MATCH(G403,Settings!$B$8:$B$19,0)),"?"))</f>
        <v/>
      </c>
      <c r="K403" s="35" t="str">
        <f aca="false">IF(A403="","",DATE(YEAR(A403),MONTH(A403),1))</f>
        <v/>
      </c>
      <c r="L403" s="28" t="str">
        <f aca="false">IF(E403="","",IFERROR(INDEX(Settings!$K$8:$K$38,MATCH(E403,Settings!$H$8:$H$38,0))&amp;"",""))</f>
        <v/>
      </c>
    </row>
    <row r="404" customFormat="false" ht="15" hidden="false" customHeight="false" outlineLevel="0" collapsed="false">
      <c r="A404" s="33"/>
      <c r="B404" s="27"/>
      <c r="C404" s="27"/>
      <c r="D404" s="27"/>
      <c r="E404" s="27"/>
      <c r="F404" s="34"/>
      <c r="G404" s="27"/>
      <c r="H404" s="27"/>
      <c r="I404" s="28" t="str">
        <f aca="false">IF(C404="","",IFERROR(INDEX(Settings!$C$8:$C$19,MATCH(C404,Settings!$B$8:$B$19,0)),"?"))</f>
        <v/>
      </c>
      <c r="J404" s="28" t="str">
        <f aca="false">IF(G404="","",IFERROR(INDEX(Settings!$C$8:$C$19,MATCH(G404,Settings!$B$8:$B$19,0)),"?"))</f>
        <v/>
      </c>
      <c r="K404" s="35" t="str">
        <f aca="false">IF(A404="","",DATE(YEAR(A404),MONTH(A404),1))</f>
        <v/>
      </c>
      <c r="L404" s="28" t="str">
        <f aca="false">IF(E404="","",IFERROR(INDEX(Settings!$K$8:$K$38,MATCH(E404,Settings!$H$8:$H$38,0))&amp;"",""))</f>
        <v/>
      </c>
    </row>
    <row r="405" customFormat="false" ht="15" hidden="false" customHeight="false" outlineLevel="0" collapsed="false">
      <c r="A405" s="33"/>
      <c r="B405" s="27"/>
      <c r="C405" s="27"/>
      <c r="D405" s="27"/>
      <c r="E405" s="27"/>
      <c r="F405" s="34"/>
      <c r="G405" s="27"/>
      <c r="H405" s="27"/>
      <c r="I405" s="28" t="str">
        <f aca="false">IF(C405="","",IFERROR(INDEX(Settings!$C$8:$C$19,MATCH(C405,Settings!$B$8:$B$19,0)),"?"))</f>
        <v/>
      </c>
      <c r="J405" s="28" t="str">
        <f aca="false">IF(G405="","",IFERROR(INDEX(Settings!$C$8:$C$19,MATCH(G405,Settings!$B$8:$B$19,0)),"?"))</f>
        <v/>
      </c>
      <c r="K405" s="35" t="str">
        <f aca="false">IF(A405="","",DATE(YEAR(A405),MONTH(A405),1))</f>
        <v/>
      </c>
      <c r="L405" s="28" t="str">
        <f aca="false">IF(E405="","",IFERROR(INDEX(Settings!$K$8:$K$38,MATCH(E405,Settings!$H$8:$H$38,0))&amp;"",""))</f>
        <v/>
      </c>
    </row>
    <row r="406" customFormat="false" ht="15" hidden="false" customHeight="false" outlineLevel="0" collapsed="false">
      <c r="A406" s="33"/>
      <c r="B406" s="27"/>
      <c r="C406" s="27"/>
      <c r="D406" s="27"/>
      <c r="E406" s="27"/>
      <c r="F406" s="34"/>
      <c r="G406" s="27"/>
      <c r="H406" s="27"/>
      <c r="I406" s="28" t="str">
        <f aca="false">IF(C406="","",IFERROR(INDEX(Settings!$C$8:$C$19,MATCH(C406,Settings!$B$8:$B$19,0)),"?"))</f>
        <v/>
      </c>
      <c r="J406" s="28" t="str">
        <f aca="false">IF(G406="","",IFERROR(INDEX(Settings!$C$8:$C$19,MATCH(G406,Settings!$B$8:$B$19,0)),"?"))</f>
        <v/>
      </c>
      <c r="K406" s="35" t="str">
        <f aca="false">IF(A406="","",DATE(YEAR(A406),MONTH(A406),1))</f>
        <v/>
      </c>
      <c r="L406" s="28" t="str">
        <f aca="false">IF(E406="","",IFERROR(INDEX(Settings!$K$8:$K$38,MATCH(E406,Settings!$H$8:$H$38,0))&amp;"",""))</f>
        <v/>
      </c>
    </row>
    <row r="407" customFormat="false" ht="15" hidden="false" customHeight="false" outlineLevel="0" collapsed="false">
      <c r="A407" s="33"/>
      <c r="B407" s="27"/>
      <c r="C407" s="27"/>
      <c r="D407" s="27"/>
      <c r="E407" s="27"/>
      <c r="F407" s="34"/>
      <c r="G407" s="27"/>
      <c r="H407" s="27"/>
      <c r="I407" s="28" t="str">
        <f aca="false">IF(C407="","",IFERROR(INDEX(Settings!$C$8:$C$19,MATCH(C407,Settings!$B$8:$B$19,0)),"?"))</f>
        <v/>
      </c>
      <c r="J407" s="28" t="str">
        <f aca="false">IF(G407="","",IFERROR(INDEX(Settings!$C$8:$C$19,MATCH(G407,Settings!$B$8:$B$19,0)),"?"))</f>
        <v/>
      </c>
      <c r="K407" s="35" t="str">
        <f aca="false">IF(A407="","",DATE(YEAR(A407),MONTH(A407),1))</f>
        <v/>
      </c>
      <c r="L407" s="28" t="str">
        <f aca="false">IF(E407="","",IFERROR(INDEX(Settings!$K$8:$K$38,MATCH(E407,Settings!$H$8:$H$38,0))&amp;"",""))</f>
        <v/>
      </c>
    </row>
    <row r="408" customFormat="false" ht="15" hidden="false" customHeight="false" outlineLevel="0" collapsed="false">
      <c r="A408" s="33"/>
      <c r="B408" s="27"/>
      <c r="C408" s="27"/>
      <c r="D408" s="27"/>
      <c r="E408" s="27"/>
      <c r="F408" s="34"/>
      <c r="G408" s="27"/>
      <c r="H408" s="27"/>
      <c r="I408" s="28" t="str">
        <f aca="false">IF(C408="","",IFERROR(INDEX(Settings!$C$8:$C$19,MATCH(C408,Settings!$B$8:$B$19,0)),"?"))</f>
        <v/>
      </c>
      <c r="J408" s="28" t="str">
        <f aca="false">IF(G408="","",IFERROR(INDEX(Settings!$C$8:$C$19,MATCH(G408,Settings!$B$8:$B$19,0)),"?"))</f>
        <v/>
      </c>
      <c r="K408" s="35" t="str">
        <f aca="false">IF(A408="","",DATE(YEAR(A408),MONTH(A408),1))</f>
        <v/>
      </c>
      <c r="L408" s="28" t="str">
        <f aca="false">IF(E408="","",IFERROR(INDEX(Settings!$K$8:$K$38,MATCH(E408,Settings!$H$8:$H$38,0))&amp;"",""))</f>
        <v/>
      </c>
    </row>
    <row r="409" customFormat="false" ht="15" hidden="false" customHeight="false" outlineLevel="0" collapsed="false">
      <c r="A409" s="33"/>
      <c r="B409" s="27"/>
      <c r="C409" s="27"/>
      <c r="D409" s="27"/>
      <c r="E409" s="27"/>
      <c r="F409" s="34"/>
      <c r="G409" s="27"/>
      <c r="H409" s="27"/>
      <c r="I409" s="28" t="str">
        <f aca="false">IF(C409="","",IFERROR(INDEX(Settings!$C$8:$C$19,MATCH(C409,Settings!$B$8:$B$19,0)),"?"))</f>
        <v/>
      </c>
      <c r="J409" s="28" t="str">
        <f aca="false">IF(G409="","",IFERROR(INDEX(Settings!$C$8:$C$19,MATCH(G409,Settings!$B$8:$B$19,0)),"?"))</f>
        <v/>
      </c>
      <c r="K409" s="35" t="str">
        <f aca="false">IF(A409="","",DATE(YEAR(A409),MONTH(A409),1))</f>
        <v/>
      </c>
      <c r="L409" s="28" t="str">
        <f aca="false">IF(E409="","",IFERROR(INDEX(Settings!$K$8:$K$38,MATCH(E409,Settings!$H$8:$H$38,0))&amp;"",""))</f>
        <v/>
      </c>
    </row>
    <row r="410" customFormat="false" ht="15" hidden="false" customHeight="false" outlineLevel="0" collapsed="false">
      <c r="A410" s="33"/>
      <c r="B410" s="27"/>
      <c r="C410" s="27"/>
      <c r="D410" s="27"/>
      <c r="E410" s="27"/>
      <c r="F410" s="34"/>
      <c r="G410" s="27"/>
      <c r="H410" s="27"/>
      <c r="I410" s="28" t="str">
        <f aca="false">IF(C410="","",IFERROR(INDEX(Settings!$C$8:$C$19,MATCH(C410,Settings!$B$8:$B$19,0)),"?"))</f>
        <v/>
      </c>
      <c r="J410" s="28" t="str">
        <f aca="false">IF(G410="","",IFERROR(INDEX(Settings!$C$8:$C$19,MATCH(G410,Settings!$B$8:$B$19,0)),"?"))</f>
        <v/>
      </c>
      <c r="K410" s="35" t="str">
        <f aca="false">IF(A410="","",DATE(YEAR(A410),MONTH(A410),1))</f>
        <v/>
      </c>
      <c r="L410" s="28" t="str">
        <f aca="false">IF(E410="","",IFERROR(INDEX(Settings!$K$8:$K$38,MATCH(E410,Settings!$H$8:$H$38,0))&amp;"",""))</f>
        <v/>
      </c>
    </row>
    <row r="411" customFormat="false" ht="15" hidden="false" customHeight="false" outlineLevel="0" collapsed="false">
      <c r="A411" s="33"/>
      <c r="B411" s="27"/>
      <c r="C411" s="27"/>
      <c r="D411" s="27"/>
      <c r="E411" s="27"/>
      <c r="F411" s="34"/>
      <c r="G411" s="27"/>
      <c r="H411" s="27"/>
      <c r="I411" s="28" t="str">
        <f aca="false">IF(C411="","",IFERROR(INDEX(Settings!$C$8:$C$19,MATCH(C411,Settings!$B$8:$B$19,0)),"?"))</f>
        <v/>
      </c>
      <c r="J411" s="28" t="str">
        <f aca="false">IF(G411="","",IFERROR(INDEX(Settings!$C$8:$C$19,MATCH(G411,Settings!$B$8:$B$19,0)),"?"))</f>
        <v/>
      </c>
      <c r="K411" s="35" t="str">
        <f aca="false">IF(A411="","",DATE(YEAR(A411),MONTH(A411),1))</f>
        <v/>
      </c>
      <c r="L411" s="28" t="str">
        <f aca="false">IF(E411="","",IFERROR(INDEX(Settings!$K$8:$K$38,MATCH(E411,Settings!$H$8:$H$38,0))&amp;"",""))</f>
        <v/>
      </c>
    </row>
    <row r="412" customFormat="false" ht="15" hidden="false" customHeight="false" outlineLevel="0" collapsed="false">
      <c r="A412" s="33"/>
      <c r="B412" s="27"/>
      <c r="C412" s="27"/>
      <c r="D412" s="27"/>
      <c r="E412" s="27"/>
      <c r="F412" s="34"/>
      <c r="G412" s="27"/>
      <c r="H412" s="27"/>
      <c r="I412" s="28" t="str">
        <f aca="false">IF(C412="","",IFERROR(INDEX(Settings!$C$8:$C$19,MATCH(C412,Settings!$B$8:$B$19,0)),"?"))</f>
        <v/>
      </c>
      <c r="J412" s="28" t="str">
        <f aca="false">IF(G412="","",IFERROR(INDEX(Settings!$C$8:$C$19,MATCH(G412,Settings!$B$8:$B$19,0)),"?"))</f>
        <v/>
      </c>
      <c r="K412" s="35" t="str">
        <f aca="false">IF(A412="","",DATE(YEAR(A412),MONTH(A412),1))</f>
        <v/>
      </c>
      <c r="L412" s="28" t="str">
        <f aca="false">IF(E412="","",IFERROR(INDEX(Settings!$K$8:$K$38,MATCH(E412,Settings!$H$8:$H$38,0))&amp;"",""))</f>
        <v/>
      </c>
    </row>
    <row r="413" customFormat="false" ht="15" hidden="false" customHeight="false" outlineLevel="0" collapsed="false">
      <c r="A413" s="33"/>
      <c r="B413" s="27"/>
      <c r="C413" s="27"/>
      <c r="D413" s="27"/>
      <c r="E413" s="27"/>
      <c r="F413" s="34"/>
      <c r="G413" s="27"/>
      <c r="H413" s="27"/>
      <c r="I413" s="28" t="str">
        <f aca="false">IF(C413="","",IFERROR(INDEX(Settings!$C$8:$C$19,MATCH(C413,Settings!$B$8:$B$19,0)),"?"))</f>
        <v/>
      </c>
      <c r="J413" s="28" t="str">
        <f aca="false">IF(G413="","",IFERROR(INDEX(Settings!$C$8:$C$19,MATCH(G413,Settings!$B$8:$B$19,0)),"?"))</f>
        <v/>
      </c>
      <c r="K413" s="35" t="str">
        <f aca="false">IF(A413="","",DATE(YEAR(A413),MONTH(A413),1))</f>
        <v/>
      </c>
      <c r="L413" s="28" t="str">
        <f aca="false">IF(E413="","",IFERROR(INDEX(Settings!$K$8:$K$38,MATCH(E413,Settings!$H$8:$H$38,0))&amp;"",""))</f>
        <v/>
      </c>
    </row>
    <row r="414" customFormat="false" ht="15" hidden="false" customHeight="false" outlineLevel="0" collapsed="false">
      <c r="A414" s="33"/>
      <c r="B414" s="27"/>
      <c r="C414" s="27"/>
      <c r="D414" s="27"/>
      <c r="E414" s="27"/>
      <c r="F414" s="34"/>
      <c r="G414" s="27"/>
      <c r="H414" s="27"/>
      <c r="I414" s="28" t="str">
        <f aca="false">IF(C414="","",IFERROR(INDEX(Settings!$C$8:$C$19,MATCH(C414,Settings!$B$8:$B$19,0)),"?"))</f>
        <v/>
      </c>
      <c r="J414" s="28" t="str">
        <f aca="false">IF(G414="","",IFERROR(INDEX(Settings!$C$8:$C$19,MATCH(G414,Settings!$B$8:$B$19,0)),"?"))</f>
        <v/>
      </c>
      <c r="K414" s="35" t="str">
        <f aca="false">IF(A414="","",DATE(YEAR(A414),MONTH(A414),1))</f>
        <v/>
      </c>
      <c r="L414" s="28" t="str">
        <f aca="false">IF(E414="","",IFERROR(INDEX(Settings!$K$8:$K$38,MATCH(E414,Settings!$H$8:$H$38,0))&amp;"",""))</f>
        <v/>
      </c>
    </row>
    <row r="415" customFormat="false" ht="15" hidden="false" customHeight="false" outlineLevel="0" collapsed="false">
      <c r="A415" s="33"/>
      <c r="B415" s="27"/>
      <c r="C415" s="27"/>
      <c r="D415" s="27"/>
      <c r="E415" s="27"/>
      <c r="F415" s="34"/>
      <c r="G415" s="27"/>
      <c r="H415" s="27"/>
      <c r="I415" s="28" t="str">
        <f aca="false">IF(C415="","",IFERROR(INDEX(Settings!$C$8:$C$19,MATCH(C415,Settings!$B$8:$B$19,0)),"?"))</f>
        <v/>
      </c>
      <c r="J415" s="28" t="str">
        <f aca="false">IF(G415="","",IFERROR(INDEX(Settings!$C$8:$C$19,MATCH(G415,Settings!$B$8:$B$19,0)),"?"))</f>
        <v/>
      </c>
      <c r="K415" s="35" t="str">
        <f aca="false">IF(A415="","",DATE(YEAR(A415),MONTH(A415),1))</f>
        <v/>
      </c>
      <c r="L415" s="28" t="str">
        <f aca="false">IF(E415="","",IFERROR(INDEX(Settings!$K$8:$K$38,MATCH(E415,Settings!$H$8:$H$38,0))&amp;"",""))</f>
        <v/>
      </c>
    </row>
    <row r="416" customFormat="false" ht="15" hidden="false" customHeight="false" outlineLevel="0" collapsed="false">
      <c r="A416" s="33"/>
      <c r="B416" s="27"/>
      <c r="C416" s="27"/>
      <c r="D416" s="27"/>
      <c r="E416" s="27"/>
      <c r="F416" s="34"/>
      <c r="G416" s="27"/>
      <c r="H416" s="27"/>
      <c r="I416" s="28" t="str">
        <f aca="false">IF(C416="","",IFERROR(INDEX(Settings!$C$8:$C$19,MATCH(C416,Settings!$B$8:$B$19,0)),"?"))</f>
        <v/>
      </c>
      <c r="J416" s="28" t="str">
        <f aca="false">IF(G416="","",IFERROR(INDEX(Settings!$C$8:$C$19,MATCH(G416,Settings!$B$8:$B$19,0)),"?"))</f>
        <v/>
      </c>
      <c r="K416" s="35" t="str">
        <f aca="false">IF(A416="","",DATE(YEAR(A416),MONTH(A416),1))</f>
        <v/>
      </c>
      <c r="L416" s="28" t="str">
        <f aca="false">IF(E416="","",IFERROR(INDEX(Settings!$K$8:$K$38,MATCH(E416,Settings!$H$8:$H$38,0))&amp;"",""))</f>
        <v/>
      </c>
    </row>
    <row r="417" customFormat="false" ht="15" hidden="false" customHeight="false" outlineLevel="0" collapsed="false">
      <c r="A417" s="33"/>
      <c r="B417" s="27"/>
      <c r="C417" s="27"/>
      <c r="D417" s="27"/>
      <c r="E417" s="27"/>
      <c r="F417" s="34"/>
      <c r="G417" s="27"/>
      <c r="H417" s="27"/>
      <c r="I417" s="28" t="str">
        <f aca="false">IF(C417="","",IFERROR(INDEX(Settings!$C$8:$C$19,MATCH(C417,Settings!$B$8:$B$19,0)),"?"))</f>
        <v/>
      </c>
      <c r="J417" s="28" t="str">
        <f aca="false">IF(G417="","",IFERROR(INDEX(Settings!$C$8:$C$19,MATCH(G417,Settings!$B$8:$B$19,0)),"?"))</f>
        <v/>
      </c>
      <c r="K417" s="35" t="str">
        <f aca="false">IF(A417="","",DATE(YEAR(A417),MONTH(A417),1))</f>
        <v/>
      </c>
      <c r="L417" s="28" t="str">
        <f aca="false">IF(E417="","",IFERROR(INDEX(Settings!$K$8:$K$38,MATCH(E417,Settings!$H$8:$H$38,0))&amp;"",""))</f>
        <v/>
      </c>
    </row>
    <row r="418" customFormat="false" ht="15" hidden="false" customHeight="false" outlineLevel="0" collapsed="false">
      <c r="A418" s="33"/>
      <c r="B418" s="27"/>
      <c r="C418" s="27"/>
      <c r="D418" s="27"/>
      <c r="E418" s="27"/>
      <c r="F418" s="34"/>
      <c r="G418" s="27"/>
      <c r="H418" s="27"/>
      <c r="I418" s="28" t="str">
        <f aca="false">IF(C418="","",IFERROR(INDEX(Settings!$C$8:$C$19,MATCH(C418,Settings!$B$8:$B$19,0)),"?"))</f>
        <v/>
      </c>
      <c r="J418" s="28" t="str">
        <f aca="false">IF(G418="","",IFERROR(INDEX(Settings!$C$8:$C$19,MATCH(G418,Settings!$B$8:$B$19,0)),"?"))</f>
        <v/>
      </c>
      <c r="K418" s="35" t="str">
        <f aca="false">IF(A418="","",DATE(YEAR(A418),MONTH(A418),1))</f>
        <v/>
      </c>
      <c r="L418" s="28" t="str">
        <f aca="false">IF(E418="","",IFERROR(INDEX(Settings!$K$8:$K$38,MATCH(E418,Settings!$H$8:$H$38,0))&amp;"",""))</f>
        <v/>
      </c>
    </row>
    <row r="419" customFormat="false" ht="15" hidden="false" customHeight="false" outlineLevel="0" collapsed="false">
      <c r="A419" s="33"/>
      <c r="B419" s="27"/>
      <c r="C419" s="27"/>
      <c r="D419" s="27"/>
      <c r="E419" s="27"/>
      <c r="F419" s="34"/>
      <c r="G419" s="27"/>
      <c r="H419" s="27"/>
      <c r="I419" s="28" t="str">
        <f aca="false">IF(C419="","",IFERROR(INDEX(Settings!$C$8:$C$19,MATCH(C419,Settings!$B$8:$B$19,0)),"?"))</f>
        <v/>
      </c>
      <c r="J419" s="28" t="str">
        <f aca="false">IF(G419="","",IFERROR(INDEX(Settings!$C$8:$C$19,MATCH(G419,Settings!$B$8:$B$19,0)),"?"))</f>
        <v/>
      </c>
      <c r="K419" s="35" t="str">
        <f aca="false">IF(A419="","",DATE(YEAR(A419),MONTH(A419),1))</f>
        <v/>
      </c>
      <c r="L419" s="28" t="str">
        <f aca="false">IF(E419="","",IFERROR(INDEX(Settings!$K$8:$K$38,MATCH(E419,Settings!$H$8:$H$38,0))&amp;"",""))</f>
        <v/>
      </c>
    </row>
    <row r="420" customFormat="false" ht="15" hidden="false" customHeight="false" outlineLevel="0" collapsed="false">
      <c r="A420" s="33"/>
      <c r="B420" s="27"/>
      <c r="C420" s="27"/>
      <c r="D420" s="27"/>
      <c r="E420" s="27"/>
      <c r="F420" s="34"/>
      <c r="G420" s="27"/>
      <c r="H420" s="27"/>
      <c r="I420" s="28" t="str">
        <f aca="false">IF(C420="","",IFERROR(INDEX(Settings!$C$8:$C$19,MATCH(C420,Settings!$B$8:$B$19,0)),"?"))</f>
        <v/>
      </c>
      <c r="J420" s="28" t="str">
        <f aca="false">IF(G420="","",IFERROR(INDEX(Settings!$C$8:$C$19,MATCH(G420,Settings!$B$8:$B$19,0)),"?"))</f>
        <v/>
      </c>
      <c r="K420" s="35" t="str">
        <f aca="false">IF(A420="","",DATE(YEAR(A420),MONTH(A420),1))</f>
        <v/>
      </c>
      <c r="L420" s="28" t="str">
        <f aca="false">IF(E420="","",IFERROR(INDEX(Settings!$K$8:$K$38,MATCH(E420,Settings!$H$8:$H$38,0))&amp;"",""))</f>
        <v/>
      </c>
    </row>
    <row r="421" customFormat="false" ht="15" hidden="false" customHeight="false" outlineLevel="0" collapsed="false">
      <c r="A421" s="33"/>
      <c r="B421" s="27"/>
      <c r="C421" s="27"/>
      <c r="D421" s="27"/>
      <c r="E421" s="27"/>
      <c r="F421" s="34"/>
      <c r="G421" s="27"/>
      <c r="H421" s="27"/>
      <c r="I421" s="28" t="str">
        <f aca="false">IF(C421="","",IFERROR(INDEX(Settings!$C$8:$C$19,MATCH(C421,Settings!$B$8:$B$19,0)),"?"))</f>
        <v/>
      </c>
      <c r="J421" s="28" t="str">
        <f aca="false">IF(G421="","",IFERROR(INDEX(Settings!$C$8:$C$19,MATCH(G421,Settings!$B$8:$B$19,0)),"?"))</f>
        <v/>
      </c>
      <c r="K421" s="35" t="str">
        <f aca="false">IF(A421="","",DATE(YEAR(A421),MONTH(A421),1))</f>
        <v/>
      </c>
      <c r="L421" s="28" t="str">
        <f aca="false">IF(E421="","",IFERROR(INDEX(Settings!$K$8:$K$38,MATCH(E421,Settings!$H$8:$H$38,0))&amp;"",""))</f>
        <v/>
      </c>
    </row>
    <row r="422" customFormat="false" ht="15" hidden="false" customHeight="false" outlineLevel="0" collapsed="false">
      <c r="A422" s="33"/>
      <c r="B422" s="27"/>
      <c r="C422" s="27"/>
      <c r="D422" s="27"/>
      <c r="E422" s="27"/>
      <c r="F422" s="34"/>
      <c r="G422" s="27"/>
      <c r="H422" s="27"/>
      <c r="I422" s="28" t="str">
        <f aca="false">IF(C422="","",IFERROR(INDEX(Settings!$C$8:$C$19,MATCH(C422,Settings!$B$8:$B$19,0)),"?"))</f>
        <v/>
      </c>
      <c r="J422" s="28" t="str">
        <f aca="false">IF(G422="","",IFERROR(INDEX(Settings!$C$8:$C$19,MATCH(G422,Settings!$B$8:$B$19,0)),"?"))</f>
        <v/>
      </c>
      <c r="K422" s="35" t="str">
        <f aca="false">IF(A422="","",DATE(YEAR(A422),MONTH(A422),1))</f>
        <v/>
      </c>
      <c r="L422" s="28" t="str">
        <f aca="false">IF(E422="","",IFERROR(INDEX(Settings!$K$8:$K$38,MATCH(E422,Settings!$H$8:$H$38,0))&amp;"",""))</f>
        <v/>
      </c>
    </row>
    <row r="423" customFormat="false" ht="15" hidden="false" customHeight="false" outlineLevel="0" collapsed="false">
      <c r="A423" s="33"/>
      <c r="B423" s="27"/>
      <c r="C423" s="27"/>
      <c r="D423" s="27"/>
      <c r="E423" s="27"/>
      <c r="F423" s="34"/>
      <c r="G423" s="27"/>
      <c r="H423" s="27"/>
      <c r="I423" s="28" t="str">
        <f aca="false">IF(C423="","",IFERROR(INDEX(Settings!$C$8:$C$19,MATCH(C423,Settings!$B$8:$B$19,0)),"?"))</f>
        <v/>
      </c>
      <c r="J423" s="28" t="str">
        <f aca="false">IF(G423="","",IFERROR(INDEX(Settings!$C$8:$C$19,MATCH(G423,Settings!$B$8:$B$19,0)),"?"))</f>
        <v/>
      </c>
      <c r="K423" s="35" t="str">
        <f aca="false">IF(A423="","",DATE(YEAR(A423),MONTH(A423),1))</f>
        <v/>
      </c>
      <c r="L423" s="28" t="str">
        <f aca="false">IF(E423="","",IFERROR(INDEX(Settings!$K$8:$K$38,MATCH(E423,Settings!$H$8:$H$38,0))&amp;"",""))</f>
        <v/>
      </c>
    </row>
    <row r="424" customFormat="false" ht="15" hidden="false" customHeight="false" outlineLevel="0" collapsed="false">
      <c r="A424" s="33"/>
      <c r="B424" s="27"/>
      <c r="C424" s="27"/>
      <c r="D424" s="27"/>
      <c r="E424" s="27"/>
      <c r="F424" s="34"/>
      <c r="G424" s="27"/>
      <c r="H424" s="27"/>
      <c r="I424" s="28" t="str">
        <f aca="false">IF(C424="","",IFERROR(INDEX(Settings!$C$8:$C$19,MATCH(C424,Settings!$B$8:$B$19,0)),"?"))</f>
        <v/>
      </c>
      <c r="J424" s="28" t="str">
        <f aca="false">IF(G424="","",IFERROR(INDEX(Settings!$C$8:$C$19,MATCH(G424,Settings!$B$8:$B$19,0)),"?"))</f>
        <v/>
      </c>
      <c r="K424" s="35" t="str">
        <f aca="false">IF(A424="","",DATE(YEAR(A424),MONTH(A424),1))</f>
        <v/>
      </c>
      <c r="L424" s="28" t="str">
        <f aca="false">IF(E424="","",IFERROR(INDEX(Settings!$K$8:$K$38,MATCH(E424,Settings!$H$8:$H$38,0))&amp;"",""))</f>
        <v/>
      </c>
    </row>
    <row r="425" customFormat="false" ht="15" hidden="false" customHeight="false" outlineLevel="0" collapsed="false">
      <c r="A425" s="33"/>
      <c r="B425" s="27"/>
      <c r="C425" s="27"/>
      <c r="D425" s="27"/>
      <c r="E425" s="27"/>
      <c r="F425" s="34"/>
      <c r="G425" s="27"/>
      <c r="H425" s="27"/>
      <c r="I425" s="28" t="str">
        <f aca="false">IF(C425="","",IFERROR(INDEX(Settings!$C$8:$C$19,MATCH(C425,Settings!$B$8:$B$19,0)),"?"))</f>
        <v/>
      </c>
      <c r="J425" s="28" t="str">
        <f aca="false">IF(G425="","",IFERROR(INDEX(Settings!$C$8:$C$19,MATCH(G425,Settings!$B$8:$B$19,0)),"?"))</f>
        <v/>
      </c>
      <c r="K425" s="35" t="str">
        <f aca="false">IF(A425="","",DATE(YEAR(A425),MONTH(A425),1))</f>
        <v/>
      </c>
      <c r="L425" s="28" t="str">
        <f aca="false">IF(E425="","",IFERROR(INDEX(Settings!$K$8:$K$38,MATCH(E425,Settings!$H$8:$H$38,0))&amp;"",""))</f>
        <v/>
      </c>
    </row>
    <row r="426" customFormat="false" ht="15" hidden="false" customHeight="false" outlineLevel="0" collapsed="false">
      <c r="A426" s="33"/>
      <c r="B426" s="27"/>
      <c r="C426" s="27"/>
      <c r="D426" s="27"/>
      <c r="E426" s="27"/>
      <c r="F426" s="34"/>
      <c r="G426" s="27"/>
      <c r="H426" s="27"/>
      <c r="I426" s="28" t="str">
        <f aca="false">IF(C426="","",IFERROR(INDEX(Settings!$C$8:$C$19,MATCH(C426,Settings!$B$8:$B$19,0)),"?"))</f>
        <v/>
      </c>
      <c r="J426" s="28" t="str">
        <f aca="false">IF(G426="","",IFERROR(INDEX(Settings!$C$8:$C$19,MATCH(G426,Settings!$B$8:$B$19,0)),"?"))</f>
        <v/>
      </c>
      <c r="K426" s="35" t="str">
        <f aca="false">IF(A426="","",DATE(YEAR(A426),MONTH(A426),1))</f>
        <v/>
      </c>
      <c r="L426" s="28" t="str">
        <f aca="false">IF(E426="","",IFERROR(INDEX(Settings!$K$8:$K$38,MATCH(E426,Settings!$H$8:$H$38,0))&amp;"",""))</f>
        <v/>
      </c>
    </row>
    <row r="427" customFormat="false" ht="15" hidden="false" customHeight="false" outlineLevel="0" collapsed="false">
      <c r="A427" s="33"/>
      <c r="B427" s="27"/>
      <c r="C427" s="27"/>
      <c r="D427" s="27"/>
      <c r="E427" s="27"/>
      <c r="F427" s="34"/>
      <c r="G427" s="27"/>
      <c r="H427" s="27"/>
      <c r="I427" s="28" t="str">
        <f aca="false">IF(C427="","",IFERROR(INDEX(Settings!$C$8:$C$19,MATCH(C427,Settings!$B$8:$B$19,0)),"?"))</f>
        <v/>
      </c>
      <c r="J427" s="28" t="str">
        <f aca="false">IF(G427="","",IFERROR(INDEX(Settings!$C$8:$C$19,MATCH(G427,Settings!$B$8:$B$19,0)),"?"))</f>
        <v/>
      </c>
      <c r="K427" s="35" t="str">
        <f aca="false">IF(A427="","",DATE(YEAR(A427),MONTH(A427),1))</f>
        <v/>
      </c>
      <c r="L427" s="28" t="str">
        <f aca="false">IF(E427="","",IFERROR(INDEX(Settings!$K$8:$K$38,MATCH(E427,Settings!$H$8:$H$38,0))&amp;"",""))</f>
        <v/>
      </c>
    </row>
    <row r="428" customFormat="false" ht="15" hidden="false" customHeight="false" outlineLevel="0" collapsed="false">
      <c r="A428" s="33"/>
      <c r="B428" s="27"/>
      <c r="C428" s="27"/>
      <c r="D428" s="27"/>
      <c r="E428" s="27"/>
      <c r="F428" s="34"/>
      <c r="G428" s="27"/>
      <c r="H428" s="27"/>
      <c r="I428" s="28" t="str">
        <f aca="false">IF(C428="","",IFERROR(INDEX(Settings!$C$8:$C$19,MATCH(C428,Settings!$B$8:$B$19,0)),"?"))</f>
        <v/>
      </c>
      <c r="J428" s="28" t="str">
        <f aca="false">IF(G428="","",IFERROR(INDEX(Settings!$C$8:$C$19,MATCH(G428,Settings!$B$8:$B$19,0)),"?"))</f>
        <v/>
      </c>
      <c r="K428" s="35" t="str">
        <f aca="false">IF(A428="","",DATE(YEAR(A428),MONTH(A428),1))</f>
        <v/>
      </c>
      <c r="L428" s="28" t="str">
        <f aca="false">IF(E428="","",IFERROR(INDEX(Settings!$K$8:$K$38,MATCH(E428,Settings!$H$8:$H$38,0))&amp;"",""))</f>
        <v/>
      </c>
    </row>
    <row r="429" customFormat="false" ht="15" hidden="false" customHeight="false" outlineLevel="0" collapsed="false">
      <c r="A429" s="33"/>
      <c r="B429" s="27"/>
      <c r="C429" s="27"/>
      <c r="D429" s="27"/>
      <c r="E429" s="27"/>
      <c r="F429" s="34"/>
      <c r="G429" s="27"/>
      <c r="H429" s="27"/>
      <c r="I429" s="28" t="str">
        <f aca="false">IF(C429="","",IFERROR(INDEX(Settings!$C$8:$C$19,MATCH(C429,Settings!$B$8:$B$19,0)),"?"))</f>
        <v/>
      </c>
      <c r="J429" s="28" t="str">
        <f aca="false">IF(G429="","",IFERROR(INDEX(Settings!$C$8:$C$19,MATCH(G429,Settings!$B$8:$B$19,0)),"?"))</f>
        <v/>
      </c>
      <c r="K429" s="35" t="str">
        <f aca="false">IF(A429="","",DATE(YEAR(A429),MONTH(A429),1))</f>
        <v/>
      </c>
      <c r="L429" s="28" t="str">
        <f aca="false">IF(E429="","",IFERROR(INDEX(Settings!$K$8:$K$38,MATCH(E429,Settings!$H$8:$H$38,0))&amp;"",""))</f>
        <v/>
      </c>
    </row>
    <row r="430" customFormat="false" ht="15" hidden="false" customHeight="false" outlineLevel="0" collapsed="false">
      <c r="A430" s="33"/>
      <c r="B430" s="27"/>
      <c r="C430" s="27"/>
      <c r="D430" s="27"/>
      <c r="E430" s="27"/>
      <c r="F430" s="34"/>
      <c r="G430" s="27"/>
      <c r="H430" s="27"/>
      <c r="I430" s="28" t="str">
        <f aca="false">IF(C430="","",IFERROR(INDEX(Settings!$C$8:$C$19,MATCH(C430,Settings!$B$8:$B$19,0)),"?"))</f>
        <v/>
      </c>
      <c r="J430" s="28" t="str">
        <f aca="false">IF(G430="","",IFERROR(INDEX(Settings!$C$8:$C$19,MATCH(G430,Settings!$B$8:$B$19,0)),"?"))</f>
        <v/>
      </c>
      <c r="K430" s="35" t="str">
        <f aca="false">IF(A430="","",DATE(YEAR(A430),MONTH(A430),1))</f>
        <v/>
      </c>
      <c r="L430" s="28" t="str">
        <f aca="false">IF(E430="","",IFERROR(INDEX(Settings!$K$8:$K$38,MATCH(E430,Settings!$H$8:$H$38,0))&amp;"",""))</f>
        <v/>
      </c>
    </row>
    <row r="431" customFormat="false" ht="15" hidden="false" customHeight="false" outlineLevel="0" collapsed="false">
      <c r="A431" s="33"/>
      <c r="B431" s="27"/>
      <c r="C431" s="27"/>
      <c r="D431" s="27"/>
      <c r="E431" s="27"/>
      <c r="F431" s="34"/>
      <c r="G431" s="27"/>
      <c r="H431" s="27"/>
      <c r="I431" s="28" t="str">
        <f aca="false">IF(C431="","",IFERROR(INDEX(Settings!$C$8:$C$19,MATCH(C431,Settings!$B$8:$B$19,0)),"?"))</f>
        <v/>
      </c>
      <c r="J431" s="28" t="str">
        <f aca="false">IF(G431="","",IFERROR(INDEX(Settings!$C$8:$C$19,MATCH(G431,Settings!$B$8:$B$19,0)),"?"))</f>
        <v/>
      </c>
      <c r="K431" s="35" t="str">
        <f aca="false">IF(A431="","",DATE(YEAR(A431),MONTH(A431),1))</f>
        <v/>
      </c>
      <c r="L431" s="28" t="str">
        <f aca="false">IF(E431="","",IFERROR(INDEX(Settings!$K$8:$K$38,MATCH(E431,Settings!$H$8:$H$38,0))&amp;"",""))</f>
        <v/>
      </c>
    </row>
    <row r="432" customFormat="false" ht="15" hidden="false" customHeight="false" outlineLevel="0" collapsed="false">
      <c r="A432" s="33"/>
      <c r="B432" s="27"/>
      <c r="C432" s="27"/>
      <c r="D432" s="27"/>
      <c r="E432" s="27"/>
      <c r="F432" s="34"/>
      <c r="G432" s="27"/>
      <c r="H432" s="27"/>
      <c r="I432" s="28" t="str">
        <f aca="false">IF(C432="","",IFERROR(INDEX(Settings!$C$8:$C$19,MATCH(C432,Settings!$B$8:$B$19,0)),"?"))</f>
        <v/>
      </c>
      <c r="J432" s="28" t="str">
        <f aca="false">IF(G432="","",IFERROR(INDEX(Settings!$C$8:$C$19,MATCH(G432,Settings!$B$8:$B$19,0)),"?"))</f>
        <v/>
      </c>
      <c r="K432" s="35" t="str">
        <f aca="false">IF(A432="","",DATE(YEAR(A432),MONTH(A432),1))</f>
        <v/>
      </c>
      <c r="L432" s="28" t="str">
        <f aca="false">IF(E432="","",IFERROR(INDEX(Settings!$K$8:$K$38,MATCH(E432,Settings!$H$8:$H$38,0))&amp;"",""))</f>
        <v/>
      </c>
    </row>
    <row r="433" customFormat="false" ht="15" hidden="false" customHeight="false" outlineLevel="0" collapsed="false">
      <c r="A433" s="33"/>
      <c r="B433" s="27"/>
      <c r="C433" s="27"/>
      <c r="D433" s="27"/>
      <c r="E433" s="27"/>
      <c r="F433" s="34"/>
      <c r="G433" s="27"/>
      <c r="H433" s="27"/>
      <c r="I433" s="28" t="str">
        <f aca="false">IF(C433="","",IFERROR(INDEX(Settings!$C$8:$C$19,MATCH(C433,Settings!$B$8:$B$19,0)),"?"))</f>
        <v/>
      </c>
      <c r="J433" s="28" t="str">
        <f aca="false">IF(G433="","",IFERROR(INDEX(Settings!$C$8:$C$19,MATCH(G433,Settings!$B$8:$B$19,0)),"?"))</f>
        <v/>
      </c>
      <c r="K433" s="35" t="str">
        <f aca="false">IF(A433="","",DATE(YEAR(A433),MONTH(A433),1))</f>
        <v/>
      </c>
      <c r="L433" s="28" t="str">
        <f aca="false">IF(E433="","",IFERROR(INDEX(Settings!$K$8:$K$38,MATCH(E433,Settings!$H$8:$H$38,0))&amp;"",""))</f>
        <v/>
      </c>
    </row>
    <row r="434" customFormat="false" ht="15" hidden="false" customHeight="false" outlineLevel="0" collapsed="false">
      <c r="A434" s="33"/>
      <c r="B434" s="27"/>
      <c r="C434" s="27"/>
      <c r="D434" s="27"/>
      <c r="E434" s="27"/>
      <c r="F434" s="34"/>
      <c r="G434" s="27"/>
      <c r="H434" s="27"/>
      <c r="I434" s="28" t="str">
        <f aca="false">IF(C434="","",IFERROR(INDEX(Settings!$C$8:$C$19,MATCH(C434,Settings!$B$8:$B$19,0)),"?"))</f>
        <v/>
      </c>
      <c r="J434" s="28" t="str">
        <f aca="false">IF(G434="","",IFERROR(INDEX(Settings!$C$8:$C$19,MATCH(G434,Settings!$B$8:$B$19,0)),"?"))</f>
        <v/>
      </c>
      <c r="K434" s="35" t="str">
        <f aca="false">IF(A434="","",DATE(YEAR(A434),MONTH(A434),1))</f>
        <v/>
      </c>
      <c r="L434" s="28" t="str">
        <f aca="false">IF(E434="","",IFERROR(INDEX(Settings!$K$8:$K$38,MATCH(E434,Settings!$H$8:$H$38,0))&amp;"",""))</f>
        <v/>
      </c>
    </row>
    <row r="435" customFormat="false" ht="15" hidden="false" customHeight="false" outlineLevel="0" collapsed="false">
      <c r="A435" s="33"/>
      <c r="B435" s="27"/>
      <c r="C435" s="27"/>
      <c r="D435" s="27"/>
      <c r="E435" s="27"/>
      <c r="F435" s="34"/>
      <c r="G435" s="27"/>
      <c r="H435" s="27"/>
      <c r="I435" s="28" t="str">
        <f aca="false">IF(C435="","",IFERROR(INDEX(Settings!$C$8:$C$19,MATCH(C435,Settings!$B$8:$B$19,0)),"?"))</f>
        <v/>
      </c>
      <c r="J435" s="28" t="str">
        <f aca="false">IF(G435="","",IFERROR(INDEX(Settings!$C$8:$C$19,MATCH(G435,Settings!$B$8:$B$19,0)),"?"))</f>
        <v/>
      </c>
      <c r="K435" s="35" t="str">
        <f aca="false">IF(A435="","",DATE(YEAR(A435),MONTH(A435),1))</f>
        <v/>
      </c>
      <c r="L435" s="28" t="str">
        <f aca="false">IF(E435="","",IFERROR(INDEX(Settings!$K$8:$K$38,MATCH(E435,Settings!$H$8:$H$38,0))&amp;"",""))</f>
        <v/>
      </c>
    </row>
    <row r="436" customFormat="false" ht="15" hidden="false" customHeight="false" outlineLevel="0" collapsed="false">
      <c r="A436" s="33"/>
      <c r="B436" s="27"/>
      <c r="C436" s="27"/>
      <c r="D436" s="27"/>
      <c r="E436" s="27"/>
      <c r="F436" s="34"/>
      <c r="G436" s="27"/>
      <c r="H436" s="27"/>
      <c r="I436" s="28" t="str">
        <f aca="false">IF(C436="","",IFERROR(INDEX(Settings!$C$8:$C$19,MATCH(C436,Settings!$B$8:$B$19,0)),"?"))</f>
        <v/>
      </c>
      <c r="J436" s="28" t="str">
        <f aca="false">IF(G436="","",IFERROR(INDEX(Settings!$C$8:$C$19,MATCH(G436,Settings!$B$8:$B$19,0)),"?"))</f>
        <v/>
      </c>
      <c r="K436" s="35" t="str">
        <f aca="false">IF(A436="","",DATE(YEAR(A436),MONTH(A436),1))</f>
        <v/>
      </c>
      <c r="L436" s="28" t="str">
        <f aca="false">IF(E436="","",IFERROR(INDEX(Settings!$K$8:$K$38,MATCH(E436,Settings!$H$8:$H$38,0))&amp;"",""))</f>
        <v/>
      </c>
    </row>
    <row r="437" customFormat="false" ht="15" hidden="false" customHeight="false" outlineLevel="0" collapsed="false">
      <c r="A437" s="33"/>
      <c r="B437" s="27"/>
      <c r="C437" s="27"/>
      <c r="D437" s="27"/>
      <c r="E437" s="27"/>
      <c r="F437" s="34"/>
      <c r="G437" s="27"/>
      <c r="H437" s="27"/>
      <c r="I437" s="28" t="str">
        <f aca="false">IF(C437="","",IFERROR(INDEX(Settings!$C$8:$C$19,MATCH(C437,Settings!$B$8:$B$19,0)),"?"))</f>
        <v/>
      </c>
      <c r="J437" s="28" t="str">
        <f aca="false">IF(G437="","",IFERROR(INDEX(Settings!$C$8:$C$19,MATCH(G437,Settings!$B$8:$B$19,0)),"?"))</f>
        <v/>
      </c>
      <c r="K437" s="35" t="str">
        <f aca="false">IF(A437="","",DATE(YEAR(A437),MONTH(A437),1))</f>
        <v/>
      </c>
      <c r="L437" s="28" t="str">
        <f aca="false">IF(E437="","",IFERROR(INDEX(Settings!$K$8:$K$38,MATCH(E437,Settings!$H$8:$H$38,0))&amp;"",""))</f>
        <v/>
      </c>
    </row>
    <row r="438" customFormat="false" ht="15" hidden="false" customHeight="false" outlineLevel="0" collapsed="false">
      <c r="A438" s="33"/>
      <c r="B438" s="27"/>
      <c r="C438" s="27"/>
      <c r="D438" s="27"/>
      <c r="E438" s="27"/>
      <c r="F438" s="34"/>
      <c r="G438" s="27"/>
      <c r="H438" s="27"/>
      <c r="I438" s="28" t="str">
        <f aca="false">IF(C438="","",IFERROR(INDEX(Settings!$C$8:$C$19,MATCH(C438,Settings!$B$8:$B$19,0)),"?"))</f>
        <v/>
      </c>
      <c r="J438" s="28" t="str">
        <f aca="false">IF(G438="","",IFERROR(INDEX(Settings!$C$8:$C$19,MATCH(G438,Settings!$B$8:$B$19,0)),"?"))</f>
        <v/>
      </c>
      <c r="K438" s="35" t="str">
        <f aca="false">IF(A438="","",DATE(YEAR(A438),MONTH(A438),1))</f>
        <v/>
      </c>
      <c r="L438" s="28" t="str">
        <f aca="false">IF(E438="","",IFERROR(INDEX(Settings!$K$8:$K$38,MATCH(E438,Settings!$H$8:$H$38,0))&amp;"",""))</f>
        <v/>
      </c>
    </row>
    <row r="439" customFormat="false" ht="15" hidden="false" customHeight="false" outlineLevel="0" collapsed="false">
      <c r="A439" s="33"/>
      <c r="B439" s="27"/>
      <c r="C439" s="27"/>
      <c r="D439" s="27"/>
      <c r="E439" s="27"/>
      <c r="F439" s="34"/>
      <c r="G439" s="27"/>
      <c r="H439" s="27"/>
      <c r="I439" s="28" t="str">
        <f aca="false">IF(C439="","",IFERROR(INDEX(Settings!$C$8:$C$19,MATCH(C439,Settings!$B$8:$B$19,0)),"?"))</f>
        <v/>
      </c>
      <c r="J439" s="28" t="str">
        <f aca="false">IF(G439="","",IFERROR(INDEX(Settings!$C$8:$C$19,MATCH(G439,Settings!$B$8:$B$19,0)),"?"))</f>
        <v/>
      </c>
      <c r="K439" s="35" t="str">
        <f aca="false">IF(A439="","",DATE(YEAR(A439),MONTH(A439),1))</f>
        <v/>
      </c>
      <c r="L439" s="28" t="str">
        <f aca="false">IF(E439="","",IFERROR(INDEX(Settings!$K$8:$K$38,MATCH(E439,Settings!$H$8:$H$38,0))&amp;"",""))</f>
        <v/>
      </c>
    </row>
    <row r="440" customFormat="false" ht="15" hidden="false" customHeight="false" outlineLevel="0" collapsed="false">
      <c r="A440" s="33"/>
      <c r="B440" s="27"/>
      <c r="C440" s="27"/>
      <c r="D440" s="27"/>
      <c r="E440" s="27"/>
      <c r="F440" s="34"/>
      <c r="G440" s="27"/>
      <c r="H440" s="27"/>
      <c r="I440" s="28" t="str">
        <f aca="false">IF(C440="","",IFERROR(INDEX(Settings!$C$8:$C$19,MATCH(C440,Settings!$B$8:$B$19,0)),"?"))</f>
        <v/>
      </c>
      <c r="J440" s="28" t="str">
        <f aca="false">IF(G440="","",IFERROR(INDEX(Settings!$C$8:$C$19,MATCH(G440,Settings!$B$8:$B$19,0)),"?"))</f>
        <v/>
      </c>
      <c r="K440" s="35" t="str">
        <f aca="false">IF(A440="","",DATE(YEAR(A440),MONTH(A440),1))</f>
        <v/>
      </c>
      <c r="L440" s="28" t="str">
        <f aca="false">IF(E440="","",IFERROR(INDEX(Settings!$K$8:$K$38,MATCH(E440,Settings!$H$8:$H$38,0))&amp;"",""))</f>
        <v/>
      </c>
    </row>
    <row r="441" customFormat="false" ht="15" hidden="false" customHeight="false" outlineLevel="0" collapsed="false">
      <c r="A441" s="33"/>
      <c r="B441" s="27"/>
      <c r="C441" s="27"/>
      <c r="D441" s="27"/>
      <c r="E441" s="27"/>
      <c r="F441" s="34"/>
      <c r="G441" s="27"/>
      <c r="H441" s="27"/>
      <c r="I441" s="28" t="str">
        <f aca="false">IF(C441="","",IFERROR(INDEX(Settings!$C$8:$C$19,MATCH(C441,Settings!$B$8:$B$19,0)),"?"))</f>
        <v/>
      </c>
      <c r="J441" s="28" t="str">
        <f aca="false">IF(G441="","",IFERROR(INDEX(Settings!$C$8:$C$19,MATCH(G441,Settings!$B$8:$B$19,0)),"?"))</f>
        <v/>
      </c>
      <c r="K441" s="35" t="str">
        <f aca="false">IF(A441="","",DATE(YEAR(A441),MONTH(A441),1))</f>
        <v/>
      </c>
      <c r="L441" s="28" t="str">
        <f aca="false">IF(E441="","",IFERROR(INDEX(Settings!$K$8:$K$38,MATCH(E441,Settings!$H$8:$H$38,0))&amp;"",""))</f>
        <v/>
      </c>
    </row>
    <row r="442" customFormat="false" ht="15" hidden="false" customHeight="false" outlineLevel="0" collapsed="false">
      <c r="A442" s="33"/>
      <c r="B442" s="27"/>
      <c r="C442" s="27"/>
      <c r="D442" s="27"/>
      <c r="E442" s="27"/>
      <c r="F442" s="34"/>
      <c r="G442" s="27"/>
      <c r="H442" s="27"/>
      <c r="I442" s="28" t="str">
        <f aca="false">IF(C442="","",IFERROR(INDEX(Settings!$C$8:$C$19,MATCH(C442,Settings!$B$8:$B$19,0)),"?"))</f>
        <v/>
      </c>
      <c r="J442" s="28" t="str">
        <f aca="false">IF(G442="","",IFERROR(INDEX(Settings!$C$8:$C$19,MATCH(G442,Settings!$B$8:$B$19,0)),"?"))</f>
        <v/>
      </c>
      <c r="K442" s="35" t="str">
        <f aca="false">IF(A442="","",DATE(YEAR(A442),MONTH(A442),1))</f>
        <v/>
      </c>
      <c r="L442" s="28" t="str">
        <f aca="false">IF(E442="","",IFERROR(INDEX(Settings!$K$8:$K$38,MATCH(E442,Settings!$H$8:$H$38,0))&amp;"",""))</f>
        <v/>
      </c>
    </row>
    <row r="443" customFormat="false" ht="15" hidden="false" customHeight="false" outlineLevel="0" collapsed="false">
      <c r="A443" s="33"/>
      <c r="B443" s="27"/>
      <c r="C443" s="27"/>
      <c r="D443" s="27"/>
      <c r="E443" s="27"/>
      <c r="F443" s="34"/>
      <c r="G443" s="27"/>
      <c r="H443" s="27"/>
      <c r="I443" s="28" t="str">
        <f aca="false">IF(C443="","",IFERROR(INDEX(Settings!$C$8:$C$19,MATCH(C443,Settings!$B$8:$B$19,0)),"?"))</f>
        <v/>
      </c>
      <c r="J443" s="28" t="str">
        <f aca="false">IF(G443="","",IFERROR(INDEX(Settings!$C$8:$C$19,MATCH(G443,Settings!$B$8:$B$19,0)),"?"))</f>
        <v/>
      </c>
      <c r="K443" s="35" t="str">
        <f aca="false">IF(A443="","",DATE(YEAR(A443),MONTH(A443),1))</f>
        <v/>
      </c>
      <c r="L443" s="28" t="str">
        <f aca="false">IF(E443="","",IFERROR(INDEX(Settings!$K$8:$K$38,MATCH(E443,Settings!$H$8:$H$38,0))&amp;"",""))</f>
        <v/>
      </c>
    </row>
    <row r="444" customFormat="false" ht="15" hidden="false" customHeight="false" outlineLevel="0" collapsed="false">
      <c r="A444" s="33"/>
      <c r="B444" s="27"/>
      <c r="C444" s="27"/>
      <c r="D444" s="27"/>
      <c r="E444" s="27"/>
      <c r="F444" s="34"/>
      <c r="G444" s="27"/>
      <c r="H444" s="27"/>
      <c r="I444" s="28" t="str">
        <f aca="false">IF(C444="","",IFERROR(INDEX(Settings!$C$8:$C$19,MATCH(C444,Settings!$B$8:$B$19,0)),"?"))</f>
        <v/>
      </c>
      <c r="J444" s="28" t="str">
        <f aca="false">IF(G444="","",IFERROR(INDEX(Settings!$C$8:$C$19,MATCH(G444,Settings!$B$8:$B$19,0)),"?"))</f>
        <v/>
      </c>
      <c r="K444" s="35" t="str">
        <f aca="false">IF(A444="","",DATE(YEAR(A444),MONTH(A444),1))</f>
        <v/>
      </c>
      <c r="L444" s="28" t="str">
        <f aca="false">IF(E444="","",IFERROR(INDEX(Settings!$K$8:$K$38,MATCH(E444,Settings!$H$8:$H$38,0))&amp;"",""))</f>
        <v/>
      </c>
    </row>
    <row r="445" customFormat="false" ht="15" hidden="false" customHeight="false" outlineLevel="0" collapsed="false">
      <c r="A445" s="33"/>
      <c r="B445" s="27"/>
      <c r="C445" s="27"/>
      <c r="D445" s="27"/>
      <c r="E445" s="27"/>
      <c r="F445" s="34"/>
      <c r="G445" s="27"/>
      <c r="H445" s="27"/>
      <c r="I445" s="28" t="str">
        <f aca="false">IF(C445="","",IFERROR(INDEX(Settings!$C$8:$C$19,MATCH(C445,Settings!$B$8:$B$19,0)),"?"))</f>
        <v/>
      </c>
      <c r="J445" s="28" t="str">
        <f aca="false">IF(G445="","",IFERROR(INDEX(Settings!$C$8:$C$19,MATCH(G445,Settings!$B$8:$B$19,0)),"?"))</f>
        <v/>
      </c>
      <c r="K445" s="35" t="str">
        <f aca="false">IF(A445="","",DATE(YEAR(A445),MONTH(A445),1))</f>
        <v/>
      </c>
      <c r="L445" s="28" t="str">
        <f aca="false">IF(E445="","",IFERROR(INDEX(Settings!$K$8:$K$38,MATCH(E445,Settings!$H$8:$H$38,0))&amp;"",""))</f>
        <v/>
      </c>
    </row>
    <row r="446" customFormat="false" ht="15" hidden="false" customHeight="false" outlineLevel="0" collapsed="false">
      <c r="A446" s="33"/>
      <c r="B446" s="27"/>
      <c r="C446" s="27"/>
      <c r="D446" s="27"/>
      <c r="E446" s="27"/>
      <c r="F446" s="34"/>
      <c r="G446" s="27"/>
      <c r="H446" s="27"/>
      <c r="I446" s="28" t="str">
        <f aca="false">IF(C446="","",IFERROR(INDEX(Settings!$C$8:$C$19,MATCH(C446,Settings!$B$8:$B$19,0)),"?"))</f>
        <v/>
      </c>
      <c r="J446" s="28" t="str">
        <f aca="false">IF(G446="","",IFERROR(INDEX(Settings!$C$8:$C$19,MATCH(G446,Settings!$B$8:$B$19,0)),"?"))</f>
        <v/>
      </c>
      <c r="K446" s="35" t="str">
        <f aca="false">IF(A446="","",DATE(YEAR(A446),MONTH(A446),1))</f>
        <v/>
      </c>
      <c r="L446" s="28" t="str">
        <f aca="false">IF(E446="","",IFERROR(INDEX(Settings!$K$8:$K$38,MATCH(E446,Settings!$H$8:$H$38,0))&amp;"",""))</f>
        <v/>
      </c>
    </row>
    <row r="447" customFormat="false" ht="15" hidden="false" customHeight="false" outlineLevel="0" collapsed="false">
      <c r="A447" s="33"/>
      <c r="B447" s="27"/>
      <c r="C447" s="27"/>
      <c r="D447" s="27"/>
      <c r="E447" s="27"/>
      <c r="F447" s="34"/>
      <c r="G447" s="27"/>
      <c r="H447" s="27"/>
      <c r="I447" s="28" t="str">
        <f aca="false">IF(C447="","",IFERROR(INDEX(Settings!$C$8:$C$19,MATCH(C447,Settings!$B$8:$B$19,0)),"?"))</f>
        <v/>
      </c>
      <c r="J447" s="28" t="str">
        <f aca="false">IF(G447="","",IFERROR(INDEX(Settings!$C$8:$C$19,MATCH(G447,Settings!$B$8:$B$19,0)),"?"))</f>
        <v/>
      </c>
      <c r="K447" s="35" t="str">
        <f aca="false">IF(A447="","",DATE(YEAR(A447),MONTH(A447),1))</f>
        <v/>
      </c>
      <c r="L447" s="28" t="str">
        <f aca="false">IF(E447="","",IFERROR(INDEX(Settings!$K$8:$K$38,MATCH(E447,Settings!$H$8:$H$38,0))&amp;"",""))</f>
        <v/>
      </c>
    </row>
    <row r="448" customFormat="false" ht="15" hidden="false" customHeight="false" outlineLevel="0" collapsed="false">
      <c r="A448" s="33"/>
      <c r="B448" s="27"/>
      <c r="C448" s="27"/>
      <c r="D448" s="27"/>
      <c r="E448" s="27"/>
      <c r="F448" s="34"/>
      <c r="G448" s="27"/>
      <c r="H448" s="27"/>
      <c r="I448" s="28" t="str">
        <f aca="false">IF(C448="","",IFERROR(INDEX(Settings!$C$8:$C$19,MATCH(C448,Settings!$B$8:$B$19,0)),"?"))</f>
        <v/>
      </c>
      <c r="J448" s="28" t="str">
        <f aca="false">IF(G448="","",IFERROR(INDEX(Settings!$C$8:$C$19,MATCH(G448,Settings!$B$8:$B$19,0)),"?"))</f>
        <v/>
      </c>
      <c r="K448" s="35" t="str">
        <f aca="false">IF(A448="","",DATE(YEAR(A448),MONTH(A448),1))</f>
        <v/>
      </c>
      <c r="L448" s="28" t="str">
        <f aca="false">IF(E448="","",IFERROR(INDEX(Settings!$K$8:$K$38,MATCH(E448,Settings!$H$8:$H$38,0))&amp;"",""))</f>
        <v/>
      </c>
    </row>
    <row r="449" customFormat="false" ht="15" hidden="false" customHeight="false" outlineLevel="0" collapsed="false">
      <c r="A449" s="33"/>
      <c r="B449" s="27"/>
      <c r="C449" s="27"/>
      <c r="D449" s="27"/>
      <c r="E449" s="27"/>
      <c r="F449" s="34"/>
      <c r="G449" s="27"/>
      <c r="H449" s="27"/>
      <c r="I449" s="28" t="str">
        <f aca="false">IF(C449="","",IFERROR(INDEX(Settings!$C$8:$C$19,MATCH(C449,Settings!$B$8:$B$19,0)),"?"))</f>
        <v/>
      </c>
      <c r="J449" s="28" t="str">
        <f aca="false">IF(G449="","",IFERROR(INDEX(Settings!$C$8:$C$19,MATCH(G449,Settings!$B$8:$B$19,0)),"?"))</f>
        <v/>
      </c>
      <c r="K449" s="35" t="str">
        <f aca="false">IF(A449="","",DATE(YEAR(A449),MONTH(A449),1))</f>
        <v/>
      </c>
      <c r="L449" s="28" t="str">
        <f aca="false">IF(E449="","",IFERROR(INDEX(Settings!$K$8:$K$38,MATCH(E449,Settings!$H$8:$H$38,0))&amp;"",""))</f>
        <v/>
      </c>
    </row>
    <row r="450" customFormat="false" ht="15" hidden="false" customHeight="false" outlineLevel="0" collapsed="false">
      <c r="A450" s="33"/>
      <c r="B450" s="27"/>
      <c r="C450" s="27"/>
      <c r="D450" s="27"/>
      <c r="E450" s="27"/>
      <c r="F450" s="34"/>
      <c r="G450" s="27"/>
      <c r="H450" s="27"/>
      <c r="I450" s="28" t="str">
        <f aca="false">IF(C450="","",IFERROR(INDEX(Settings!$C$8:$C$19,MATCH(C450,Settings!$B$8:$B$19,0)),"?"))</f>
        <v/>
      </c>
      <c r="J450" s="28" t="str">
        <f aca="false">IF(G450="","",IFERROR(INDEX(Settings!$C$8:$C$19,MATCH(G450,Settings!$B$8:$B$19,0)),"?"))</f>
        <v/>
      </c>
      <c r="K450" s="35" t="str">
        <f aca="false">IF(A450="","",DATE(YEAR(A450),MONTH(A450),1))</f>
        <v/>
      </c>
      <c r="L450" s="28" t="str">
        <f aca="false">IF(E450="","",IFERROR(INDEX(Settings!$K$8:$K$38,MATCH(E450,Settings!$H$8:$H$38,0))&amp;"",""))</f>
        <v/>
      </c>
    </row>
    <row r="451" customFormat="false" ht="15" hidden="false" customHeight="false" outlineLevel="0" collapsed="false">
      <c r="A451" s="33"/>
      <c r="B451" s="27"/>
      <c r="C451" s="27"/>
      <c r="D451" s="27"/>
      <c r="E451" s="27"/>
      <c r="F451" s="34"/>
      <c r="G451" s="27"/>
      <c r="H451" s="27"/>
      <c r="I451" s="28" t="str">
        <f aca="false">IF(C451="","",IFERROR(INDEX(Settings!$C$8:$C$19,MATCH(C451,Settings!$B$8:$B$19,0)),"?"))</f>
        <v/>
      </c>
      <c r="J451" s="28" t="str">
        <f aca="false">IF(G451="","",IFERROR(INDEX(Settings!$C$8:$C$19,MATCH(G451,Settings!$B$8:$B$19,0)),"?"))</f>
        <v/>
      </c>
      <c r="K451" s="35" t="str">
        <f aca="false">IF(A451="","",DATE(YEAR(A451),MONTH(A451),1))</f>
        <v/>
      </c>
      <c r="L451" s="28" t="str">
        <f aca="false">IF(E451="","",IFERROR(INDEX(Settings!$K$8:$K$38,MATCH(E451,Settings!$H$8:$H$38,0))&amp;"",""))</f>
        <v/>
      </c>
    </row>
    <row r="452" customFormat="false" ht="15" hidden="false" customHeight="false" outlineLevel="0" collapsed="false">
      <c r="A452" s="33"/>
      <c r="B452" s="27"/>
      <c r="C452" s="27"/>
      <c r="D452" s="27"/>
      <c r="E452" s="27"/>
      <c r="F452" s="34"/>
      <c r="G452" s="27"/>
      <c r="H452" s="27"/>
      <c r="I452" s="28" t="str">
        <f aca="false">IF(C452="","",IFERROR(INDEX(Settings!$C$8:$C$19,MATCH(C452,Settings!$B$8:$B$19,0)),"?"))</f>
        <v/>
      </c>
      <c r="J452" s="28" t="str">
        <f aca="false">IF(G452="","",IFERROR(INDEX(Settings!$C$8:$C$19,MATCH(G452,Settings!$B$8:$B$19,0)),"?"))</f>
        <v/>
      </c>
      <c r="K452" s="35" t="str">
        <f aca="false">IF(A452="","",DATE(YEAR(A452),MONTH(A452),1))</f>
        <v/>
      </c>
      <c r="L452" s="28" t="str">
        <f aca="false">IF(E452="","",IFERROR(INDEX(Settings!$K$8:$K$38,MATCH(E452,Settings!$H$8:$H$38,0))&amp;"",""))</f>
        <v/>
      </c>
    </row>
    <row r="453" customFormat="false" ht="15" hidden="false" customHeight="false" outlineLevel="0" collapsed="false">
      <c r="A453" s="33"/>
      <c r="B453" s="27"/>
      <c r="C453" s="27"/>
      <c r="D453" s="27"/>
      <c r="E453" s="27"/>
      <c r="F453" s="34"/>
      <c r="G453" s="27"/>
      <c r="H453" s="27"/>
      <c r="I453" s="28" t="str">
        <f aca="false">IF(C453="","",IFERROR(INDEX(Settings!$C$8:$C$19,MATCH(C453,Settings!$B$8:$B$19,0)),"?"))</f>
        <v/>
      </c>
      <c r="J453" s="28" t="str">
        <f aca="false">IF(G453="","",IFERROR(INDEX(Settings!$C$8:$C$19,MATCH(G453,Settings!$B$8:$B$19,0)),"?"))</f>
        <v/>
      </c>
      <c r="K453" s="35" t="str">
        <f aca="false">IF(A453="","",DATE(YEAR(A453),MONTH(A453),1))</f>
        <v/>
      </c>
      <c r="L453" s="28" t="str">
        <f aca="false">IF(E453="","",IFERROR(INDEX(Settings!$K$8:$K$38,MATCH(E453,Settings!$H$8:$H$38,0))&amp;"",""))</f>
        <v/>
      </c>
    </row>
    <row r="454" customFormat="false" ht="15" hidden="false" customHeight="false" outlineLevel="0" collapsed="false">
      <c r="A454" s="33"/>
      <c r="B454" s="27"/>
      <c r="C454" s="27"/>
      <c r="D454" s="27"/>
      <c r="E454" s="27"/>
      <c r="F454" s="34"/>
      <c r="G454" s="27"/>
      <c r="H454" s="27"/>
      <c r="I454" s="28" t="str">
        <f aca="false">IF(C454="","",IFERROR(INDEX(Settings!$C$8:$C$19,MATCH(C454,Settings!$B$8:$B$19,0)),"?"))</f>
        <v/>
      </c>
      <c r="J454" s="28" t="str">
        <f aca="false">IF(G454="","",IFERROR(INDEX(Settings!$C$8:$C$19,MATCH(G454,Settings!$B$8:$B$19,0)),"?"))</f>
        <v/>
      </c>
      <c r="K454" s="35" t="str">
        <f aca="false">IF(A454="","",DATE(YEAR(A454),MONTH(A454),1))</f>
        <v/>
      </c>
      <c r="L454" s="28" t="str">
        <f aca="false">IF(E454="","",IFERROR(INDEX(Settings!$K$8:$K$38,MATCH(E454,Settings!$H$8:$H$38,0))&amp;"",""))</f>
        <v/>
      </c>
    </row>
    <row r="455" customFormat="false" ht="15" hidden="false" customHeight="false" outlineLevel="0" collapsed="false">
      <c r="A455" s="33"/>
      <c r="B455" s="27"/>
      <c r="C455" s="27"/>
      <c r="D455" s="27"/>
      <c r="E455" s="27"/>
      <c r="F455" s="34"/>
      <c r="G455" s="27"/>
      <c r="H455" s="27"/>
      <c r="I455" s="28" t="str">
        <f aca="false">IF(C455="","",IFERROR(INDEX(Settings!$C$8:$C$19,MATCH(C455,Settings!$B$8:$B$19,0)),"?"))</f>
        <v/>
      </c>
      <c r="J455" s="28" t="str">
        <f aca="false">IF(G455="","",IFERROR(INDEX(Settings!$C$8:$C$19,MATCH(G455,Settings!$B$8:$B$19,0)),"?"))</f>
        <v/>
      </c>
      <c r="K455" s="35" t="str">
        <f aca="false">IF(A455="","",DATE(YEAR(A455),MONTH(A455),1))</f>
        <v/>
      </c>
      <c r="L455" s="28" t="str">
        <f aca="false">IF(E455="","",IFERROR(INDEX(Settings!$K$8:$K$38,MATCH(E455,Settings!$H$8:$H$38,0))&amp;"",""))</f>
        <v/>
      </c>
    </row>
    <row r="456" customFormat="false" ht="15" hidden="false" customHeight="false" outlineLevel="0" collapsed="false">
      <c r="A456" s="33"/>
      <c r="B456" s="27"/>
      <c r="C456" s="27"/>
      <c r="D456" s="27"/>
      <c r="E456" s="27"/>
      <c r="F456" s="34"/>
      <c r="G456" s="27"/>
      <c r="H456" s="27"/>
      <c r="I456" s="28" t="str">
        <f aca="false">IF(C456="","",IFERROR(INDEX(Settings!$C$8:$C$19,MATCH(C456,Settings!$B$8:$B$19,0)),"?"))</f>
        <v/>
      </c>
      <c r="J456" s="28" t="str">
        <f aca="false">IF(G456="","",IFERROR(INDEX(Settings!$C$8:$C$19,MATCH(G456,Settings!$B$8:$B$19,0)),"?"))</f>
        <v/>
      </c>
      <c r="K456" s="35" t="str">
        <f aca="false">IF(A456="","",DATE(YEAR(A456),MONTH(A456),1))</f>
        <v/>
      </c>
      <c r="L456" s="28" t="str">
        <f aca="false">IF(E456="","",IFERROR(INDEX(Settings!$K$8:$K$38,MATCH(E456,Settings!$H$8:$H$38,0))&amp;"",""))</f>
        <v/>
      </c>
    </row>
    <row r="457" customFormat="false" ht="15" hidden="false" customHeight="false" outlineLevel="0" collapsed="false">
      <c r="A457" s="33"/>
      <c r="B457" s="27"/>
      <c r="C457" s="27"/>
      <c r="D457" s="27"/>
      <c r="E457" s="27"/>
      <c r="F457" s="34"/>
      <c r="G457" s="27"/>
      <c r="H457" s="27"/>
      <c r="I457" s="28" t="str">
        <f aca="false">IF(C457="","",IFERROR(INDEX(Settings!$C$8:$C$19,MATCH(C457,Settings!$B$8:$B$19,0)),"?"))</f>
        <v/>
      </c>
      <c r="J457" s="28" t="str">
        <f aca="false">IF(G457="","",IFERROR(INDEX(Settings!$C$8:$C$19,MATCH(G457,Settings!$B$8:$B$19,0)),"?"))</f>
        <v/>
      </c>
      <c r="K457" s="35" t="str">
        <f aca="false">IF(A457="","",DATE(YEAR(A457),MONTH(A457),1))</f>
        <v/>
      </c>
      <c r="L457" s="28" t="str">
        <f aca="false">IF(E457="","",IFERROR(INDEX(Settings!$K$8:$K$38,MATCH(E457,Settings!$H$8:$H$38,0))&amp;"",""))</f>
        <v/>
      </c>
    </row>
    <row r="458" customFormat="false" ht="15" hidden="false" customHeight="false" outlineLevel="0" collapsed="false">
      <c r="A458" s="33"/>
      <c r="B458" s="27"/>
      <c r="C458" s="27"/>
      <c r="D458" s="27"/>
      <c r="E458" s="27"/>
      <c r="F458" s="34"/>
      <c r="G458" s="27"/>
      <c r="H458" s="27"/>
      <c r="I458" s="28" t="str">
        <f aca="false">IF(C458="","",IFERROR(INDEX(Settings!$C$8:$C$19,MATCH(C458,Settings!$B$8:$B$19,0)),"?"))</f>
        <v/>
      </c>
      <c r="J458" s="28" t="str">
        <f aca="false">IF(G458="","",IFERROR(INDEX(Settings!$C$8:$C$19,MATCH(G458,Settings!$B$8:$B$19,0)),"?"))</f>
        <v/>
      </c>
      <c r="K458" s="35" t="str">
        <f aca="false">IF(A458="","",DATE(YEAR(A458),MONTH(A458),1))</f>
        <v/>
      </c>
      <c r="L458" s="28" t="str">
        <f aca="false">IF(E458="","",IFERROR(INDEX(Settings!$K$8:$K$38,MATCH(E458,Settings!$H$8:$H$38,0))&amp;"",""))</f>
        <v/>
      </c>
    </row>
    <row r="459" customFormat="false" ht="15" hidden="false" customHeight="false" outlineLevel="0" collapsed="false">
      <c r="A459" s="33"/>
      <c r="B459" s="27"/>
      <c r="C459" s="27"/>
      <c r="D459" s="27"/>
      <c r="E459" s="27"/>
      <c r="F459" s="34"/>
      <c r="G459" s="27"/>
      <c r="H459" s="27"/>
      <c r="I459" s="28" t="str">
        <f aca="false">IF(C459="","",IFERROR(INDEX(Settings!$C$8:$C$19,MATCH(C459,Settings!$B$8:$B$19,0)),"?"))</f>
        <v/>
      </c>
      <c r="J459" s="28" t="str">
        <f aca="false">IF(G459="","",IFERROR(INDEX(Settings!$C$8:$C$19,MATCH(G459,Settings!$B$8:$B$19,0)),"?"))</f>
        <v/>
      </c>
      <c r="K459" s="35" t="str">
        <f aca="false">IF(A459="","",DATE(YEAR(A459),MONTH(A459),1))</f>
        <v/>
      </c>
      <c r="L459" s="28" t="str">
        <f aca="false">IF(E459="","",IFERROR(INDEX(Settings!$K$8:$K$38,MATCH(E459,Settings!$H$8:$H$38,0))&amp;"",""))</f>
        <v/>
      </c>
    </row>
    <row r="460" customFormat="false" ht="15" hidden="false" customHeight="false" outlineLevel="0" collapsed="false">
      <c r="A460" s="33"/>
      <c r="B460" s="27"/>
      <c r="C460" s="27"/>
      <c r="D460" s="27"/>
      <c r="E460" s="27"/>
      <c r="F460" s="34"/>
      <c r="G460" s="27"/>
      <c r="H460" s="27"/>
      <c r="I460" s="28" t="str">
        <f aca="false">IF(C460="","",IFERROR(INDEX(Settings!$C$8:$C$19,MATCH(C460,Settings!$B$8:$B$19,0)),"?"))</f>
        <v/>
      </c>
      <c r="J460" s="28" t="str">
        <f aca="false">IF(G460="","",IFERROR(INDEX(Settings!$C$8:$C$19,MATCH(G460,Settings!$B$8:$B$19,0)),"?"))</f>
        <v/>
      </c>
      <c r="K460" s="35" t="str">
        <f aca="false">IF(A460="","",DATE(YEAR(A460),MONTH(A460),1))</f>
        <v/>
      </c>
      <c r="L460" s="28" t="str">
        <f aca="false">IF(E460="","",IFERROR(INDEX(Settings!$K$8:$K$38,MATCH(E460,Settings!$H$8:$H$38,0))&amp;"",""))</f>
        <v/>
      </c>
    </row>
    <row r="461" customFormat="false" ht="15" hidden="false" customHeight="false" outlineLevel="0" collapsed="false">
      <c r="A461" s="33"/>
      <c r="B461" s="27"/>
      <c r="C461" s="27"/>
      <c r="D461" s="27"/>
      <c r="E461" s="27"/>
      <c r="F461" s="34"/>
      <c r="G461" s="27"/>
      <c r="H461" s="27"/>
      <c r="I461" s="28" t="str">
        <f aca="false">IF(C461="","",IFERROR(INDEX(Settings!$C$8:$C$19,MATCH(C461,Settings!$B$8:$B$19,0)),"?"))</f>
        <v/>
      </c>
      <c r="J461" s="28" t="str">
        <f aca="false">IF(G461="","",IFERROR(INDEX(Settings!$C$8:$C$19,MATCH(G461,Settings!$B$8:$B$19,0)),"?"))</f>
        <v/>
      </c>
      <c r="K461" s="35" t="str">
        <f aca="false">IF(A461="","",DATE(YEAR(A461),MONTH(A461),1))</f>
        <v/>
      </c>
      <c r="L461" s="28" t="str">
        <f aca="false">IF(E461="","",IFERROR(INDEX(Settings!$K$8:$K$38,MATCH(E461,Settings!$H$8:$H$38,0))&amp;"",""))</f>
        <v/>
      </c>
    </row>
    <row r="462" customFormat="false" ht="15" hidden="false" customHeight="false" outlineLevel="0" collapsed="false">
      <c r="A462" s="33"/>
      <c r="B462" s="27"/>
      <c r="C462" s="27"/>
      <c r="D462" s="27"/>
      <c r="E462" s="27"/>
      <c r="F462" s="34"/>
      <c r="G462" s="27"/>
      <c r="H462" s="27"/>
      <c r="I462" s="28" t="str">
        <f aca="false">IF(C462="","",IFERROR(INDEX(Settings!$C$8:$C$19,MATCH(C462,Settings!$B$8:$B$19,0)),"?"))</f>
        <v/>
      </c>
      <c r="J462" s="28" t="str">
        <f aca="false">IF(G462="","",IFERROR(INDEX(Settings!$C$8:$C$19,MATCH(G462,Settings!$B$8:$B$19,0)),"?"))</f>
        <v/>
      </c>
      <c r="K462" s="35" t="str">
        <f aca="false">IF(A462="","",DATE(YEAR(A462),MONTH(A462),1))</f>
        <v/>
      </c>
      <c r="L462" s="28" t="str">
        <f aca="false">IF(E462="","",IFERROR(INDEX(Settings!$K$8:$K$38,MATCH(E462,Settings!$H$8:$H$38,0))&amp;"",""))</f>
        <v/>
      </c>
    </row>
    <row r="463" customFormat="false" ht="15" hidden="false" customHeight="false" outlineLevel="0" collapsed="false">
      <c r="A463" s="33"/>
      <c r="B463" s="27"/>
      <c r="C463" s="27"/>
      <c r="D463" s="27"/>
      <c r="E463" s="27"/>
      <c r="F463" s="34"/>
      <c r="G463" s="27"/>
      <c r="H463" s="27"/>
      <c r="I463" s="28" t="str">
        <f aca="false">IF(C463="","",IFERROR(INDEX(Settings!$C$8:$C$19,MATCH(C463,Settings!$B$8:$B$19,0)),"?"))</f>
        <v/>
      </c>
      <c r="J463" s="28" t="str">
        <f aca="false">IF(G463="","",IFERROR(INDEX(Settings!$C$8:$C$19,MATCH(G463,Settings!$B$8:$B$19,0)),"?"))</f>
        <v/>
      </c>
      <c r="K463" s="35" t="str">
        <f aca="false">IF(A463="","",DATE(YEAR(A463),MONTH(A463),1))</f>
        <v/>
      </c>
      <c r="L463" s="28" t="str">
        <f aca="false">IF(E463="","",IFERROR(INDEX(Settings!$K$8:$K$38,MATCH(E463,Settings!$H$8:$H$38,0))&amp;"",""))</f>
        <v/>
      </c>
    </row>
    <row r="464" customFormat="false" ht="15" hidden="false" customHeight="false" outlineLevel="0" collapsed="false">
      <c r="A464" s="33"/>
      <c r="B464" s="27"/>
      <c r="C464" s="27"/>
      <c r="D464" s="27"/>
      <c r="E464" s="27"/>
      <c r="F464" s="34"/>
      <c r="G464" s="27"/>
      <c r="H464" s="27"/>
      <c r="I464" s="28" t="str">
        <f aca="false">IF(C464="","",IFERROR(INDEX(Settings!$C$8:$C$19,MATCH(C464,Settings!$B$8:$B$19,0)),"?"))</f>
        <v/>
      </c>
      <c r="J464" s="28" t="str">
        <f aca="false">IF(G464="","",IFERROR(INDEX(Settings!$C$8:$C$19,MATCH(G464,Settings!$B$8:$B$19,0)),"?"))</f>
        <v/>
      </c>
      <c r="K464" s="35" t="str">
        <f aca="false">IF(A464="","",DATE(YEAR(A464),MONTH(A464),1))</f>
        <v/>
      </c>
      <c r="L464" s="28" t="str">
        <f aca="false">IF(E464="","",IFERROR(INDEX(Settings!$K$8:$K$38,MATCH(E464,Settings!$H$8:$H$38,0))&amp;"",""))</f>
        <v/>
      </c>
    </row>
    <row r="465" customFormat="false" ht="15" hidden="false" customHeight="false" outlineLevel="0" collapsed="false">
      <c r="A465" s="33"/>
      <c r="B465" s="27"/>
      <c r="C465" s="27"/>
      <c r="D465" s="27"/>
      <c r="E465" s="27"/>
      <c r="F465" s="34"/>
      <c r="G465" s="27"/>
      <c r="H465" s="27"/>
      <c r="I465" s="28" t="str">
        <f aca="false">IF(C465="","",IFERROR(INDEX(Settings!$C$8:$C$19,MATCH(C465,Settings!$B$8:$B$19,0)),"?"))</f>
        <v/>
      </c>
      <c r="J465" s="28" t="str">
        <f aca="false">IF(G465="","",IFERROR(INDEX(Settings!$C$8:$C$19,MATCH(G465,Settings!$B$8:$B$19,0)),"?"))</f>
        <v/>
      </c>
      <c r="K465" s="35" t="str">
        <f aca="false">IF(A465="","",DATE(YEAR(A465),MONTH(A465),1))</f>
        <v/>
      </c>
      <c r="L465" s="28" t="str">
        <f aca="false">IF(E465="","",IFERROR(INDEX(Settings!$K$8:$K$38,MATCH(E465,Settings!$H$8:$H$38,0))&amp;"",""))</f>
        <v/>
      </c>
    </row>
    <row r="466" customFormat="false" ht="15" hidden="false" customHeight="false" outlineLevel="0" collapsed="false">
      <c r="A466" s="33"/>
      <c r="B466" s="27"/>
      <c r="C466" s="27"/>
      <c r="D466" s="27"/>
      <c r="E466" s="27"/>
      <c r="F466" s="34"/>
      <c r="G466" s="27"/>
      <c r="H466" s="27"/>
      <c r="I466" s="28" t="str">
        <f aca="false">IF(C466="","",IFERROR(INDEX(Settings!$C$8:$C$19,MATCH(C466,Settings!$B$8:$B$19,0)),"?"))</f>
        <v/>
      </c>
      <c r="J466" s="28" t="str">
        <f aca="false">IF(G466="","",IFERROR(INDEX(Settings!$C$8:$C$19,MATCH(G466,Settings!$B$8:$B$19,0)),"?"))</f>
        <v/>
      </c>
      <c r="K466" s="35" t="str">
        <f aca="false">IF(A466="","",DATE(YEAR(A466),MONTH(A466),1))</f>
        <v/>
      </c>
      <c r="L466" s="28" t="str">
        <f aca="false">IF(E466="","",IFERROR(INDEX(Settings!$K$8:$K$38,MATCH(E466,Settings!$H$8:$H$38,0))&amp;"",""))</f>
        <v/>
      </c>
    </row>
    <row r="467" customFormat="false" ht="15" hidden="false" customHeight="false" outlineLevel="0" collapsed="false">
      <c r="A467" s="33"/>
      <c r="B467" s="27"/>
      <c r="C467" s="27"/>
      <c r="D467" s="27"/>
      <c r="E467" s="27"/>
      <c r="F467" s="34"/>
      <c r="G467" s="27"/>
      <c r="H467" s="27"/>
      <c r="I467" s="28" t="str">
        <f aca="false">IF(C467="","",IFERROR(INDEX(Settings!$C$8:$C$19,MATCH(C467,Settings!$B$8:$B$19,0)),"?"))</f>
        <v/>
      </c>
      <c r="J467" s="28" t="str">
        <f aca="false">IF(G467="","",IFERROR(INDEX(Settings!$C$8:$C$19,MATCH(G467,Settings!$B$8:$B$19,0)),"?"))</f>
        <v/>
      </c>
      <c r="K467" s="35" t="str">
        <f aca="false">IF(A467="","",DATE(YEAR(A467),MONTH(A467),1))</f>
        <v/>
      </c>
      <c r="L467" s="28" t="str">
        <f aca="false">IF(E467="","",IFERROR(INDEX(Settings!$K$8:$K$38,MATCH(E467,Settings!$H$8:$H$38,0))&amp;"",""))</f>
        <v/>
      </c>
    </row>
    <row r="468" customFormat="false" ht="15" hidden="false" customHeight="false" outlineLevel="0" collapsed="false">
      <c r="A468" s="33"/>
      <c r="B468" s="27"/>
      <c r="C468" s="27"/>
      <c r="D468" s="27"/>
      <c r="E468" s="27"/>
      <c r="F468" s="34"/>
      <c r="G468" s="27"/>
      <c r="H468" s="27"/>
      <c r="I468" s="28" t="str">
        <f aca="false">IF(C468="","",IFERROR(INDEX(Settings!$C$8:$C$19,MATCH(C468,Settings!$B$8:$B$19,0)),"?"))</f>
        <v/>
      </c>
      <c r="J468" s="28" t="str">
        <f aca="false">IF(G468="","",IFERROR(INDEX(Settings!$C$8:$C$19,MATCH(G468,Settings!$B$8:$B$19,0)),"?"))</f>
        <v/>
      </c>
      <c r="K468" s="35" t="str">
        <f aca="false">IF(A468="","",DATE(YEAR(A468),MONTH(A468),1))</f>
        <v/>
      </c>
      <c r="L468" s="28" t="str">
        <f aca="false">IF(E468="","",IFERROR(INDEX(Settings!$K$8:$K$38,MATCH(E468,Settings!$H$8:$H$38,0))&amp;"",""))</f>
        <v/>
      </c>
    </row>
    <row r="469" customFormat="false" ht="15" hidden="false" customHeight="false" outlineLevel="0" collapsed="false">
      <c r="A469" s="33"/>
      <c r="B469" s="27"/>
      <c r="C469" s="27"/>
      <c r="D469" s="27"/>
      <c r="E469" s="27"/>
      <c r="F469" s="34"/>
      <c r="G469" s="27"/>
      <c r="H469" s="27"/>
      <c r="I469" s="28" t="str">
        <f aca="false">IF(C469="","",IFERROR(INDEX(Settings!$C$8:$C$19,MATCH(C469,Settings!$B$8:$B$19,0)),"?"))</f>
        <v/>
      </c>
      <c r="J469" s="28" t="str">
        <f aca="false">IF(G469="","",IFERROR(INDEX(Settings!$C$8:$C$19,MATCH(G469,Settings!$B$8:$B$19,0)),"?"))</f>
        <v/>
      </c>
      <c r="K469" s="35" t="str">
        <f aca="false">IF(A469="","",DATE(YEAR(A469),MONTH(A469),1))</f>
        <v/>
      </c>
      <c r="L469" s="28" t="str">
        <f aca="false">IF(E469="","",IFERROR(INDEX(Settings!$K$8:$K$38,MATCH(E469,Settings!$H$8:$H$38,0))&amp;"",""))</f>
        <v/>
      </c>
    </row>
    <row r="470" customFormat="false" ht="15" hidden="false" customHeight="false" outlineLevel="0" collapsed="false">
      <c r="A470" s="33"/>
      <c r="B470" s="27"/>
      <c r="C470" s="27"/>
      <c r="D470" s="27"/>
      <c r="E470" s="27"/>
      <c r="F470" s="34"/>
      <c r="G470" s="27"/>
      <c r="H470" s="27"/>
      <c r="I470" s="28" t="str">
        <f aca="false">IF(C470="","",IFERROR(INDEX(Settings!$C$8:$C$19,MATCH(C470,Settings!$B$8:$B$19,0)),"?"))</f>
        <v/>
      </c>
      <c r="J470" s="28" t="str">
        <f aca="false">IF(G470="","",IFERROR(INDEX(Settings!$C$8:$C$19,MATCH(G470,Settings!$B$8:$B$19,0)),"?"))</f>
        <v/>
      </c>
      <c r="K470" s="35" t="str">
        <f aca="false">IF(A470="","",DATE(YEAR(A470),MONTH(A470),1))</f>
        <v/>
      </c>
      <c r="L470" s="28" t="str">
        <f aca="false">IF(E470="","",IFERROR(INDEX(Settings!$K$8:$K$38,MATCH(E470,Settings!$H$8:$H$38,0))&amp;"",""))</f>
        <v/>
      </c>
    </row>
    <row r="471" customFormat="false" ht="15" hidden="false" customHeight="false" outlineLevel="0" collapsed="false">
      <c r="A471" s="33"/>
      <c r="B471" s="27"/>
      <c r="C471" s="27"/>
      <c r="D471" s="27"/>
      <c r="E471" s="27"/>
      <c r="F471" s="34"/>
      <c r="G471" s="27"/>
      <c r="H471" s="27"/>
      <c r="I471" s="28" t="str">
        <f aca="false">IF(C471="","",IFERROR(INDEX(Settings!$C$8:$C$19,MATCH(C471,Settings!$B$8:$B$19,0)),"?"))</f>
        <v/>
      </c>
      <c r="J471" s="28" t="str">
        <f aca="false">IF(G471="","",IFERROR(INDEX(Settings!$C$8:$C$19,MATCH(G471,Settings!$B$8:$B$19,0)),"?"))</f>
        <v/>
      </c>
      <c r="K471" s="35" t="str">
        <f aca="false">IF(A471="","",DATE(YEAR(A471),MONTH(A471),1))</f>
        <v/>
      </c>
      <c r="L471" s="28" t="str">
        <f aca="false">IF(E471="","",IFERROR(INDEX(Settings!$K$8:$K$38,MATCH(E471,Settings!$H$8:$H$38,0))&amp;"",""))</f>
        <v/>
      </c>
    </row>
    <row r="472" customFormat="false" ht="15" hidden="false" customHeight="false" outlineLevel="0" collapsed="false">
      <c r="A472" s="33"/>
      <c r="B472" s="27"/>
      <c r="C472" s="27"/>
      <c r="D472" s="27"/>
      <c r="E472" s="27"/>
      <c r="F472" s="34"/>
      <c r="G472" s="27"/>
      <c r="H472" s="27"/>
      <c r="I472" s="28" t="str">
        <f aca="false">IF(C472="","",IFERROR(INDEX(Settings!$C$8:$C$19,MATCH(C472,Settings!$B$8:$B$19,0)),"?"))</f>
        <v/>
      </c>
      <c r="J472" s="28" t="str">
        <f aca="false">IF(G472="","",IFERROR(INDEX(Settings!$C$8:$C$19,MATCH(G472,Settings!$B$8:$B$19,0)),"?"))</f>
        <v/>
      </c>
      <c r="K472" s="35" t="str">
        <f aca="false">IF(A472="","",DATE(YEAR(A472),MONTH(A472),1))</f>
        <v/>
      </c>
      <c r="L472" s="28" t="str">
        <f aca="false">IF(E472="","",IFERROR(INDEX(Settings!$K$8:$K$38,MATCH(E472,Settings!$H$8:$H$38,0))&amp;"",""))</f>
        <v/>
      </c>
    </row>
    <row r="473" customFormat="false" ht="15" hidden="false" customHeight="false" outlineLevel="0" collapsed="false">
      <c r="A473" s="33"/>
      <c r="B473" s="27"/>
      <c r="C473" s="27"/>
      <c r="D473" s="27"/>
      <c r="E473" s="27"/>
      <c r="F473" s="34"/>
      <c r="G473" s="27"/>
      <c r="H473" s="27"/>
      <c r="I473" s="28" t="str">
        <f aca="false">IF(C473="","",IFERROR(INDEX(Settings!$C$8:$C$19,MATCH(C473,Settings!$B$8:$B$19,0)),"?"))</f>
        <v/>
      </c>
      <c r="J473" s="28" t="str">
        <f aca="false">IF(G473="","",IFERROR(INDEX(Settings!$C$8:$C$19,MATCH(G473,Settings!$B$8:$B$19,0)),"?"))</f>
        <v/>
      </c>
      <c r="K473" s="35" t="str">
        <f aca="false">IF(A473="","",DATE(YEAR(A473),MONTH(A473),1))</f>
        <v/>
      </c>
      <c r="L473" s="28" t="str">
        <f aca="false">IF(E473="","",IFERROR(INDEX(Settings!$K$8:$K$38,MATCH(E473,Settings!$H$8:$H$38,0))&amp;"",""))</f>
        <v/>
      </c>
    </row>
    <row r="474" customFormat="false" ht="15" hidden="false" customHeight="false" outlineLevel="0" collapsed="false">
      <c r="A474" s="33"/>
      <c r="B474" s="27"/>
      <c r="C474" s="27"/>
      <c r="D474" s="27"/>
      <c r="E474" s="27"/>
      <c r="F474" s="34"/>
      <c r="G474" s="27"/>
      <c r="H474" s="27"/>
      <c r="I474" s="28" t="str">
        <f aca="false">IF(C474="","",IFERROR(INDEX(Settings!$C$8:$C$19,MATCH(C474,Settings!$B$8:$B$19,0)),"?"))</f>
        <v/>
      </c>
      <c r="J474" s="28" t="str">
        <f aca="false">IF(G474="","",IFERROR(INDEX(Settings!$C$8:$C$19,MATCH(G474,Settings!$B$8:$B$19,0)),"?"))</f>
        <v/>
      </c>
      <c r="K474" s="35" t="str">
        <f aca="false">IF(A474="","",DATE(YEAR(A474),MONTH(A474),1))</f>
        <v/>
      </c>
      <c r="L474" s="28" t="str">
        <f aca="false">IF(E474="","",IFERROR(INDEX(Settings!$K$8:$K$38,MATCH(E474,Settings!$H$8:$H$38,0))&amp;"",""))</f>
        <v/>
      </c>
    </row>
    <row r="475" customFormat="false" ht="15" hidden="false" customHeight="false" outlineLevel="0" collapsed="false">
      <c r="A475" s="33"/>
      <c r="B475" s="27"/>
      <c r="C475" s="27"/>
      <c r="D475" s="27"/>
      <c r="E475" s="27"/>
      <c r="F475" s="34"/>
      <c r="G475" s="27"/>
      <c r="H475" s="27"/>
      <c r="I475" s="28" t="str">
        <f aca="false">IF(C475="","",IFERROR(INDEX(Settings!$C$8:$C$19,MATCH(C475,Settings!$B$8:$B$19,0)),"?"))</f>
        <v/>
      </c>
      <c r="J475" s="28" t="str">
        <f aca="false">IF(G475="","",IFERROR(INDEX(Settings!$C$8:$C$19,MATCH(G475,Settings!$B$8:$B$19,0)),"?"))</f>
        <v/>
      </c>
      <c r="K475" s="35" t="str">
        <f aca="false">IF(A475="","",DATE(YEAR(A475),MONTH(A475),1))</f>
        <v/>
      </c>
      <c r="L475" s="28" t="str">
        <f aca="false">IF(E475="","",IFERROR(INDEX(Settings!$K$8:$K$38,MATCH(E475,Settings!$H$8:$H$38,0))&amp;"",""))</f>
        <v/>
      </c>
    </row>
    <row r="476" customFormat="false" ht="15" hidden="false" customHeight="false" outlineLevel="0" collapsed="false">
      <c r="A476" s="33"/>
      <c r="B476" s="27"/>
      <c r="C476" s="27"/>
      <c r="D476" s="27"/>
      <c r="E476" s="27"/>
      <c r="F476" s="34"/>
      <c r="G476" s="27"/>
      <c r="H476" s="27"/>
      <c r="I476" s="28" t="str">
        <f aca="false">IF(C476="","",IFERROR(INDEX(Settings!$C$8:$C$19,MATCH(C476,Settings!$B$8:$B$19,0)),"?"))</f>
        <v/>
      </c>
      <c r="J476" s="28" t="str">
        <f aca="false">IF(G476="","",IFERROR(INDEX(Settings!$C$8:$C$19,MATCH(G476,Settings!$B$8:$B$19,0)),"?"))</f>
        <v/>
      </c>
      <c r="K476" s="35" t="str">
        <f aca="false">IF(A476="","",DATE(YEAR(A476),MONTH(A476),1))</f>
        <v/>
      </c>
      <c r="L476" s="28" t="str">
        <f aca="false">IF(E476="","",IFERROR(INDEX(Settings!$K$8:$K$38,MATCH(E476,Settings!$H$8:$H$38,0))&amp;"",""))</f>
        <v/>
      </c>
    </row>
    <row r="477" customFormat="false" ht="15" hidden="false" customHeight="false" outlineLevel="0" collapsed="false">
      <c r="A477" s="33"/>
      <c r="B477" s="27"/>
      <c r="C477" s="27"/>
      <c r="D477" s="27"/>
      <c r="E477" s="27"/>
      <c r="F477" s="34"/>
      <c r="G477" s="27"/>
      <c r="H477" s="27"/>
      <c r="I477" s="28" t="str">
        <f aca="false">IF(C477="","",IFERROR(INDEX(Settings!$C$8:$C$19,MATCH(C477,Settings!$B$8:$B$19,0)),"?"))</f>
        <v/>
      </c>
      <c r="J477" s="28" t="str">
        <f aca="false">IF(G477="","",IFERROR(INDEX(Settings!$C$8:$C$19,MATCH(G477,Settings!$B$8:$B$19,0)),"?"))</f>
        <v/>
      </c>
      <c r="K477" s="35" t="str">
        <f aca="false">IF(A477="","",DATE(YEAR(A477),MONTH(A477),1))</f>
        <v/>
      </c>
      <c r="L477" s="28" t="str">
        <f aca="false">IF(E477="","",IFERROR(INDEX(Settings!$K$8:$K$38,MATCH(E477,Settings!$H$8:$H$38,0))&amp;"",""))</f>
        <v/>
      </c>
    </row>
    <row r="478" customFormat="false" ht="15" hidden="false" customHeight="false" outlineLevel="0" collapsed="false">
      <c r="A478" s="33"/>
      <c r="B478" s="27"/>
      <c r="C478" s="27"/>
      <c r="D478" s="27"/>
      <c r="E478" s="27"/>
      <c r="F478" s="34"/>
      <c r="G478" s="27"/>
      <c r="H478" s="27"/>
      <c r="I478" s="28" t="str">
        <f aca="false">IF(C478="","",IFERROR(INDEX(Settings!$C$8:$C$19,MATCH(C478,Settings!$B$8:$B$19,0)),"?"))</f>
        <v/>
      </c>
      <c r="J478" s="28" t="str">
        <f aca="false">IF(G478="","",IFERROR(INDEX(Settings!$C$8:$C$19,MATCH(G478,Settings!$B$8:$B$19,0)),"?"))</f>
        <v/>
      </c>
      <c r="K478" s="35" t="str">
        <f aca="false">IF(A478="","",DATE(YEAR(A478),MONTH(A478),1))</f>
        <v/>
      </c>
      <c r="L478" s="28" t="str">
        <f aca="false">IF(E478="","",IFERROR(INDEX(Settings!$K$8:$K$38,MATCH(E478,Settings!$H$8:$H$38,0))&amp;"",""))</f>
        <v/>
      </c>
    </row>
    <row r="479" customFormat="false" ht="15" hidden="false" customHeight="false" outlineLevel="0" collapsed="false">
      <c r="A479" s="33"/>
      <c r="B479" s="27"/>
      <c r="C479" s="27"/>
      <c r="D479" s="27"/>
      <c r="E479" s="27"/>
      <c r="F479" s="34"/>
      <c r="G479" s="27"/>
      <c r="H479" s="27"/>
      <c r="I479" s="28" t="str">
        <f aca="false">IF(C479="","",IFERROR(INDEX(Settings!$C$8:$C$19,MATCH(C479,Settings!$B$8:$B$19,0)),"?"))</f>
        <v/>
      </c>
      <c r="J479" s="28" t="str">
        <f aca="false">IF(G479="","",IFERROR(INDEX(Settings!$C$8:$C$19,MATCH(G479,Settings!$B$8:$B$19,0)),"?"))</f>
        <v/>
      </c>
      <c r="K479" s="35" t="str">
        <f aca="false">IF(A479="","",DATE(YEAR(A479),MONTH(A479),1))</f>
        <v/>
      </c>
      <c r="L479" s="28" t="str">
        <f aca="false">IF(E479="","",IFERROR(INDEX(Settings!$K$8:$K$38,MATCH(E479,Settings!$H$8:$H$38,0))&amp;"",""))</f>
        <v/>
      </c>
    </row>
    <row r="480" customFormat="false" ht="15" hidden="false" customHeight="false" outlineLevel="0" collapsed="false">
      <c r="A480" s="33"/>
      <c r="B480" s="27"/>
      <c r="C480" s="27"/>
      <c r="D480" s="27"/>
      <c r="E480" s="27"/>
      <c r="F480" s="34"/>
      <c r="G480" s="27"/>
      <c r="H480" s="27"/>
      <c r="I480" s="28" t="str">
        <f aca="false">IF(C480="","",IFERROR(INDEX(Settings!$C$8:$C$19,MATCH(C480,Settings!$B$8:$B$19,0)),"?"))</f>
        <v/>
      </c>
      <c r="J480" s="28" t="str">
        <f aca="false">IF(G480="","",IFERROR(INDEX(Settings!$C$8:$C$19,MATCH(G480,Settings!$B$8:$B$19,0)),"?"))</f>
        <v/>
      </c>
      <c r="K480" s="35" t="str">
        <f aca="false">IF(A480="","",DATE(YEAR(A480),MONTH(A480),1))</f>
        <v/>
      </c>
      <c r="L480" s="28" t="str">
        <f aca="false">IF(E480="","",IFERROR(INDEX(Settings!$K$8:$K$38,MATCH(E480,Settings!$H$8:$H$38,0))&amp;"",""))</f>
        <v/>
      </c>
    </row>
    <row r="481" customFormat="false" ht="15" hidden="false" customHeight="false" outlineLevel="0" collapsed="false">
      <c r="A481" s="33"/>
      <c r="B481" s="27"/>
      <c r="C481" s="27"/>
      <c r="D481" s="27"/>
      <c r="E481" s="27"/>
      <c r="F481" s="34"/>
      <c r="G481" s="27"/>
      <c r="H481" s="27"/>
      <c r="I481" s="28" t="str">
        <f aca="false">IF(C481="","",IFERROR(INDEX(Settings!$C$8:$C$19,MATCH(C481,Settings!$B$8:$B$19,0)),"?"))</f>
        <v/>
      </c>
      <c r="J481" s="28" t="str">
        <f aca="false">IF(G481="","",IFERROR(INDEX(Settings!$C$8:$C$19,MATCH(G481,Settings!$B$8:$B$19,0)),"?"))</f>
        <v/>
      </c>
      <c r="K481" s="35" t="str">
        <f aca="false">IF(A481="","",DATE(YEAR(A481),MONTH(A481),1))</f>
        <v/>
      </c>
      <c r="L481" s="28" t="str">
        <f aca="false">IF(E481="","",IFERROR(INDEX(Settings!$K$8:$K$38,MATCH(E481,Settings!$H$8:$H$38,0))&amp;"",""))</f>
        <v/>
      </c>
    </row>
    <row r="482" customFormat="false" ht="15" hidden="false" customHeight="false" outlineLevel="0" collapsed="false">
      <c r="A482" s="33"/>
      <c r="B482" s="27"/>
      <c r="C482" s="27"/>
      <c r="D482" s="27"/>
      <c r="E482" s="27"/>
      <c r="F482" s="34"/>
      <c r="G482" s="27"/>
      <c r="H482" s="27"/>
      <c r="I482" s="28" t="str">
        <f aca="false">IF(C482="","",IFERROR(INDEX(Settings!$C$8:$C$19,MATCH(C482,Settings!$B$8:$B$19,0)),"?"))</f>
        <v/>
      </c>
      <c r="J482" s="28" t="str">
        <f aca="false">IF(G482="","",IFERROR(INDEX(Settings!$C$8:$C$19,MATCH(G482,Settings!$B$8:$B$19,0)),"?"))</f>
        <v/>
      </c>
      <c r="K482" s="35" t="str">
        <f aca="false">IF(A482="","",DATE(YEAR(A482),MONTH(A482),1))</f>
        <v/>
      </c>
      <c r="L482" s="28" t="str">
        <f aca="false">IF(E482="","",IFERROR(INDEX(Settings!$K$8:$K$38,MATCH(E482,Settings!$H$8:$H$38,0))&amp;"",""))</f>
        <v/>
      </c>
    </row>
    <row r="483" customFormat="false" ht="15" hidden="false" customHeight="false" outlineLevel="0" collapsed="false">
      <c r="A483" s="33"/>
      <c r="B483" s="27"/>
      <c r="C483" s="27"/>
      <c r="D483" s="27"/>
      <c r="E483" s="27"/>
      <c r="F483" s="34"/>
      <c r="G483" s="27"/>
      <c r="H483" s="27"/>
      <c r="I483" s="28" t="str">
        <f aca="false">IF(C483="","",IFERROR(INDEX(Settings!$C$8:$C$19,MATCH(C483,Settings!$B$8:$B$19,0)),"?"))</f>
        <v/>
      </c>
      <c r="J483" s="28" t="str">
        <f aca="false">IF(G483="","",IFERROR(INDEX(Settings!$C$8:$C$19,MATCH(G483,Settings!$B$8:$B$19,0)),"?"))</f>
        <v/>
      </c>
      <c r="K483" s="35" t="str">
        <f aca="false">IF(A483="","",DATE(YEAR(A483),MONTH(A483),1))</f>
        <v/>
      </c>
      <c r="L483" s="28" t="str">
        <f aca="false">IF(E483="","",IFERROR(INDEX(Settings!$K$8:$K$38,MATCH(E483,Settings!$H$8:$H$38,0))&amp;"",""))</f>
        <v/>
      </c>
    </row>
    <row r="484" customFormat="false" ht="15" hidden="false" customHeight="false" outlineLevel="0" collapsed="false">
      <c r="A484" s="33"/>
      <c r="B484" s="27"/>
      <c r="C484" s="27"/>
      <c r="D484" s="27"/>
      <c r="E484" s="27"/>
      <c r="F484" s="34"/>
      <c r="G484" s="27"/>
      <c r="H484" s="27"/>
      <c r="I484" s="28" t="str">
        <f aca="false">IF(C484="","",IFERROR(INDEX(Settings!$C$8:$C$19,MATCH(C484,Settings!$B$8:$B$19,0)),"?"))</f>
        <v/>
      </c>
      <c r="J484" s="28" t="str">
        <f aca="false">IF(G484="","",IFERROR(INDEX(Settings!$C$8:$C$19,MATCH(G484,Settings!$B$8:$B$19,0)),"?"))</f>
        <v/>
      </c>
      <c r="K484" s="35" t="str">
        <f aca="false">IF(A484="","",DATE(YEAR(A484),MONTH(A484),1))</f>
        <v/>
      </c>
      <c r="L484" s="28" t="str">
        <f aca="false">IF(E484="","",IFERROR(INDEX(Settings!$K$8:$K$38,MATCH(E484,Settings!$H$8:$H$38,0))&amp;"",""))</f>
        <v/>
      </c>
    </row>
    <row r="485" customFormat="false" ht="15" hidden="false" customHeight="false" outlineLevel="0" collapsed="false">
      <c r="A485" s="33"/>
      <c r="B485" s="27"/>
      <c r="C485" s="27"/>
      <c r="D485" s="27"/>
      <c r="E485" s="27"/>
      <c r="F485" s="34"/>
      <c r="G485" s="27"/>
      <c r="H485" s="27"/>
      <c r="I485" s="28" t="str">
        <f aca="false">IF(C485="","",IFERROR(INDEX(Settings!$C$8:$C$19,MATCH(C485,Settings!$B$8:$B$19,0)),"?"))</f>
        <v/>
      </c>
      <c r="J485" s="28" t="str">
        <f aca="false">IF(G485="","",IFERROR(INDEX(Settings!$C$8:$C$19,MATCH(G485,Settings!$B$8:$B$19,0)),"?"))</f>
        <v/>
      </c>
      <c r="K485" s="35" t="str">
        <f aca="false">IF(A485="","",DATE(YEAR(A485),MONTH(A485),1))</f>
        <v/>
      </c>
      <c r="L485" s="28" t="str">
        <f aca="false">IF(E485="","",IFERROR(INDEX(Settings!$K$8:$K$38,MATCH(E485,Settings!$H$8:$H$38,0))&amp;"",""))</f>
        <v/>
      </c>
    </row>
    <row r="486" customFormat="false" ht="15" hidden="false" customHeight="false" outlineLevel="0" collapsed="false">
      <c r="A486" s="33"/>
      <c r="B486" s="27"/>
      <c r="C486" s="27"/>
      <c r="D486" s="27"/>
      <c r="E486" s="27"/>
      <c r="F486" s="34"/>
      <c r="G486" s="27"/>
      <c r="H486" s="27"/>
      <c r="I486" s="28" t="str">
        <f aca="false">IF(C486="","",IFERROR(INDEX(Settings!$C$8:$C$19,MATCH(C486,Settings!$B$8:$B$19,0)),"?"))</f>
        <v/>
      </c>
      <c r="J486" s="28" t="str">
        <f aca="false">IF(G486="","",IFERROR(INDEX(Settings!$C$8:$C$19,MATCH(G486,Settings!$B$8:$B$19,0)),"?"))</f>
        <v/>
      </c>
      <c r="K486" s="35" t="str">
        <f aca="false">IF(A486="","",DATE(YEAR(A486),MONTH(A486),1))</f>
        <v/>
      </c>
      <c r="L486" s="28" t="str">
        <f aca="false">IF(E486="","",IFERROR(INDEX(Settings!$K$8:$K$38,MATCH(E486,Settings!$H$8:$H$38,0))&amp;"",""))</f>
        <v/>
      </c>
    </row>
    <row r="487" customFormat="false" ht="15" hidden="false" customHeight="false" outlineLevel="0" collapsed="false">
      <c r="A487" s="33"/>
      <c r="B487" s="27"/>
      <c r="C487" s="27"/>
      <c r="D487" s="27"/>
      <c r="E487" s="27"/>
      <c r="F487" s="34"/>
      <c r="G487" s="27"/>
      <c r="H487" s="27"/>
      <c r="I487" s="28" t="str">
        <f aca="false">IF(C487="","",IFERROR(INDEX(Settings!$C$8:$C$19,MATCH(C487,Settings!$B$8:$B$19,0)),"?"))</f>
        <v/>
      </c>
      <c r="J487" s="28" t="str">
        <f aca="false">IF(G487="","",IFERROR(INDEX(Settings!$C$8:$C$19,MATCH(G487,Settings!$B$8:$B$19,0)),"?"))</f>
        <v/>
      </c>
      <c r="K487" s="35" t="str">
        <f aca="false">IF(A487="","",DATE(YEAR(A487),MONTH(A487),1))</f>
        <v/>
      </c>
      <c r="L487" s="28" t="str">
        <f aca="false">IF(E487="","",IFERROR(INDEX(Settings!$K$8:$K$38,MATCH(E487,Settings!$H$8:$H$38,0))&amp;"",""))</f>
        <v/>
      </c>
    </row>
    <row r="488" customFormat="false" ht="15" hidden="false" customHeight="false" outlineLevel="0" collapsed="false">
      <c r="A488" s="33"/>
      <c r="B488" s="27"/>
      <c r="C488" s="27"/>
      <c r="D488" s="27"/>
      <c r="E488" s="27"/>
      <c r="F488" s="34"/>
      <c r="G488" s="27"/>
      <c r="H488" s="27"/>
      <c r="I488" s="28" t="str">
        <f aca="false">IF(C488="","",IFERROR(INDEX(Settings!$C$8:$C$19,MATCH(C488,Settings!$B$8:$B$19,0)),"?"))</f>
        <v/>
      </c>
      <c r="J488" s="28" t="str">
        <f aca="false">IF(G488="","",IFERROR(INDEX(Settings!$C$8:$C$19,MATCH(G488,Settings!$B$8:$B$19,0)),"?"))</f>
        <v/>
      </c>
      <c r="K488" s="35" t="str">
        <f aca="false">IF(A488="","",DATE(YEAR(A488),MONTH(A488),1))</f>
        <v/>
      </c>
      <c r="L488" s="28" t="str">
        <f aca="false">IF(E488="","",IFERROR(INDEX(Settings!$K$8:$K$38,MATCH(E488,Settings!$H$8:$H$38,0))&amp;"",""))</f>
        <v/>
      </c>
    </row>
    <row r="489" customFormat="false" ht="15" hidden="false" customHeight="false" outlineLevel="0" collapsed="false">
      <c r="A489" s="33"/>
      <c r="B489" s="27"/>
      <c r="C489" s="27"/>
      <c r="D489" s="27"/>
      <c r="E489" s="27"/>
      <c r="F489" s="34"/>
      <c r="G489" s="27"/>
      <c r="H489" s="27"/>
      <c r="I489" s="28" t="str">
        <f aca="false">IF(C489="","",IFERROR(INDEX(Settings!$C$8:$C$19,MATCH(C489,Settings!$B$8:$B$19,0)),"?"))</f>
        <v/>
      </c>
      <c r="J489" s="28" t="str">
        <f aca="false">IF(G489="","",IFERROR(INDEX(Settings!$C$8:$C$19,MATCH(G489,Settings!$B$8:$B$19,0)),"?"))</f>
        <v/>
      </c>
      <c r="K489" s="35" t="str">
        <f aca="false">IF(A489="","",DATE(YEAR(A489),MONTH(A489),1))</f>
        <v/>
      </c>
      <c r="L489" s="28" t="str">
        <f aca="false">IF(E489="","",IFERROR(INDEX(Settings!$K$8:$K$38,MATCH(E489,Settings!$H$8:$H$38,0))&amp;"",""))</f>
        <v/>
      </c>
    </row>
    <row r="490" customFormat="false" ht="15" hidden="false" customHeight="false" outlineLevel="0" collapsed="false">
      <c r="A490" s="33"/>
      <c r="B490" s="27"/>
      <c r="C490" s="27"/>
      <c r="D490" s="27"/>
      <c r="E490" s="27"/>
      <c r="F490" s="34"/>
      <c r="G490" s="27"/>
      <c r="H490" s="27"/>
      <c r="I490" s="28" t="str">
        <f aca="false">IF(C490="","",IFERROR(INDEX(Settings!$C$8:$C$19,MATCH(C490,Settings!$B$8:$B$19,0)),"?"))</f>
        <v/>
      </c>
      <c r="J490" s="28" t="str">
        <f aca="false">IF(G490="","",IFERROR(INDEX(Settings!$C$8:$C$19,MATCH(G490,Settings!$B$8:$B$19,0)),"?"))</f>
        <v/>
      </c>
      <c r="K490" s="35" t="str">
        <f aca="false">IF(A490="","",DATE(YEAR(A490),MONTH(A490),1))</f>
        <v/>
      </c>
      <c r="L490" s="28" t="str">
        <f aca="false">IF(E490="","",IFERROR(INDEX(Settings!$K$8:$K$38,MATCH(E490,Settings!$H$8:$H$38,0))&amp;"",""))</f>
        <v/>
      </c>
    </row>
    <row r="491" customFormat="false" ht="15" hidden="false" customHeight="false" outlineLevel="0" collapsed="false">
      <c r="A491" s="33"/>
      <c r="B491" s="27"/>
      <c r="C491" s="27"/>
      <c r="D491" s="27"/>
      <c r="E491" s="27"/>
      <c r="F491" s="34"/>
      <c r="G491" s="27"/>
      <c r="H491" s="27"/>
      <c r="I491" s="28" t="str">
        <f aca="false">IF(C491="","",IFERROR(INDEX(Settings!$C$8:$C$19,MATCH(C491,Settings!$B$8:$B$19,0)),"?"))</f>
        <v/>
      </c>
      <c r="J491" s="28" t="str">
        <f aca="false">IF(G491="","",IFERROR(INDEX(Settings!$C$8:$C$19,MATCH(G491,Settings!$B$8:$B$19,0)),"?"))</f>
        <v/>
      </c>
      <c r="K491" s="35" t="str">
        <f aca="false">IF(A491="","",DATE(YEAR(A491),MONTH(A491),1))</f>
        <v/>
      </c>
      <c r="L491" s="28" t="str">
        <f aca="false">IF(E491="","",IFERROR(INDEX(Settings!$K$8:$K$38,MATCH(E491,Settings!$H$8:$H$38,0))&amp;"",""))</f>
        <v/>
      </c>
    </row>
    <row r="492" customFormat="false" ht="15" hidden="false" customHeight="false" outlineLevel="0" collapsed="false">
      <c r="A492" s="33"/>
      <c r="B492" s="27"/>
      <c r="C492" s="27"/>
      <c r="D492" s="27"/>
      <c r="E492" s="27"/>
      <c r="F492" s="34"/>
      <c r="G492" s="27"/>
      <c r="H492" s="27"/>
      <c r="I492" s="28" t="str">
        <f aca="false">IF(C492="","",IFERROR(INDEX(Settings!$C$8:$C$19,MATCH(C492,Settings!$B$8:$B$19,0)),"?"))</f>
        <v/>
      </c>
      <c r="J492" s="28" t="str">
        <f aca="false">IF(G492="","",IFERROR(INDEX(Settings!$C$8:$C$19,MATCH(G492,Settings!$B$8:$B$19,0)),"?"))</f>
        <v/>
      </c>
      <c r="K492" s="35" t="str">
        <f aca="false">IF(A492="","",DATE(YEAR(A492),MONTH(A492),1))</f>
        <v/>
      </c>
      <c r="L492" s="28" t="str">
        <f aca="false">IF(E492="","",IFERROR(INDEX(Settings!$K$8:$K$38,MATCH(E492,Settings!$H$8:$H$38,0))&amp;"",""))</f>
        <v/>
      </c>
    </row>
    <row r="493" customFormat="false" ht="15" hidden="false" customHeight="false" outlineLevel="0" collapsed="false">
      <c r="A493" s="33"/>
      <c r="B493" s="27"/>
      <c r="C493" s="27"/>
      <c r="D493" s="27"/>
      <c r="E493" s="27"/>
      <c r="F493" s="34"/>
      <c r="G493" s="27"/>
      <c r="H493" s="27"/>
      <c r="I493" s="28" t="str">
        <f aca="false">IF(C493="","",IFERROR(INDEX(Settings!$C$8:$C$19,MATCH(C493,Settings!$B$8:$B$19,0)),"?"))</f>
        <v/>
      </c>
      <c r="J493" s="28" t="str">
        <f aca="false">IF(G493="","",IFERROR(INDEX(Settings!$C$8:$C$19,MATCH(G493,Settings!$B$8:$B$19,0)),"?"))</f>
        <v/>
      </c>
      <c r="K493" s="35" t="str">
        <f aca="false">IF(A493="","",DATE(YEAR(A493),MONTH(A493),1))</f>
        <v/>
      </c>
      <c r="L493" s="28" t="str">
        <f aca="false">IF(E493="","",IFERROR(INDEX(Settings!$K$8:$K$38,MATCH(E493,Settings!$H$8:$H$38,0))&amp;"",""))</f>
        <v/>
      </c>
    </row>
    <row r="494" customFormat="false" ht="15" hidden="false" customHeight="false" outlineLevel="0" collapsed="false">
      <c r="A494" s="33"/>
      <c r="B494" s="27"/>
      <c r="C494" s="27"/>
      <c r="D494" s="27"/>
      <c r="E494" s="27"/>
      <c r="F494" s="34"/>
      <c r="G494" s="27"/>
      <c r="H494" s="27"/>
      <c r="I494" s="28" t="str">
        <f aca="false">IF(C494="","",IFERROR(INDEX(Settings!$C$8:$C$19,MATCH(C494,Settings!$B$8:$B$19,0)),"?"))</f>
        <v/>
      </c>
      <c r="J494" s="28" t="str">
        <f aca="false">IF(G494="","",IFERROR(INDEX(Settings!$C$8:$C$19,MATCH(G494,Settings!$B$8:$B$19,0)),"?"))</f>
        <v/>
      </c>
      <c r="K494" s="35" t="str">
        <f aca="false">IF(A494="","",DATE(YEAR(A494),MONTH(A494),1))</f>
        <v/>
      </c>
      <c r="L494" s="28" t="str">
        <f aca="false">IF(E494="","",IFERROR(INDEX(Settings!$K$8:$K$38,MATCH(E494,Settings!$H$8:$H$38,0))&amp;"",""))</f>
        <v/>
      </c>
    </row>
    <row r="495" customFormat="false" ht="15" hidden="false" customHeight="false" outlineLevel="0" collapsed="false">
      <c r="A495" s="33"/>
      <c r="B495" s="27"/>
      <c r="C495" s="27"/>
      <c r="D495" s="27"/>
      <c r="E495" s="27"/>
      <c r="F495" s="34"/>
      <c r="G495" s="27"/>
      <c r="H495" s="27"/>
      <c r="I495" s="28" t="str">
        <f aca="false">IF(C495="","",IFERROR(INDEX(Settings!$C$8:$C$19,MATCH(C495,Settings!$B$8:$B$19,0)),"?"))</f>
        <v/>
      </c>
      <c r="J495" s="28" t="str">
        <f aca="false">IF(G495="","",IFERROR(INDEX(Settings!$C$8:$C$19,MATCH(G495,Settings!$B$8:$B$19,0)),"?"))</f>
        <v/>
      </c>
      <c r="K495" s="35" t="str">
        <f aca="false">IF(A495="","",DATE(YEAR(A495),MONTH(A495),1))</f>
        <v/>
      </c>
      <c r="L495" s="28" t="str">
        <f aca="false">IF(E495="","",IFERROR(INDEX(Settings!$K$8:$K$38,MATCH(E495,Settings!$H$8:$H$38,0))&amp;"",""))</f>
        <v/>
      </c>
    </row>
    <row r="496" customFormat="false" ht="15" hidden="false" customHeight="false" outlineLevel="0" collapsed="false">
      <c r="A496" s="33"/>
      <c r="B496" s="27"/>
      <c r="C496" s="27"/>
      <c r="D496" s="27"/>
      <c r="E496" s="27"/>
      <c r="F496" s="34"/>
      <c r="G496" s="27"/>
      <c r="H496" s="27"/>
      <c r="I496" s="28" t="str">
        <f aca="false">IF(C496="","",IFERROR(INDEX(Settings!$C$8:$C$19,MATCH(C496,Settings!$B$8:$B$19,0)),"?"))</f>
        <v/>
      </c>
      <c r="J496" s="28" t="str">
        <f aca="false">IF(G496="","",IFERROR(INDEX(Settings!$C$8:$C$19,MATCH(G496,Settings!$B$8:$B$19,0)),"?"))</f>
        <v/>
      </c>
      <c r="K496" s="35" t="str">
        <f aca="false">IF(A496="","",DATE(YEAR(A496),MONTH(A496),1))</f>
        <v/>
      </c>
      <c r="L496" s="28" t="str">
        <f aca="false">IF(E496="","",IFERROR(INDEX(Settings!$K$8:$K$38,MATCH(E496,Settings!$H$8:$H$38,0))&amp;"",""))</f>
        <v/>
      </c>
    </row>
    <row r="497" customFormat="false" ht="15" hidden="false" customHeight="false" outlineLevel="0" collapsed="false">
      <c r="A497" s="33"/>
      <c r="B497" s="27"/>
      <c r="C497" s="27"/>
      <c r="D497" s="27"/>
      <c r="E497" s="27"/>
      <c r="F497" s="34"/>
      <c r="G497" s="27"/>
      <c r="H497" s="27"/>
      <c r="I497" s="28" t="str">
        <f aca="false">IF(C497="","",IFERROR(INDEX(Settings!$C$8:$C$19,MATCH(C497,Settings!$B$8:$B$19,0)),"?"))</f>
        <v/>
      </c>
      <c r="J497" s="28" t="str">
        <f aca="false">IF(G497="","",IFERROR(INDEX(Settings!$C$8:$C$19,MATCH(G497,Settings!$B$8:$B$19,0)),"?"))</f>
        <v/>
      </c>
      <c r="K497" s="35" t="str">
        <f aca="false">IF(A497="","",DATE(YEAR(A497),MONTH(A497),1))</f>
        <v/>
      </c>
      <c r="L497" s="28" t="str">
        <f aca="false">IF(E497="","",IFERROR(INDEX(Settings!$K$8:$K$38,MATCH(E497,Settings!$H$8:$H$38,0))&amp;"",""))</f>
        <v/>
      </c>
    </row>
    <row r="498" customFormat="false" ht="15" hidden="false" customHeight="false" outlineLevel="0" collapsed="false">
      <c r="A498" s="33"/>
      <c r="B498" s="27"/>
      <c r="C498" s="27"/>
      <c r="D498" s="27"/>
      <c r="E498" s="27"/>
      <c r="F498" s="34"/>
      <c r="G498" s="27"/>
      <c r="H498" s="27"/>
      <c r="I498" s="28" t="str">
        <f aca="false">IF(C498="","",IFERROR(INDEX(Settings!$C$8:$C$19,MATCH(C498,Settings!$B$8:$B$19,0)),"?"))</f>
        <v/>
      </c>
      <c r="J498" s="28" t="str">
        <f aca="false">IF(G498="","",IFERROR(INDEX(Settings!$C$8:$C$19,MATCH(G498,Settings!$B$8:$B$19,0)),"?"))</f>
        <v/>
      </c>
      <c r="K498" s="35" t="str">
        <f aca="false">IF(A498="","",DATE(YEAR(A498),MONTH(A498),1))</f>
        <v/>
      </c>
      <c r="L498" s="28" t="str">
        <f aca="false">IF(E498="","",IFERROR(INDEX(Settings!$K$8:$K$38,MATCH(E498,Settings!$H$8:$H$38,0))&amp;"",""))</f>
        <v/>
      </c>
    </row>
    <row r="499" customFormat="false" ht="15" hidden="false" customHeight="false" outlineLevel="0" collapsed="false">
      <c r="A499" s="33"/>
      <c r="B499" s="27"/>
      <c r="C499" s="27"/>
      <c r="D499" s="27"/>
      <c r="E499" s="27"/>
      <c r="F499" s="34"/>
      <c r="G499" s="27"/>
      <c r="H499" s="27"/>
      <c r="I499" s="28" t="str">
        <f aca="false">IF(C499="","",IFERROR(INDEX(Settings!$C$8:$C$19,MATCH(C499,Settings!$B$8:$B$19,0)),"?"))</f>
        <v/>
      </c>
      <c r="J499" s="28" t="str">
        <f aca="false">IF(G499="","",IFERROR(INDEX(Settings!$C$8:$C$19,MATCH(G499,Settings!$B$8:$B$19,0)),"?"))</f>
        <v/>
      </c>
      <c r="K499" s="35" t="str">
        <f aca="false">IF(A499="","",DATE(YEAR(A499),MONTH(A499),1))</f>
        <v/>
      </c>
      <c r="L499" s="28" t="str">
        <f aca="false">IF(E499="","",IFERROR(INDEX(Settings!$K$8:$K$38,MATCH(E499,Settings!$H$8:$H$38,0))&amp;"",""))</f>
        <v/>
      </c>
    </row>
    <row r="500" customFormat="false" ht="15" hidden="false" customHeight="false" outlineLevel="0" collapsed="false">
      <c r="A500" s="33"/>
      <c r="B500" s="27"/>
      <c r="C500" s="27"/>
      <c r="D500" s="27"/>
      <c r="E500" s="27"/>
      <c r="F500" s="34"/>
      <c r="G500" s="27"/>
      <c r="H500" s="27"/>
      <c r="I500" s="28" t="str">
        <f aca="false">IF(C500="","",IFERROR(INDEX(Settings!$C$8:$C$19,MATCH(C500,Settings!$B$8:$B$19,0)),"?"))</f>
        <v/>
      </c>
      <c r="J500" s="28" t="str">
        <f aca="false">IF(G500="","",IFERROR(INDEX(Settings!$C$8:$C$19,MATCH(G500,Settings!$B$8:$B$19,0)),"?"))</f>
        <v/>
      </c>
      <c r="K500" s="35" t="str">
        <f aca="false">IF(A500="","",DATE(YEAR(A500),MONTH(A500),1))</f>
        <v/>
      </c>
      <c r="L500" s="28" t="str">
        <f aca="false">IF(E500="","",IFERROR(INDEX(Settings!$K$8:$K$38,MATCH(E500,Settings!$H$8:$H$38,0))&amp;"",""))</f>
        <v/>
      </c>
    </row>
    <row r="501" customFormat="false" ht="15" hidden="false" customHeight="false" outlineLevel="0" collapsed="false">
      <c r="A501" s="33"/>
      <c r="B501" s="27"/>
      <c r="C501" s="27"/>
      <c r="D501" s="27"/>
      <c r="E501" s="27"/>
      <c r="F501" s="34"/>
      <c r="G501" s="27"/>
      <c r="H501" s="27"/>
      <c r="I501" s="28" t="str">
        <f aca="false">IF(C501="","",IFERROR(INDEX(Settings!$C$8:$C$19,MATCH(C501,Settings!$B$8:$B$19,0)),"?"))</f>
        <v/>
      </c>
      <c r="J501" s="28" t="str">
        <f aca="false">IF(G501="","",IFERROR(INDEX(Settings!$C$8:$C$19,MATCH(G501,Settings!$B$8:$B$19,0)),"?"))</f>
        <v/>
      </c>
      <c r="K501" s="35" t="str">
        <f aca="false">IF(A501="","",DATE(YEAR(A501),MONTH(A501),1))</f>
        <v/>
      </c>
      <c r="L501" s="28" t="str">
        <f aca="false">IF(E501="","",IFERROR(INDEX(Settings!$K$8:$K$38,MATCH(E501,Settings!$H$8:$H$38,0))&amp;"",""))</f>
        <v/>
      </c>
    </row>
    <row r="502" customFormat="false" ht="15" hidden="false" customHeight="false" outlineLevel="0" collapsed="false">
      <c r="A502" s="33"/>
      <c r="B502" s="27"/>
      <c r="C502" s="27"/>
      <c r="D502" s="27"/>
      <c r="E502" s="27"/>
      <c r="F502" s="34"/>
      <c r="G502" s="27"/>
      <c r="H502" s="27"/>
      <c r="I502" s="28" t="str">
        <f aca="false">IF(C502="","",IFERROR(INDEX(Settings!$C$8:$C$19,MATCH(C502,Settings!$B$8:$B$19,0)),"?"))</f>
        <v/>
      </c>
      <c r="J502" s="28" t="str">
        <f aca="false">IF(G502="","",IFERROR(INDEX(Settings!$C$8:$C$19,MATCH(G502,Settings!$B$8:$B$19,0)),"?"))</f>
        <v/>
      </c>
      <c r="K502" s="35" t="str">
        <f aca="false">IF(A502="","",DATE(YEAR(A502),MONTH(A502),1))</f>
        <v/>
      </c>
      <c r="L502" s="28" t="str">
        <f aca="false">IF(E502="","",IFERROR(INDEX(Settings!$K$8:$K$38,MATCH(E502,Settings!$H$8:$H$38,0))&amp;"",""))</f>
        <v/>
      </c>
    </row>
    <row r="503" customFormat="false" ht="15" hidden="false" customHeight="false" outlineLevel="0" collapsed="false">
      <c r="A503" s="33"/>
      <c r="B503" s="27"/>
      <c r="C503" s="27"/>
      <c r="D503" s="27"/>
      <c r="E503" s="27"/>
      <c r="F503" s="34"/>
      <c r="G503" s="27"/>
      <c r="H503" s="27"/>
      <c r="I503" s="28" t="str">
        <f aca="false">IF(C503="","",IFERROR(INDEX(Settings!$C$8:$C$19,MATCH(C503,Settings!$B$8:$B$19,0)),"?"))</f>
        <v/>
      </c>
      <c r="J503" s="28" t="str">
        <f aca="false">IF(G503="","",IFERROR(INDEX(Settings!$C$8:$C$19,MATCH(G503,Settings!$B$8:$B$19,0)),"?"))</f>
        <v/>
      </c>
      <c r="K503" s="35" t="str">
        <f aca="false">IF(A503="","",DATE(YEAR(A503),MONTH(A503),1))</f>
        <v/>
      </c>
      <c r="L503" s="28" t="str">
        <f aca="false">IF(E503="","",IFERROR(INDEX(Settings!$K$8:$K$38,MATCH(E503,Settings!$H$8:$H$38,0))&amp;"",""))</f>
        <v/>
      </c>
    </row>
    <row r="504" customFormat="false" ht="15" hidden="false" customHeight="false" outlineLevel="0" collapsed="false">
      <c r="A504" s="33"/>
      <c r="B504" s="27"/>
      <c r="C504" s="27"/>
      <c r="D504" s="27"/>
      <c r="E504" s="27"/>
      <c r="F504" s="34"/>
      <c r="G504" s="27"/>
      <c r="H504" s="27"/>
      <c r="I504" s="28" t="str">
        <f aca="false">IF(C504="","",IFERROR(INDEX(Settings!$C$8:$C$19,MATCH(C504,Settings!$B$8:$B$19,0)),"?"))</f>
        <v/>
      </c>
      <c r="J504" s="28" t="str">
        <f aca="false">IF(G504="","",IFERROR(INDEX(Settings!$C$8:$C$19,MATCH(G504,Settings!$B$8:$B$19,0)),"?"))</f>
        <v/>
      </c>
      <c r="K504" s="35" t="str">
        <f aca="false">IF(A504="","",DATE(YEAR(A504),MONTH(A504),1))</f>
        <v/>
      </c>
      <c r="L504" s="28" t="str">
        <f aca="false">IF(E504="","",IFERROR(INDEX(Settings!$K$8:$K$38,MATCH(E504,Settings!$H$8:$H$38,0))&amp;"",""))</f>
        <v/>
      </c>
    </row>
    <row r="505" customFormat="false" ht="15" hidden="false" customHeight="false" outlineLevel="0" collapsed="false">
      <c r="A505" s="33"/>
      <c r="B505" s="27"/>
      <c r="C505" s="27"/>
      <c r="D505" s="27"/>
      <c r="E505" s="27"/>
      <c r="F505" s="34"/>
      <c r="G505" s="27"/>
      <c r="H505" s="27"/>
      <c r="I505" s="28" t="str">
        <f aca="false">IF(C505="","",IFERROR(INDEX(Settings!$C$8:$C$19,MATCH(C505,Settings!$B$8:$B$19,0)),"?"))</f>
        <v/>
      </c>
      <c r="J505" s="28" t="str">
        <f aca="false">IF(G505="","",IFERROR(INDEX(Settings!$C$8:$C$19,MATCH(G505,Settings!$B$8:$B$19,0)),"?"))</f>
        <v/>
      </c>
      <c r="K505" s="35" t="str">
        <f aca="false">IF(A505="","",DATE(YEAR(A505),MONTH(A505),1))</f>
        <v/>
      </c>
      <c r="L505" s="28" t="str">
        <f aca="false">IF(E505="","",IFERROR(INDEX(Settings!$K$8:$K$38,MATCH(E505,Settings!$H$8:$H$38,0))&amp;"",""))</f>
        <v/>
      </c>
    </row>
    <row r="506" customFormat="false" ht="15" hidden="false" customHeight="false" outlineLevel="0" collapsed="false">
      <c r="A506" s="33"/>
      <c r="B506" s="27"/>
      <c r="C506" s="27"/>
      <c r="D506" s="27"/>
      <c r="E506" s="27"/>
      <c r="F506" s="34"/>
      <c r="G506" s="27"/>
      <c r="H506" s="27"/>
      <c r="I506" s="28" t="str">
        <f aca="false">IF(C506="","",IFERROR(INDEX(Settings!$C$8:$C$19,MATCH(C506,Settings!$B$8:$B$19,0)),"?"))</f>
        <v/>
      </c>
      <c r="J506" s="28" t="str">
        <f aca="false">IF(G506="","",IFERROR(INDEX(Settings!$C$8:$C$19,MATCH(G506,Settings!$B$8:$B$19,0)),"?"))</f>
        <v/>
      </c>
      <c r="K506" s="35" t="str">
        <f aca="false">IF(A506="","",DATE(YEAR(A506),MONTH(A506),1))</f>
        <v/>
      </c>
      <c r="L506" s="28" t="str">
        <f aca="false">IF(E506="","",IFERROR(INDEX(Settings!$K$8:$K$38,MATCH(E506,Settings!$H$8:$H$38,0))&amp;"",""))</f>
        <v/>
      </c>
    </row>
    <row r="507" customFormat="false" ht="15" hidden="false" customHeight="false" outlineLevel="0" collapsed="false">
      <c r="A507" s="33"/>
      <c r="B507" s="27"/>
      <c r="C507" s="27"/>
      <c r="D507" s="27"/>
      <c r="E507" s="27"/>
      <c r="F507" s="34"/>
      <c r="G507" s="27"/>
      <c r="H507" s="27"/>
      <c r="I507" s="28" t="str">
        <f aca="false">IF(C507="","",IFERROR(INDEX(Settings!$C$8:$C$19,MATCH(C507,Settings!$B$8:$B$19,0)),"?"))</f>
        <v/>
      </c>
      <c r="J507" s="28" t="str">
        <f aca="false">IF(G507="","",IFERROR(INDEX(Settings!$C$8:$C$19,MATCH(G507,Settings!$B$8:$B$19,0)),"?"))</f>
        <v/>
      </c>
      <c r="K507" s="35" t="str">
        <f aca="false">IF(A507="","",DATE(YEAR(A507),MONTH(A507),1))</f>
        <v/>
      </c>
      <c r="L507" s="28" t="str">
        <f aca="false">IF(E507="","",IFERROR(INDEX(Settings!$K$8:$K$38,MATCH(E507,Settings!$H$8:$H$38,0))&amp;"",""))</f>
        <v/>
      </c>
    </row>
    <row r="508" customFormat="false" ht="15" hidden="false" customHeight="false" outlineLevel="0" collapsed="false">
      <c r="A508" s="33"/>
      <c r="B508" s="27"/>
      <c r="C508" s="27"/>
      <c r="D508" s="27"/>
      <c r="E508" s="27"/>
      <c r="F508" s="34"/>
      <c r="G508" s="27"/>
      <c r="H508" s="27"/>
      <c r="I508" s="28" t="str">
        <f aca="false">IF(C508="","",IFERROR(INDEX(Settings!$C$8:$C$19,MATCH(C508,Settings!$B$8:$B$19,0)),"?"))</f>
        <v/>
      </c>
      <c r="J508" s="28" t="str">
        <f aca="false">IF(G508="","",IFERROR(INDEX(Settings!$C$8:$C$19,MATCH(G508,Settings!$B$8:$B$19,0)),"?"))</f>
        <v/>
      </c>
      <c r="K508" s="35" t="str">
        <f aca="false">IF(A508="","",DATE(YEAR(A508),MONTH(A508),1))</f>
        <v/>
      </c>
      <c r="L508" s="28" t="str">
        <f aca="false">IF(E508="","",IFERROR(INDEX(Settings!$K$8:$K$38,MATCH(E508,Settings!$H$8:$H$38,0))&amp;"",""))</f>
        <v/>
      </c>
    </row>
    <row r="509" customFormat="false" ht="15" hidden="false" customHeight="false" outlineLevel="0" collapsed="false">
      <c r="A509" s="33"/>
      <c r="B509" s="27"/>
      <c r="C509" s="27"/>
      <c r="D509" s="27"/>
      <c r="E509" s="27"/>
      <c r="F509" s="34"/>
      <c r="G509" s="27"/>
      <c r="H509" s="27"/>
      <c r="I509" s="28" t="str">
        <f aca="false">IF(C509="","",IFERROR(INDEX(Settings!$C$8:$C$19,MATCH(C509,Settings!$B$8:$B$19,0)),"?"))</f>
        <v/>
      </c>
      <c r="J509" s="28" t="str">
        <f aca="false">IF(G509="","",IFERROR(INDEX(Settings!$C$8:$C$19,MATCH(G509,Settings!$B$8:$B$19,0)),"?"))</f>
        <v/>
      </c>
      <c r="K509" s="35" t="str">
        <f aca="false">IF(A509="","",DATE(YEAR(A509),MONTH(A509),1))</f>
        <v/>
      </c>
      <c r="L509" s="28" t="str">
        <f aca="false">IF(E509="","",IFERROR(INDEX(Settings!$K$8:$K$38,MATCH(E509,Settings!$H$8:$H$38,0))&amp;"",""))</f>
        <v/>
      </c>
    </row>
    <row r="510" customFormat="false" ht="15" hidden="false" customHeight="false" outlineLevel="0" collapsed="false">
      <c r="A510" s="33"/>
      <c r="B510" s="27"/>
      <c r="C510" s="27"/>
      <c r="D510" s="27"/>
      <c r="E510" s="27"/>
      <c r="F510" s="34"/>
      <c r="G510" s="27"/>
      <c r="H510" s="27"/>
      <c r="I510" s="28" t="str">
        <f aca="false">IF(C510="","",IFERROR(INDEX(Settings!$C$8:$C$19,MATCH(C510,Settings!$B$8:$B$19,0)),"?"))</f>
        <v/>
      </c>
      <c r="J510" s="28" t="str">
        <f aca="false">IF(G510="","",IFERROR(INDEX(Settings!$C$8:$C$19,MATCH(G510,Settings!$B$8:$B$19,0)),"?"))</f>
        <v/>
      </c>
      <c r="K510" s="35" t="str">
        <f aca="false">IF(A510="","",DATE(YEAR(A510),MONTH(A510),1))</f>
        <v/>
      </c>
      <c r="L510" s="28" t="str">
        <f aca="false">IF(E510="","",IFERROR(INDEX(Settings!$K$8:$K$38,MATCH(E510,Settings!$H$8:$H$38,0))&amp;"",""))</f>
        <v/>
      </c>
    </row>
    <row r="511" customFormat="false" ht="15" hidden="false" customHeight="false" outlineLevel="0" collapsed="false">
      <c r="A511" s="33"/>
      <c r="B511" s="27"/>
      <c r="C511" s="27"/>
      <c r="D511" s="27"/>
      <c r="E511" s="27"/>
      <c r="F511" s="34"/>
      <c r="G511" s="27"/>
      <c r="H511" s="27"/>
      <c r="I511" s="28" t="str">
        <f aca="false">IF(C511="","",IFERROR(INDEX(Settings!$C$8:$C$19,MATCH(C511,Settings!$B$8:$B$19,0)),"?"))</f>
        <v/>
      </c>
      <c r="J511" s="28" t="str">
        <f aca="false">IF(G511="","",IFERROR(INDEX(Settings!$C$8:$C$19,MATCH(G511,Settings!$B$8:$B$19,0)),"?"))</f>
        <v/>
      </c>
      <c r="K511" s="35" t="str">
        <f aca="false">IF(A511="","",DATE(YEAR(A511),MONTH(A511),1))</f>
        <v/>
      </c>
      <c r="L511" s="28" t="str">
        <f aca="false">IF(E511="","",IFERROR(INDEX(Settings!$K$8:$K$38,MATCH(E511,Settings!$H$8:$H$38,0))&amp;"",""))</f>
        <v/>
      </c>
    </row>
    <row r="512" customFormat="false" ht="15" hidden="false" customHeight="false" outlineLevel="0" collapsed="false">
      <c r="A512" s="33"/>
      <c r="B512" s="27"/>
      <c r="C512" s="27"/>
      <c r="D512" s="27"/>
      <c r="E512" s="27"/>
      <c r="F512" s="34"/>
      <c r="G512" s="27"/>
      <c r="H512" s="27"/>
      <c r="I512" s="28" t="str">
        <f aca="false">IF(C512="","",IFERROR(INDEX(Settings!$C$8:$C$19,MATCH(C512,Settings!$B$8:$B$19,0)),"?"))</f>
        <v/>
      </c>
      <c r="J512" s="28" t="str">
        <f aca="false">IF(G512="","",IFERROR(INDEX(Settings!$C$8:$C$19,MATCH(G512,Settings!$B$8:$B$19,0)),"?"))</f>
        <v/>
      </c>
      <c r="K512" s="35" t="str">
        <f aca="false">IF(A512="","",DATE(YEAR(A512),MONTH(A512),1))</f>
        <v/>
      </c>
      <c r="L512" s="28" t="str">
        <f aca="false">IF(E512="","",IFERROR(INDEX(Settings!$K$8:$K$38,MATCH(E512,Settings!$H$8:$H$38,0))&amp;"",""))</f>
        <v/>
      </c>
    </row>
    <row r="513" customFormat="false" ht="15" hidden="false" customHeight="false" outlineLevel="0" collapsed="false">
      <c r="A513" s="33"/>
      <c r="B513" s="27"/>
      <c r="C513" s="27"/>
      <c r="D513" s="27"/>
      <c r="E513" s="27"/>
      <c r="F513" s="34"/>
      <c r="G513" s="27"/>
      <c r="H513" s="27"/>
      <c r="I513" s="28" t="str">
        <f aca="false">IF(C513="","",IFERROR(INDEX(Settings!$C$8:$C$19,MATCH(C513,Settings!$B$8:$B$19,0)),"?"))</f>
        <v/>
      </c>
      <c r="J513" s="28" t="str">
        <f aca="false">IF(G513="","",IFERROR(INDEX(Settings!$C$8:$C$19,MATCH(G513,Settings!$B$8:$B$19,0)),"?"))</f>
        <v/>
      </c>
      <c r="K513" s="35" t="str">
        <f aca="false">IF(A513="","",DATE(YEAR(A513),MONTH(A513),1))</f>
        <v/>
      </c>
      <c r="L513" s="28" t="str">
        <f aca="false">IF(E513="","",IFERROR(INDEX(Settings!$K$8:$K$38,MATCH(E513,Settings!$H$8:$H$38,0))&amp;"",""))</f>
        <v/>
      </c>
    </row>
    <row r="514" customFormat="false" ht="15" hidden="false" customHeight="false" outlineLevel="0" collapsed="false">
      <c r="A514" s="33"/>
      <c r="B514" s="27"/>
      <c r="C514" s="27"/>
      <c r="D514" s="27"/>
      <c r="E514" s="27"/>
      <c r="F514" s="34"/>
      <c r="G514" s="27"/>
      <c r="H514" s="27"/>
      <c r="I514" s="28" t="str">
        <f aca="false">IF(C514="","",IFERROR(INDEX(Settings!$C$8:$C$19,MATCH(C514,Settings!$B$8:$B$19,0)),"?"))</f>
        <v/>
      </c>
      <c r="J514" s="28" t="str">
        <f aca="false">IF(G514="","",IFERROR(INDEX(Settings!$C$8:$C$19,MATCH(G514,Settings!$B$8:$B$19,0)),"?"))</f>
        <v/>
      </c>
      <c r="K514" s="35" t="str">
        <f aca="false">IF(A514="","",DATE(YEAR(A514),MONTH(A514),1))</f>
        <v/>
      </c>
      <c r="L514" s="28" t="str">
        <f aca="false">IF(E514="","",IFERROR(INDEX(Settings!$K$8:$K$38,MATCH(E514,Settings!$H$8:$H$38,0))&amp;"",""))</f>
        <v/>
      </c>
    </row>
    <row r="515" customFormat="false" ht="15" hidden="false" customHeight="false" outlineLevel="0" collapsed="false">
      <c r="A515" s="33"/>
      <c r="B515" s="27"/>
      <c r="C515" s="27"/>
      <c r="D515" s="27"/>
      <c r="E515" s="27"/>
      <c r="F515" s="34"/>
      <c r="G515" s="27"/>
      <c r="H515" s="27"/>
      <c r="I515" s="28" t="str">
        <f aca="false">IF(C515="","",IFERROR(INDEX(Settings!$C$8:$C$19,MATCH(C515,Settings!$B$8:$B$19,0)),"?"))</f>
        <v/>
      </c>
      <c r="J515" s="28" t="str">
        <f aca="false">IF(G515="","",IFERROR(INDEX(Settings!$C$8:$C$19,MATCH(G515,Settings!$B$8:$B$19,0)),"?"))</f>
        <v/>
      </c>
      <c r="K515" s="35" t="str">
        <f aca="false">IF(A515="","",DATE(YEAR(A515),MONTH(A515),1))</f>
        <v/>
      </c>
      <c r="L515" s="28" t="str">
        <f aca="false">IF(E515="","",IFERROR(INDEX(Settings!$K$8:$K$38,MATCH(E515,Settings!$H$8:$H$38,0))&amp;"",""))</f>
        <v/>
      </c>
    </row>
    <row r="516" customFormat="false" ht="15" hidden="false" customHeight="false" outlineLevel="0" collapsed="false">
      <c r="A516" s="33"/>
      <c r="B516" s="27"/>
      <c r="C516" s="27"/>
      <c r="D516" s="27"/>
      <c r="E516" s="27"/>
      <c r="F516" s="34"/>
      <c r="G516" s="27"/>
      <c r="H516" s="27"/>
      <c r="I516" s="28" t="str">
        <f aca="false">IF(C516="","",IFERROR(INDEX(Settings!$C$8:$C$19,MATCH(C516,Settings!$B$8:$B$19,0)),"?"))</f>
        <v/>
      </c>
      <c r="J516" s="28" t="str">
        <f aca="false">IF(G516="","",IFERROR(INDEX(Settings!$C$8:$C$19,MATCH(G516,Settings!$B$8:$B$19,0)),"?"))</f>
        <v/>
      </c>
      <c r="K516" s="35" t="str">
        <f aca="false">IF(A516="","",DATE(YEAR(A516),MONTH(A516),1))</f>
        <v/>
      </c>
      <c r="L516" s="28" t="str">
        <f aca="false">IF(E516="","",IFERROR(INDEX(Settings!$K$8:$K$38,MATCH(E516,Settings!$H$8:$H$38,0))&amp;"",""))</f>
        <v/>
      </c>
    </row>
    <row r="517" customFormat="false" ht="15" hidden="false" customHeight="false" outlineLevel="0" collapsed="false">
      <c r="A517" s="33"/>
      <c r="B517" s="27"/>
      <c r="C517" s="27"/>
      <c r="D517" s="27"/>
      <c r="E517" s="27"/>
      <c r="F517" s="34"/>
      <c r="G517" s="27"/>
      <c r="H517" s="27"/>
      <c r="I517" s="28" t="str">
        <f aca="false">IF(C517="","",IFERROR(INDEX(Settings!$C$8:$C$19,MATCH(C517,Settings!$B$8:$B$19,0)),"?"))</f>
        <v/>
      </c>
      <c r="J517" s="28" t="str">
        <f aca="false">IF(G517="","",IFERROR(INDEX(Settings!$C$8:$C$19,MATCH(G517,Settings!$B$8:$B$19,0)),"?"))</f>
        <v/>
      </c>
      <c r="K517" s="35" t="str">
        <f aca="false">IF(A517="","",DATE(YEAR(A517),MONTH(A517),1))</f>
        <v/>
      </c>
      <c r="L517" s="28" t="str">
        <f aca="false">IF(E517="","",IFERROR(INDEX(Settings!$K$8:$K$38,MATCH(E517,Settings!$H$8:$H$38,0))&amp;"",""))</f>
        <v/>
      </c>
    </row>
    <row r="518" customFormat="false" ht="15" hidden="false" customHeight="false" outlineLevel="0" collapsed="false">
      <c r="A518" s="33"/>
      <c r="B518" s="27"/>
      <c r="C518" s="27"/>
      <c r="D518" s="27"/>
      <c r="E518" s="27"/>
      <c r="F518" s="34"/>
      <c r="G518" s="27"/>
      <c r="H518" s="27"/>
      <c r="I518" s="28" t="str">
        <f aca="false">IF(C518="","",IFERROR(INDEX(Settings!$C$8:$C$19,MATCH(C518,Settings!$B$8:$B$19,0)),"?"))</f>
        <v/>
      </c>
      <c r="J518" s="28" t="str">
        <f aca="false">IF(G518="","",IFERROR(INDEX(Settings!$C$8:$C$19,MATCH(G518,Settings!$B$8:$B$19,0)),"?"))</f>
        <v/>
      </c>
      <c r="K518" s="35" t="str">
        <f aca="false">IF(A518="","",DATE(YEAR(A518),MONTH(A518),1))</f>
        <v/>
      </c>
      <c r="L518" s="28" t="str">
        <f aca="false">IF(E518="","",IFERROR(INDEX(Settings!$K$8:$K$38,MATCH(E518,Settings!$H$8:$H$38,0))&amp;"",""))</f>
        <v/>
      </c>
    </row>
    <row r="519" customFormat="false" ht="15" hidden="false" customHeight="false" outlineLevel="0" collapsed="false">
      <c r="A519" s="33"/>
      <c r="B519" s="27"/>
      <c r="C519" s="27"/>
      <c r="D519" s="27"/>
      <c r="E519" s="27"/>
      <c r="F519" s="34"/>
      <c r="G519" s="27"/>
      <c r="H519" s="27"/>
      <c r="I519" s="28" t="str">
        <f aca="false">IF(C519="","",IFERROR(INDEX(Settings!$C$8:$C$19,MATCH(C519,Settings!$B$8:$B$19,0)),"?"))</f>
        <v/>
      </c>
      <c r="J519" s="28" t="str">
        <f aca="false">IF(G519="","",IFERROR(INDEX(Settings!$C$8:$C$19,MATCH(G519,Settings!$B$8:$B$19,0)),"?"))</f>
        <v/>
      </c>
      <c r="K519" s="35" t="str">
        <f aca="false">IF(A519="","",DATE(YEAR(A519),MONTH(A519),1))</f>
        <v/>
      </c>
      <c r="L519" s="28" t="str">
        <f aca="false">IF(E519="","",IFERROR(INDEX(Settings!$K$8:$K$38,MATCH(E519,Settings!$H$8:$H$38,0))&amp;"",""))</f>
        <v/>
      </c>
    </row>
    <row r="520" customFormat="false" ht="15" hidden="false" customHeight="false" outlineLevel="0" collapsed="false">
      <c r="A520" s="33"/>
      <c r="B520" s="27"/>
      <c r="C520" s="27"/>
      <c r="D520" s="27"/>
      <c r="E520" s="27"/>
      <c r="F520" s="34"/>
      <c r="G520" s="27"/>
      <c r="H520" s="27"/>
      <c r="I520" s="28" t="str">
        <f aca="false">IF(C520="","",IFERROR(INDEX(Settings!$C$8:$C$19,MATCH(C520,Settings!$B$8:$B$19,0)),"?"))</f>
        <v/>
      </c>
      <c r="J520" s="28" t="str">
        <f aca="false">IF(G520="","",IFERROR(INDEX(Settings!$C$8:$C$19,MATCH(G520,Settings!$B$8:$B$19,0)),"?"))</f>
        <v/>
      </c>
      <c r="K520" s="35" t="str">
        <f aca="false">IF(A520="","",DATE(YEAR(A520),MONTH(A520),1))</f>
        <v/>
      </c>
      <c r="L520" s="28" t="str">
        <f aca="false">IF(E520="","",IFERROR(INDEX(Settings!$K$8:$K$38,MATCH(E520,Settings!$H$8:$H$38,0))&amp;"",""))</f>
        <v/>
      </c>
    </row>
    <row r="521" customFormat="false" ht="15" hidden="false" customHeight="false" outlineLevel="0" collapsed="false">
      <c r="A521" s="33"/>
      <c r="B521" s="27"/>
      <c r="C521" s="27"/>
      <c r="D521" s="27"/>
      <c r="E521" s="27"/>
      <c r="F521" s="34"/>
      <c r="G521" s="27"/>
      <c r="H521" s="27"/>
      <c r="I521" s="28" t="str">
        <f aca="false">IF(C521="","",IFERROR(INDEX(Settings!$C$8:$C$19,MATCH(C521,Settings!$B$8:$B$19,0)),"?"))</f>
        <v/>
      </c>
      <c r="J521" s="28" t="str">
        <f aca="false">IF(G521="","",IFERROR(INDEX(Settings!$C$8:$C$19,MATCH(G521,Settings!$B$8:$B$19,0)),"?"))</f>
        <v/>
      </c>
      <c r="K521" s="35" t="str">
        <f aca="false">IF(A521="","",DATE(YEAR(A521),MONTH(A521),1))</f>
        <v/>
      </c>
      <c r="L521" s="28" t="str">
        <f aca="false">IF(E521="","",IFERROR(INDEX(Settings!$K$8:$K$38,MATCH(E521,Settings!$H$8:$H$38,0))&amp;"",""))</f>
        <v/>
      </c>
    </row>
    <row r="522" customFormat="false" ht="15" hidden="false" customHeight="false" outlineLevel="0" collapsed="false">
      <c r="A522" s="33"/>
      <c r="B522" s="27"/>
      <c r="C522" s="27"/>
      <c r="D522" s="27"/>
      <c r="E522" s="27"/>
      <c r="F522" s="34"/>
      <c r="G522" s="27"/>
      <c r="H522" s="27"/>
      <c r="I522" s="28" t="str">
        <f aca="false">IF(C522="","",IFERROR(INDEX(Settings!$C$8:$C$19,MATCH(C522,Settings!$B$8:$B$19,0)),"?"))</f>
        <v/>
      </c>
      <c r="J522" s="28" t="str">
        <f aca="false">IF(G522="","",IFERROR(INDEX(Settings!$C$8:$C$19,MATCH(G522,Settings!$B$8:$B$19,0)),"?"))</f>
        <v/>
      </c>
      <c r="K522" s="35" t="str">
        <f aca="false">IF(A522="","",DATE(YEAR(A522),MONTH(A522),1))</f>
        <v/>
      </c>
      <c r="L522" s="28" t="str">
        <f aca="false">IF(E522="","",IFERROR(INDEX(Settings!$K$8:$K$38,MATCH(E522,Settings!$H$8:$H$38,0))&amp;"",""))</f>
        <v/>
      </c>
    </row>
    <row r="523" customFormat="false" ht="15" hidden="false" customHeight="false" outlineLevel="0" collapsed="false">
      <c r="A523" s="33"/>
      <c r="B523" s="27"/>
      <c r="C523" s="27"/>
      <c r="D523" s="27"/>
      <c r="E523" s="27"/>
      <c r="F523" s="34"/>
      <c r="G523" s="27"/>
      <c r="H523" s="27"/>
      <c r="I523" s="28" t="str">
        <f aca="false">IF(C523="","",IFERROR(INDEX(Settings!$C$8:$C$19,MATCH(C523,Settings!$B$8:$B$19,0)),"?"))</f>
        <v/>
      </c>
      <c r="J523" s="28" t="str">
        <f aca="false">IF(G523="","",IFERROR(INDEX(Settings!$C$8:$C$19,MATCH(G523,Settings!$B$8:$B$19,0)),"?"))</f>
        <v/>
      </c>
      <c r="K523" s="35" t="str">
        <f aca="false">IF(A523="","",DATE(YEAR(A523),MONTH(A523),1))</f>
        <v/>
      </c>
      <c r="L523" s="28" t="str">
        <f aca="false">IF(E523="","",IFERROR(INDEX(Settings!$K$8:$K$38,MATCH(E523,Settings!$H$8:$H$38,0))&amp;"",""))</f>
        <v/>
      </c>
    </row>
    <row r="524" customFormat="false" ht="15" hidden="false" customHeight="false" outlineLevel="0" collapsed="false">
      <c r="A524" s="33"/>
      <c r="B524" s="27"/>
      <c r="C524" s="27"/>
      <c r="D524" s="27"/>
      <c r="E524" s="27"/>
      <c r="F524" s="34"/>
      <c r="G524" s="27"/>
      <c r="H524" s="27"/>
      <c r="I524" s="28" t="str">
        <f aca="false">IF(C524="","",IFERROR(INDEX(Settings!$C$8:$C$19,MATCH(C524,Settings!$B$8:$B$19,0)),"?"))</f>
        <v/>
      </c>
      <c r="J524" s="28" t="str">
        <f aca="false">IF(G524="","",IFERROR(INDEX(Settings!$C$8:$C$19,MATCH(G524,Settings!$B$8:$B$19,0)),"?"))</f>
        <v/>
      </c>
      <c r="K524" s="35" t="str">
        <f aca="false">IF(A524="","",DATE(YEAR(A524),MONTH(A524),1))</f>
        <v/>
      </c>
      <c r="L524" s="28" t="str">
        <f aca="false">IF(E524="","",IFERROR(INDEX(Settings!$K$8:$K$38,MATCH(E524,Settings!$H$8:$H$38,0))&amp;"",""))</f>
        <v/>
      </c>
    </row>
    <row r="525" customFormat="false" ht="15" hidden="false" customHeight="false" outlineLevel="0" collapsed="false">
      <c r="A525" s="33"/>
      <c r="B525" s="27"/>
      <c r="C525" s="27"/>
      <c r="D525" s="27"/>
      <c r="E525" s="27"/>
      <c r="F525" s="34"/>
      <c r="G525" s="27"/>
      <c r="H525" s="27"/>
      <c r="I525" s="28" t="str">
        <f aca="false">IF(C525="","",IFERROR(INDEX(Settings!$C$8:$C$19,MATCH(C525,Settings!$B$8:$B$19,0)),"?"))</f>
        <v/>
      </c>
      <c r="J525" s="28" t="str">
        <f aca="false">IF(G525="","",IFERROR(INDEX(Settings!$C$8:$C$19,MATCH(G525,Settings!$B$8:$B$19,0)),"?"))</f>
        <v/>
      </c>
      <c r="K525" s="35" t="str">
        <f aca="false">IF(A525="","",DATE(YEAR(A525),MONTH(A525),1))</f>
        <v/>
      </c>
      <c r="L525" s="28" t="str">
        <f aca="false">IF(E525="","",IFERROR(INDEX(Settings!$K$8:$K$38,MATCH(E525,Settings!$H$8:$H$38,0))&amp;"",""))</f>
        <v/>
      </c>
    </row>
    <row r="526" customFormat="false" ht="15" hidden="false" customHeight="false" outlineLevel="0" collapsed="false">
      <c r="A526" s="33"/>
      <c r="B526" s="27"/>
      <c r="C526" s="27"/>
      <c r="D526" s="27"/>
      <c r="E526" s="27"/>
      <c r="F526" s="34"/>
      <c r="G526" s="27"/>
      <c r="H526" s="27"/>
      <c r="I526" s="28" t="str">
        <f aca="false">IF(C526="","",IFERROR(INDEX(Settings!$C$8:$C$19,MATCH(C526,Settings!$B$8:$B$19,0)),"?"))</f>
        <v/>
      </c>
      <c r="J526" s="28" t="str">
        <f aca="false">IF(G526="","",IFERROR(INDEX(Settings!$C$8:$C$19,MATCH(G526,Settings!$B$8:$B$19,0)),"?"))</f>
        <v/>
      </c>
      <c r="K526" s="35" t="str">
        <f aca="false">IF(A526="","",DATE(YEAR(A526),MONTH(A526),1))</f>
        <v/>
      </c>
      <c r="L526" s="28" t="str">
        <f aca="false">IF(E526="","",IFERROR(INDEX(Settings!$K$8:$K$38,MATCH(E526,Settings!$H$8:$H$38,0))&amp;"",""))</f>
        <v/>
      </c>
    </row>
    <row r="527" customFormat="false" ht="15" hidden="false" customHeight="false" outlineLevel="0" collapsed="false">
      <c r="A527" s="33"/>
      <c r="B527" s="27"/>
      <c r="C527" s="27"/>
      <c r="D527" s="27"/>
      <c r="E527" s="27"/>
      <c r="F527" s="34"/>
      <c r="G527" s="27"/>
      <c r="H527" s="27"/>
      <c r="I527" s="28" t="str">
        <f aca="false">IF(C527="","",IFERROR(INDEX(Settings!$C$8:$C$19,MATCH(C527,Settings!$B$8:$B$19,0)),"?"))</f>
        <v/>
      </c>
      <c r="J527" s="28" t="str">
        <f aca="false">IF(G527="","",IFERROR(INDEX(Settings!$C$8:$C$19,MATCH(G527,Settings!$B$8:$B$19,0)),"?"))</f>
        <v/>
      </c>
      <c r="K527" s="35" t="str">
        <f aca="false">IF(A527="","",DATE(YEAR(A527),MONTH(A527),1))</f>
        <v/>
      </c>
      <c r="L527" s="28" t="str">
        <f aca="false">IF(E527="","",IFERROR(INDEX(Settings!$K$8:$K$38,MATCH(E527,Settings!$H$8:$H$38,0))&amp;"",""))</f>
        <v/>
      </c>
    </row>
    <row r="528" customFormat="false" ht="15" hidden="false" customHeight="false" outlineLevel="0" collapsed="false">
      <c r="A528" s="33"/>
      <c r="B528" s="27"/>
      <c r="C528" s="27"/>
      <c r="D528" s="27"/>
      <c r="E528" s="27"/>
      <c r="F528" s="34"/>
      <c r="G528" s="27"/>
      <c r="H528" s="27"/>
      <c r="I528" s="28" t="str">
        <f aca="false">IF(C528="","",IFERROR(INDEX(Settings!$C$8:$C$19,MATCH(C528,Settings!$B$8:$B$19,0)),"?"))</f>
        <v/>
      </c>
      <c r="J528" s="28" t="str">
        <f aca="false">IF(G528="","",IFERROR(INDEX(Settings!$C$8:$C$19,MATCH(G528,Settings!$B$8:$B$19,0)),"?"))</f>
        <v/>
      </c>
      <c r="K528" s="35" t="str">
        <f aca="false">IF(A528="","",DATE(YEAR(A528),MONTH(A528),1))</f>
        <v/>
      </c>
      <c r="L528" s="28" t="str">
        <f aca="false">IF(E528="","",IFERROR(INDEX(Settings!$K$8:$K$38,MATCH(E528,Settings!$H$8:$H$38,0))&amp;"",""))</f>
        <v/>
      </c>
    </row>
    <row r="529" customFormat="false" ht="15" hidden="false" customHeight="false" outlineLevel="0" collapsed="false">
      <c r="A529" s="33"/>
      <c r="B529" s="27"/>
      <c r="C529" s="27"/>
      <c r="D529" s="27"/>
      <c r="E529" s="27"/>
      <c r="F529" s="34"/>
      <c r="G529" s="27"/>
      <c r="H529" s="27"/>
      <c r="I529" s="28" t="str">
        <f aca="false">IF(C529="","",IFERROR(INDEX(Settings!$C$8:$C$19,MATCH(C529,Settings!$B$8:$B$19,0)),"?"))</f>
        <v/>
      </c>
      <c r="J529" s="28" t="str">
        <f aca="false">IF(G529="","",IFERROR(INDEX(Settings!$C$8:$C$19,MATCH(G529,Settings!$B$8:$B$19,0)),"?"))</f>
        <v/>
      </c>
      <c r="K529" s="35" t="str">
        <f aca="false">IF(A529="","",DATE(YEAR(A529),MONTH(A529),1))</f>
        <v/>
      </c>
      <c r="L529" s="28" t="str">
        <f aca="false">IF(E529="","",IFERROR(INDEX(Settings!$K$8:$K$38,MATCH(E529,Settings!$H$8:$H$38,0))&amp;"",""))</f>
        <v/>
      </c>
    </row>
    <row r="530" customFormat="false" ht="15" hidden="false" customHeight="false" outlineLevel="0" collapsed="false">
      <c r="A530" s="33"/>
      <c r="B530" s="27"/>
      <c r="C530" s="27"/>
      <c r="D530" s="27"/>
      <c r="E530" s="27"/>
      <c r="F530" s="34"/>
      <c r="G530" s="27"/>
      <c r="H530" s="27"/>
      <c r="I530" s="28" t="str">
        <f aca="false">IF(C530="","",IFERROR(INDEX(Settings!$C$8:$C$19,MATCH(C530,Settings!$B$8:$B$19,0)),"?"))</f>
        <v/>
      </c>
      <c r="J530" s="28" t="str">
        <f aca="false">IF(G530="","",IFERROR(INDEX(Settings!$C$8:$C$19,MATCH(G530,Settings!$B$8:$B$19,0)),"?"))</f>
        <v/>
      </c>
      <c r="K530" s="35" t="str">
        <f aca="false">IF(A530="","",DATE(YEAR(A530),MONTH(A530),1))</f>
        <v/>
      </c>
      <c r="L530" s="28" t="str">
        <f aca="false">IF(E530="","",IFERROR(INDEX(Settings!$K$8:$K$38,MATCH(E530,Settings!$H$8:$H$38,0))&amp;"",""))</f>
        <v/>
      </c>
    </row>
    <row r="531" customFormat="false" ht="15" hidden="false" customHeight="false" outlineLevel="0" collapsed="false">
      <c r="A531" s="33"/>
      <c r="B531" s="27"/>
      <c r="C531" s="27"/>
      <c r="D531" s="27"/>
      <c r="E531" s="27"/>
      <c r="F531" s="34"/>
      <c r="G531" s="27"/>
      <c r="H531" s="27"/>
      <c r="I531" s="28" t="str">
        <f aca="false">IF(C531="","",IFERROR(INDEX(Settings!$C$8:$C$19,MATCH(C531,Settings!$B$8:$B$19,0)),"?"))</f>
        <v/>
      </c>
      <c r="J531" s="28" t="str">
        <f aca="false">IF(G531="","",IFERROR(INDEX(Settings!$C$8:$C$19,MATCH(G531,Settings!$B$8:$B$19,0)),"?"))</f>
        <v/>
      </c>
      <c r="K531" s="35" t="str">
        <f aca="false">IF(A531="","",DATE(YEAR(A531),MONTH(A531),1))</f>
        <v/>
      </c>
      <c r="L531" s="28" t="str">
        <f aca="false">IF(E531="","",IFERROR(INDEX(Settings!$K$8:$K$38,MATCH(E531,Settings!$H$8:$H$38,0))&amp;"",""))</f>
        <v/>
      </c>
    </row>
    <row r="532" customFormat="false" ht="15" hidden="false" customHeight="false" outlineLevel="0" collapsed="false">
      <c r="A532" s="33"/>
      <c r="B532" s="27"/>
      <c r="C532" s="27"/>
      <c r="D532" s="27"/>
      <c r="E532" s="27"/>
      <c r="F532" s="34"/>
      <c r="G532" s="27"/>
      <c r="H532" s="27"/>
      <c r="I532" s="28" t="str">
        <f aca="false">IF(C532="","",IFERROR(INDEX(Settings!$C$8:$C$19,MATCH(C532,Settings!$B$8:$B$19,0)),"?"))</f>
        <v/>
      </c>
      <c r="J532" s="28" t="str">
        <f aca="false">IF(G532="","",IFERROR(INDEX(Settings!$C$8:$C$19,MATCH(G532,Settings!$B$8:$B$19,0)),"?"))</f>
        <v/>
      </c>
      <c r="K532" s="35" t="str">
        <f aca="false">IF(A532="","",DATE(YEAR(A532),MONTH(A532),1))</f>
        <v/>
      </c>
      <c r="L532" s="28" t="str">
        <f aca="false">IF(E532="","",IFERROR(INDEX(Settings!$K$8:$K$38,MATCH(E532,Settings!$H$8:$H$38,0))&amp;"",""))</f>
        <v/>
      </c>
    </row>
    <row r="533" customFormat="false" ht="15" hidden="false" customHeight="false" outlineLevel="0" collapsed="false">
      <c r="A533" s="33"/>
      <c r="B533" s="27"/>
      <c r="C533" s="27"/>
      <c r="D533" s="27"/>
      <c r="E533" s="27"/>
      <c r="F533" s="34"/>
      <c r="G533" s="27"/>
      <c r="H533" s="27"/>
      <c r="I533" s="28" t="str">
        <f aca="false">IF(C533="","",IFERROR(INDEX(Settings!$C$8:$C$19,MATCH(C533,Settings!$B$8:$B$19,0)),"?"))</f>
        <v/>
      </c>
      <c r="J533" s="28" t="str">
        <f aca="false">IF(G533="","",IFERROR(INDEX(Settings!$C$8:$C$19,MATCH(G533,Settings!$B$8:$B$19,0)),"?"))</f>
        <v/>
      </c>
      <c r="K533" s="35" t="str">
        <f aca="false">IF(A533="","",DATE(YEAR(A533),MONTH(A533),1))</f>
        <v/>
      </c>
      <c r="L533" s="28" t="str">
        <f aca="false">IF(E533="","",IFERROR(INDEX(Settings!$K$8:$K$38,MATCH(E533,Settings!$H$8:$H$38,0))&amp;"",""))</f>
        <v/>
      </c>
    </row>
    <row r="534" customFormat="false" ht="15" hidden="false" customHeight="false" outlineLevel="0" collapsed="false">
      <c r="A534" s="33"/>
      <c r="B534" s="27"/>
      <c r="C534" s="27"/>
      <c r="D534" s="27"/>
      <c r="E534" s="27"/>
      <c r="F534" s="34"/>
      <c r="G534" s="27"/>
      <c r="H534" s="27"/>
      <c r="I534" s="28" t="str">
        <f aca="false">IF(C534="","",IFERROR(INDEX(Settings!$C$8:$C$19,MATCH(C534,Settings!$B$8:$B$19,0)),"?"))</f>
        <v/>
      </c>
      <c r="J534" s="28" t="str">
        <f aca="false">IF(G534="","",IFERROR(INDEX(Settings!$C$8:$C$19,MATCH(G534,Settings!$B$8:$B$19,0)),"?"))</f>
        <v/>
      </c>
      <c r="K534" s="35" t="str">
        <f aca="false">IF(A534="","",DATE(YEAR(A534),MONTH(A534),1))</f>
        <v/>
      </c>
      <c r="L534" s="28" t="str">
        <f aca="false">IF(E534="","",IFERROR(INDEX(Settings!$K$8:$K$38,MATCH(E534,Settings!$H$8:$H$38,0))&amp;"",""))</f>
        <v/>
      </c>
    </row>
    <row r="535" customFormat="false" ht="15" hidden="false" customHeight="false" outlineLevel="0" collapsed="false">
      <c r="A535" s="33"/>
      <c r="B535" s="27"/>
      <c r="C535" s="27"/>
      <c r="D535" s="27"/>
      <c r="E535" s="27"/>
      <c r="F535" s="34"/>
      <c r="G535" s="27"/>
      <c r="H535" s="27"/>
      <c r="I535" s="28" t="str">
        <f aca="false">IF(C535="","",IFERROR(INDEX(Settings!$C$8:$C$19,MATCH(C535,Settings!$B$8:$B$19,0)),"?"))</f>
        <v/>
      </c>
      <c r="J535" s="28" t="str">
        <f aca="false">IF(G535="","",IFERROR(INDEX(Settings!$C$8:$C$19,MATCH(G535,Settings!$B$8:$B$19,0)),"?"))</f>
        <v/>
      </c>
      <c r="K535" s="35" t="str">
        <f aca="false">IF(A535="","",DATE(YEAR(A535),MONTH(A535),1))</f>
        <v/>
      </c>
      <c r="L535" s="28" t="str">
        <f aca="false">IF(E535="","",IFERROR(INDEX(Settings!$K$8:$K$38,MATCH(E535,Settings!$H$8:$H$38,0))&amp;"",""))</f>
        <v/>
      </c>
    </row>
    <row r="536" customFormat="false" ht="15" hidden="false" customHeight="false" outlineLevel="0" collapsed="false">
      <c r="A536" s="33"/>
      <c r="B536" s="27"/>
      <c r="C536" s="27"/>
      <c r="D536" s="27"/>
      <c r="E536" s="27"/>
      <c r="F536" s="34"/>
      <c r="G536" s="27"/>
      <c r="H536" s="27"/>
      <c r="I536" s="28" t="str">
        <f aca="false">IF(C536="","",IFERROR(INDEX(Settings!$C$8:$C$19,MATCH(C536,Settings!$B$8:$B$19,0)),"?"))</f>
        <v/>
      </c>
      <c r="J536" s="28" t="str">
        <f aca="false">IF(G536="","",IFERROR(INDEX(Settings!$C$8:$C$19,MATCH(G536,Settings!$B$8:$B$19,0)),"?"))</f>
        <v/>
      </c>
      <c r="K536" s="35" t="str">
        <f aca="false">IF(A536="","",DATE(YEAR(A536),MONTH(A536),1))</f>
        <v/>
      </c>
      <c r="L536" s="28" t="str">
        <f aca="false">IF(E536="","",IFERROR(INDEX(Settings!$K$8:$K$38,MATCH(E536,Settings!$H$8:$H$38,0))&amp;"",""))</f>
        <v/>
      </c>
    </row>
    <row r="537" customFormat="false" ht="15" hidden="false" customHeight="false" outlineLevel="0" collapsed="false">
      <c r="A537" s="33"/>
      <c r="B537" s="27"/>
      <c r="C537" s="27"/>
      <c r="D537" s="27"/>
      <c r="E537" s="27"/>
      <c r="F537" s="34"/>
      <c r="G537" s="27"/>
      <c r="H537" s="27"/>
      <c r="I537" s="28" t="str">
        <f aca="false">IF(C537="","",IFERROR(INDEX(Settings!$C$8:$C$19,MATCH(C537,Settings!$B$8:$B$19,0)),"?"))</f>
        <v/>
      </c>
      <c r="J537" s="28" t="str">
        <f aca="false">IF(G537="","",IFERROR(INDEX(Settings!$C$8:$C$19,MATCH(G537,Settings!$B$8:$B$19,0)),"?"))</f>
        <v/>
      </c>
      <c r="K537" s="35" t="str">
        <f aca="false">IF(A537="","",DATE(YEAR(A537),MONTH(A537),1))</f>
        <v/>
      </c>
      <c r="L537" s="28" t="str">
        <f aca="false">IF(E537="","",IFERROR(INDEX(Settings!$K$8:$K$38,MATCH(E537,Settings!$H$8:$H$38,0))&amp;"",""))</f>
        <v/>
      </c>
    </row>
    <row r="538" customFormat="false" ht="15" hidden="false" customHeight="false" outlineLevel="0" collapsed="false">
      <c r="A538" s="33"/>
      <c r="B538" s="27"/>
      <c r="C538" s="27"/>
      <c r="D538" s="27"/>
      <c r="E538" s="27"/>
      <c r="F538" s="34"/>
      <c r="G538" s="27"/>
      <c r="H538" s="27"/>
      <c r="I538" s="28" t="str">
        <f aca="false">IF(C538="","",IFERROR(INDEX(Settings!$C$8:$C$19,MATCH(C538,Settings!$B$8:$B$19,0)),"?"))</f>
        <v/>
      </c>
      <c r="J538" s="28" t="str">
        <f aca="false">IF(G538="","",IFERROR(INDEX(Settings!$C$8:$C$19,MATCH(G538,Settings!$B$8:$B$19,0)),"?"))</f>
        <v/>
      </c>
      <c r="K538" s="35" t="str">
        <f aca="false">IF(A538="","",DATE(YEAR(A538),MONTH(A538),1))</f>
        <v/>
      </c>
      <c r="L538" s="28" t="str">
        <f aca="false">IF(E538="","",IFERROR(INDEX(Settings!$K$8:$K$38,MATCH(E538,Settings!$H$8:$H$38,0))&amp;"",""))</f>
        <v/>
      </c>
    </row>
    <row r="539" customFormat="false" ht="15" hidden="false" customHeight="false" outlineLevel="0" collapsed="false">
      <c r="A539" s="33"/>
      <c r="B539" s="27"/>
      <c r="C539" s="27"/>
      <c r="D539" s="27"/>
      <c r="E539" s="27"/>
      <c r="F539" s="34"/>
      <c r="G539" s="27"/>
      <c r="H539" s="27"/>
      <c r="I539" s="28" t="str">
        <f aca="false">IF(C539="","",IFERROR(INDEX(Settings!$C$8:$C$19,MATCH(C539,Settings!$B$8:$B$19,0)),"?"))</f>
        <v/>
      </c>
      <c r="J539" s="28" t="str">
        <f aca="false">IF(G539="","",IFERROR(INDEX(Settings!$C$8:$C$19,MATCH(G539,Settings!$B$8:$B$19,0)),"?"))</f>
        <v/>
      </c>
      <c r="K539" s="35" t="str">
        <f aca="false">IF(A539="","",DATE(YEAR(A539),MONTH(A539),1))</f>
        <v/>
      </c>
      <c r="L539" s="28" t="str">
        <f aca="false">IF(E539="","",IFERROR(INDEX(Settings!$K$8:$K$38,MATCH(E539,Settings!$H$8:$H$38,0))&amp;"",""))</f>
        <v/>
      </c>
    </row>
    <row r="540" customFormat="false" ht="15" hidden="false" customHeight="false" outlineLevel="0" collapsed="false">
      <c r="A540" s="33"/>
      <c r="B540" s="27"/>
      <c r="C540" s="27"/>
      <c r="D540" s="27"/>
      <c r="E540" s="27"/>
      <c r="F540" s="34"/>
      <c r="G540" s="27"/>
      <c r="H540" s="27"/>
      <c r="I540" s="28" t="str">
        <f aca="false">IF(C540="","",IFERROR(INDEX(Settings!$C$8:$C$19,MATCH(C540,Settings!$B$8:$B$19,0)),"?"))</f>
        <v/>
      </c>
      <c r="J540" s="28" t="str">
        <f aca="false">IF(G540="","",IFERROR(INDEX(Settings!$C$8:$C$19,MATCH(G540,Settings!$B$8:$B$19,0)),"?"))</f>
        <v/>
      </c>
      <c r="K540" s="35" t="str">
        <f aca="false">IF(A540="","",DATE(YEAR(A540),MONTH(A540),1))</f>
        <v/>
      </c>
      <c r="L540" s="28" t="str">
        <f aca="false">IF(E540="","",IFERROR(INDEX(Settings!$K$8:$K$38,MATCH(E540,Settings!$H$8:$H$38,0))&amp;"",""))</f>
        <v/>
      </c>
    </row>
    <row r="541" customFormat="false" ht="15" hidden="false" customHeight="false" outlineLevel="0" collapsed="false">
      <c r="A541" s="33"/>
      <c r="B541" s="27"/>
      <c r="C541" s="27"/>
      <c r="D541" s="27"/>
      <c r="E541" s="27"/>
      <c r="F541" s="34"/>
      <c r="G541" s="27"/>
      <c r="H541" s="27"/>
      <c r="I541" s="28" t="str">
        <f aca="false">IF(C541="","",IFERROR(INDEX(Settings!$C$8:$C$19,MATCH(C541,Settings!$B$8:$B$19,0)),"?"))</f>
        <v/>
      </c>
      <c r="J541" s="28" t="str">
        <f aca="false">IF(G541="","",IFERROR(INDEX(Settings!$C$8:$C$19,MATCH(G541,Settings!$B$8:$B$19,0)),"?"))</f>
        <v/>
      </c>
      <c r="K541" s="35" t="str">
        <f aca="false">IF(A541="","",DATE(YEAR(A541),MONTH(A541),1))</f>
        <v/>
      </c>
      <c r="L541" s="28" t="str">
        <f aca="false">IF(E541="","",IFERROR(INDEX(Settings!$K$8:$K$38,MATCH(E541,Settings!$H$8:$H$38,0))&amp;"",""))</f>
        <v/>
      </c>
    </row>
    <row r="542" customFormat="false" ht="15" hidden="false" customHeight="false" outlineLevel="0" collapsed="false">
      <c r="A542" s="33"/>
      <c r="B542" s="27"/>
      <c r="C542" s="27"/>
      <c r="D542" s="27"/>
      <c r="E542" s="27"/>
      <c r="F542" s="34"/>
      <c r="G542" s="27"/>
      <c r="H542" s="27"/>
      <c r="I542" s="28" t="str">
        <f aca="false">IF(C542="","",IFERROR(INDEX(Settings!$C$8:$C$19,MATCH(C542,Settings!$B$8:$B$19,0)),"?"))</f>
        <v/>
      </c>
      <c r="J542" s="28" t="str">
        <f aca="false">IF(G542="","",IFERROR(INDEX(Settings!$C$8:$C$19,MATCH(G542,Settings!$B$8:$B$19,0)),"?"))</f>
        <v/>
      </c>
      <c r="K542" s="35" t="str">
        <f aca="false">IF(A542="","",DATE(YEAR(A542),MONTH(A542),1))</f>
        <v/>
      </c>
      <c r="L542" s="28" t="str">
        <f aca="false">IF(E542="","",IFERROR(INDEX(Settings!$K$8:$K$38,MATCH(E542,Settings!$H$8:$H$38,0))&amp;"",""))</f>
        <v/>
      </c>
    </row>
    <row r="543" customFormat="false" ht="15" hidden="false" customHeight="false" outlineLevel="0" collapsed="false">
      <c r="A543" s="33"/>
      <c r="B543" s="27"/>
      <c r="C543" s="27"/>
      <c r="D543" s="27"/>
      <c r="E543" s="27"/>
      <c r="F543" s="34"/>
      <c r="G543" s="27"/>
      <c r="H543" s="27"/>
      <c r="I543" s="28" t="str">
        <f aca="false">IF(C543="","",IFERROR(INDEX(Settings!$C$8:$C$19,MATCH(C543,Settings!$B$8:$B$19,0)),"?"))</f>
        <v/>
      </c>
      <c r="J543" s="28" t="str">
        <f aca="false">IF(G543="","",IFERROR(INDEX(Settings!$C$8:$C$19,MATCH(G543,Settings!$B$8:$B$19,0)),"?"))</f>
        <v/>
      </c>
      <c r="K543" s="35" t="str">
        <f aca="false">IF(A543="","",DATE(YEAR(A543),MONTH(A543),1))</f>
        <v/>
      </c>
      <c r="L543" s="28" t="str">
        <f aca="false">IF(E543="","",IFERROR(INDEX(Settings!$K$8:$K$38,MATCH(E543,Settings!$H$8:$H$38,0))&amp;"",""))</f>
        <v/>
      </c>
    </row>
    <row r="544" customFormat="false" ht="15" hidden="false" customHeight="false" outlineLevel="0" collapsed="false">
      <c r="A544" s="33"/>
      <c r="B544" s="27"/>
      <c r="C544" s="27"/>
      <c r="D544" s="27"/>
      <c r="E544" s="27"/>
      <c r="F544" s="34"/>
      <c r="G544" s="27"/>
      <c r="H544" s="27"/>
      <c r="I544" s="28" t="str">
        <f aca="false">IF(C544="","",IFERROR(INDEX(Settings!$C$8:$C$19,MATCH(C544,Settings!$B$8:$B$19,0)),"?"))</f>
        <v/>
      </c>
      <c r="J544" s="28" t="str">
        <f aca="false">IF(G544="","",IFERROR(INDEX(Settings!$C$8:$C$19,MATCH(G544,Settings!$B$8:$B$19,0)),"?"))</f>
        <v/>
      </c>
      <c r="K544" s="35" t="str">
        <f aca="false">IF(A544="","",DATE(YEAR(A544),MONTH(A544),1))</f>
        <v/>
      </c>
      <c r="L544" s="28" t="str">
        <f aca="false">IF(E544="","",IFERROR(INDEX(Settings!$K$8:$K$38,MATCH(E544,Settings!$H$8:$H$38,0))&amp;"",""))</f>
        <v/>
      </c>
    </row>
    <row r="545" customFormat="false" ht="15" hidden="false" customHeight="false" outlineLevel="0" collapsed="false">
      <c r="A545" s="33"/>
      <c r="B545" s="27"/>
      <c r="C545" s="27"/>
      <c r="D545" s="27"/>
      <c r="E545" s="27"/>
      <c r="F545" s="34"/>
      <c r="G545" s="27"/>
      <c r="H545" s="27"/>
      <c r="I545" s="28" t="str">
        <f aca="false">IF(C545="","",IFERROR(INDEX(Settings!$C$8:$C$19,MATCH(C545,Settings!$B$8:$B$19,0)),"?"))</f>
        <v/>
      </c>
      <c r="J545" s="28" t="str">
        <f aca="false">IF(G545="","",IFERROR(INDEX(Settings!$C$8:$C$19,MATCH(G545,Settings!$B$8:$B$19,0)),"?"))</f>
        <v/>
      </c>
      <c r="K545" s="35" t="str">
        <f aca="false">IF(A545="","",DATE(YEAR(A545),MONTH(A545),1))</f>
        <v/>
      </c>
      <c r="L545" s="28" t="str">
        <f aca="false">IF(E545="","",IFERROR(INDEX(Settings!$K$8:$K$38,MATCH(E545,Settings!$H$8:$H$38,0))&amp;"",""))</f>
        <v/>
      </c>
    </row>
    <row r="546" customFormat="false" ht="15" hidden="false" customHeight="false" outlineLevel="0" collapsed="false">
      <c r="A546" s="33"/>
      <c r="B546" s="27"/>
      <c r="C546" s="27"/>
      <c r="D546" s="27"/>
      <c r="E546" s="27"/>
      <c r="F546" s="34"/>
      <c r="G546" s="27"/>
      <c r="H546" s="27"/>
      <c r="I546" s="28" t="str">
        <f aca="false">IF(C546="","",IFERROR(INDEX(Settings!$C$8:$C$19,MATCH(C546,Settings!$B$8:$B$19,0)),"?"))</f>
        <v/>
      </c>
      <c r="J546" s="28" t="str">
        <f aca="false">IF(G546="","",IFERROR(INDEX(Settings!$C$8:$C$19,MATCH(G546,Settings!$B$8:$B$19,0)),"?"))</f>
        <v/>
      </c>
      <c r="K546" s="35" t="str">
        <f aca="false">IF(A546="","",DATE(YEAR(A546),MONTH(A546),1))</f>
        <v/>
      </c>
      <c r="L546" s="28" t="str">
        <f aca="false">IF(E546="","",IFERROR(INDEX(Settings!$K$8:$K$38,MATCH(E546,Settings!$H$8:$H$38,0))&amp;"",""))</f>
        <v/>
      </c>
    </row>
    <row r="547" customFormat="false" ht="15" hidden="false" customHeight="false" outlineLevel="0" collapsed="false">
      <c r="A547" s="33"/>
      <c r="B547" s="27"/>
      <c r="C547" s="27"/>
      <c r="D547" s="27"/>
      <c r="E547" s="27"/>
      <c r="F547" s="34"/>
      <c r="G547" s="27"/>
      <c r="H547" s="27"/>
      <c r="I547" s="28" t="str">
        <f aca="false">IF(C547="","",IFERROR(INDEX(Settings!$C$8:$C$19,MATCH(C547,Settings!$B$8:$B$19,0)),"?"))</f>
        <v/>
      </c>
      <c r="J547" s="28" t="str">
        <f aca="false">IF(G547="","",IFERROR(INDEX(Settings!$C$8:$C$19,MATCH(G547,Settings!$B$8:$B$19,0)),"?"))</f>
        <v/>
      </c>
      <c r="K547" s="35" t="str">
        <f aca="false">IF(A547="","",DATE(YEAR(A547),MONTH(A547),1))</f>
        <v/>
      </c>
      <c r="L547" s="28" t="str">
        <f aca="false">IF(E547="","",IFERROR(INDEX(Settings!$K$8:$K$38,MATCH(E547,Settings!$H$8:$H$38,0))&amp;"",""))</f>
        <v/>
      </c>
    </row>
    <row r="548" customFormat="false" ht="15" hidden="false" customHeight="false" outlineLevel="0" collapsed="false">
      <c r="A548" s="33"/>
      <c r="B548" s="27"/>
      <c r="C548" s="27"/>
      <c r="D548" s="27"/>
      <c r="E548" s="27"/>
      <c r="F548" s="34"/>
      <c r="G548" s="27"/>
      <c r="H548" s="27"/>
      <c r="I548" s="28" t="str">
        <f aca="false">IF(C548="","",IFERROR(INDEX(Settings!$C$8:$C$19,MATCH(C548,Settings!$B$8:$B$19,0)),"?"))</f>
        <v/>
      </c>
      <c r="J548" s="28" t="str">
        <f aca="false">IF(G548="","",IFERROR(INDEX(Settings!$C$8:$C$19,MATCH(G548,Settings!$B$8:$B$19,0)),"?"))</f>
        <v/>
      </c>
      <c r="K548" s="35" t="str">
        <f aca="false">IF(A548="","",DATE(YEAR(A548),MONTH(A548),1))</f>
        <v/>
      </c>
      <c r="L548" s="28" t="str">
        <f aca="false">IF(E548="","",IFERROR(INDEX(Settings!$K$8:$K$38,MATCH(E548,Settings!$H$8:$H$38,0))&amp;"",""))</f>
        <v/>
      </c>
    </row>
    <row r="549" customFormat="false" ht="15" hidden="false" customHeight="false" outlineLevel="0" collapsed="false">
      <c r="A549" s="33"/>
      <c r="B549" s="27"/>
      <c r="C549" s="27"/>
      <c r="D549" s="27"/>
      <c r="E549" s="27"/>
      <c r="F549" s="34"/>
      <c r="G549" s="27"/>
      <c r="H549" s="27"/>
      <c r="I549" s="28" t="str">
        <f aca="false">IF(C549="","",IFERROR(INDEX(Settings!$C$8:$C$19,MATCH(C549,Settings!$B$8:$B$19,0)),"?"))</f>
        <v/>
      </c>
      <c r="J549" s="28" t="str">
        <f aca="false">IF(G549="","",IFERROR(INDEX(Settings!$C$8:$C$19,MATCH(G549,Settings!$B$8:$B$19,0)),"?"))</f>
        <v/>
      </c>
      <c r="K549" s="35" t="str">
        <f aca="false">IF(A549="","",DATE(YEAR(A549),MONTH(A549),1))</f>
        <v/>
      </c>
      <c r="L549" s="28" t="str">
        <f aca="false">IF(E549="","",IFERROR(INDEX(Settings!$K$8:$K$38,MATCH(E549,Settings!$H$8:$H$38,0))&amp;"",""))</f>
        <v/>
      </c>
    </row>
    <row r="550" customFormat="false" ht="15" hidden="false" customHeight="false" outlineLevel="0" collapsed="false">
      <c r="A550" s="33"/>
      <c r="B550" s="27"/>
      <c r="C550" s="27"/>
      <c r="D550" s="27"/>
      <c r="E550" s="27"/>
      <c r="F550" s="34"/>
      <c r="G550" s="27"/>
      <c r="H550" s="27"/>
      <c r="I550" s="28" t="str">
        <f aca="false">IF(C550="","",IFERROR(INDEX(Settings!$C$8:$C$19,MATCH(C550,Settings!$B$8:$B$19,0)),"?"))</f>
        <v/>
      </c>
      <c r="J550" s="28" t="str">
        <f aca="false">IF(G550="","",IFERROR(INDEX(Settings!$C$8:$C$19,MATCH(G550,Settings!$B$8:$B$19,0)),"?"))</f>
        <v/>
      </c>
      <c r="K550" s="35" t="str">
        <f aca="false">IF(A550="","",DATE(YEAR(A550),MONTH(A550),1))</f>
        <v/>
      </c>
      <c r="L550" s="28" t="str">
        <f aca="false">IF(E550="","",IFERROR(INDEX(Settings!$K$8:$K$38,MATCH(E550,Settings!$H$8:$H$38,0))&amp;"",""))</f>
        <v/>
      </c>
    </row>
    <row r="551" customFormat="false" ht="15" hidden="false" customHeight="false" outlineLevel="0" collapsed="false">
      <c r="A551" s="33"/>
      <c r="B551" s="27"/>
      <c r="C551" s="27"/>
      <c r="D551" s="27"/>
      <c r="E551" s="27"/>
      <c r="F551" s="34"/>
      <c r="G551" s="27"/>
      <c r="H551" s="27"/>
      <c r="I551" s="28" t="str">
        <f aca="false">IF(C551="","",IFERROR(INDEX(Settings!$C$8:$C$19,MATCH(C551,Settings!$B$8:$B$19,0)),"?"))</f>
        <v/>
      </c>
      <c r="J551" s="28" t="str">
        <f aca="false">IF(G551="","",IFERROR(INDEX(Settings!$C$8:$C$19,MATCH(G551,Settings!$B$8:$B$19,0)),"?"))</f>
        <v/>
      </c>
      <c r="K551" s="35" t="str">
        <f aca="false">IF(A551="","",DATE(YEAR(A551),MONTH(A551),1))</f>
        <v/>
      </c>
      <c r="L551" s="28" t="str">
        <f aca="false">IF(E551="","",IFERROR(INDEX(Settings!$K$8:$K$38,MATCH(E551,Settings!$H$8:$H$38,0))&amp;"",""))</f>
        <v/>
      </c>
    </row>
    <row r="552" customFormat="false" ht="15" hidden="false" customHeight="false" outlineLevel="0" collapsed="false">
      <c r="A552" s="33"/>
      <c r="B552" s="27"/>
      <c r="C552" s="27"/>
      <c r="D552" s="27"/>
      <c r="E552" s="27"/>
      <c r="F552" s="34"/>
      <c r="G552" s="27"/>
      <c r="H552" s="27"/>
      <c r="I552" s="28" t="str">
        <f aca="false">IF(C552="","",IFERROR(INDEX(Settings!$C$8:$C$19,MATCH(C552,Settings!$B$8:$B$19,0)),"?"))</f>
        <v/>
      </c>
      <c r="J552" s="28" t="str">
        <f aca="false">IF(G552="","",IFERROR(INDEX(Settings!$C$8:$C$19,MATCH(G552,Settings!$B$8:$B$19,0)),"?"))</f>
        <v/>
      </c>
      <c r="K552" s="35" t="str">
        <f aca="false">IF(A552="","",DATE(YEAR(A552),MONTH(A552),1))</f>
        <v/>
      </c>
      <c r="L552" s="28" t="str">
        <f aca="false">IF(E552="","",IFERROR(INDEX(Settings!$K$8:$K$38,MATCH(E552,Settings!$H$8:$H$38,0))&amp;"",""))</f>
        <v/>
      </c>
    </row>
    <row r="553" customFormat="false" ht="15" hidden="false" customHeight="false" outlineLevel="0" collapsed="false">
      <c r="A553" s="33"/>
      <c r="B553" s="27"/>
      <c r="C553" s="27"/>
      <c r="D553" s="27"/>
      <c r="E553" s="27"/>
      <c r="F553" s="34"/>
      <c r="G553" s="27"/>
      <c r="H553" s="27"/>
      <c r="I553" s="28" t="str">
        <f aca="false">IF(C553="","",IFERROR(INDEX(Settings!$C$8:$C$19,MATCH(C553,Settings!$B$8:$B$19,0)),"?"))</f>
        <v/>
      </c>
      <c r="J553" s="28" t="str">
        <f aca="false">IF(G553="","",IFERROR(INDEX(Settings!$C$8:$C$19,MATCH(G553,Settings!$B$8:$B$19,0)),"?"))</f>
        <v/>
      </c>
      <c r="K553" s="35" t="str">
        <f aca="false">IF(A553="","",DATE(YEAR(A553),MONTH(A553),1))</f>
        <v/>
      </c>
      <c r="L553" s="28" t="str">
        <f aca="false">IF(E553="","",IFERROR(INDEX(Settings!$K$8:$K$38,MATCH(E553,Settings!$H$8:$H$38,0))&amp;"",""))</f>
        <v/>
      </c>
    </row>
    <row r="554" customFormat="false" ht="15" hidden="false" customHeight="false" outlineLevel="0" collapsed="false">
      <c r="A554" s="33"/>
      <c r="B554" s="27"/>
      <c r="C554" s="27"/>
      <c r="D554" s="27"/>
      <c r="E554" s="27"/>
      <c r="F554" s="34"/>
      <c r="G554" s="27"/>
      <c r="H554" s="27"/>
      <c r="I554" s="28" t="str">
        <f aca="false">IF(C554="","",IFERROR(INDEX(Settings!$C$8:$C$19,MATCH(C554,Settings!$B$8:$B$19,0)),"?"))</f>
        <v/>
      </c>
      <c r="J554" s="28" t="str">
        <f aca="false">IF(G554="","",IFERROR(INDEX(Settings!$C$8:$C$19,MATCH(G554,Settings!$B$8:$B$19,0)),"?"))</f>
        <v/>
      </c>
      <c r="K554" s="35" t="str">
        <f aca="false">IF(A554="","",DATE(YEAR(A554),MONTH(A554),1))</f>
        <v/>
      </c>
      <c r="L554" s="28" t="str">
        <f aca="false">IF(E554="","",IFERROR(INDEX(Settings!$K$8:$K$38,MATCH(E554,Settings!$H$8:$H$38,0))&amp;"",""))</f>
        <v/>
      </c>
    </row>
    <row r="555" customFormat="false" ht="15" hidden="false" customHeight="false" outlineLevel="0" collapsed="false">
      <c r="A555" s="33"/>
      <c r="B555" s="27"/>
      <c r="C555" s="27"/>
      <c r="D555" s="27"/>
      <c r="E555" s="27"/>
      <c r="F555" s="34"/>
      <c r="G555" s="27"/>
      <c r="H555" s="27"/>
      <c r="I555" s="28" t="str">
        <f aca="false">IF(C555="","",IFERROR(INDEX(Settings!$C$8:$C$19,MATCH(C555,Settings!$B$8:$B$19,0)),"?"))</f>
        <v/>
      </c>
      <c r="J555" s="28" t="str">
        <f aca="false">IF(G555="","",IFERROR(INDEX(Settings!$C$8:$C$19,MATCH(G555,Settings!$B$8:$B$19,0)),"?"))</f>
        <v/>
      </c>
      <c r="K555" s="35" t="str">
        <f aca="false">IF(A555="","",DATE(YEAR(A555),MONTH(A555),1))</f>
        <v/>
      </c>
      <c r="L555" s="28" t="str">
        <f aca="false">IF(E555="","",IFERROR(INDEX(Settings!$K$8:$K$38,MATCH(E555,Settings!$H$8:$H$38,0))&amp;"",""))</f>
        <v/>
      </c>
    </row>
    <row r="556" customFormat="false" ht="15" hidden="false" customHeight="false" outlineLevel="0" collapsed="false">
      <c r="A556" s="33"/>
      <c r="B556" s="27"/>
      <c r="C556" s="27"/>
      <c r="D556" s="27"/>
      <c r="E556" s="27"/>
      <c r="F556" s="34"/>
      <c r="G556" s="27"/>
      <c r="H556" s="27"/>
      <c r="I556" s="28" t="str">
        <f aca="false">IF(C556="","",IFERROR(INDEX(Settings!$C$8:$C$19,MATCH(C556,Settings!$B$8:$B$19,0)),"?"))</f>
        <v/>
      </c>
      <c r="J556" s="28" t="str">
        <f aca="false">IF(G556="","",IFERROR(INDEX(Settings!$C$8:$C$19,MATCH(G556,Settings!$B$8:$B$19,0)),"?"))</f>
        <v/>
      </c>
      <c r="K556" s="35" t="str">
        <f aca="false">IF(A556="","",DATE(YEAR(A556),MONTH(A556),1))</f>
        <v/>
      </c>
      <c r="L556" s="28" t="str">
        <f aca="false">IF(E556="","",IFERROR(INDEX(Settings!$K$8:$K$38,MATCH(E556,Settings!$H$8:$H$38,0))&amp;"",""))</f>
        <v/>
      </c>
    </row>
    <row r="557" customFormat="false" ht="15" hidden="false" customHeight="false" outlineLevel="0" collapsed="false">
      <c r="A557" s="33"/>
      <c r="B557" s="27"/>
      <c r="C557" s="27"/>
      <c r="D557" s="27"/>
      <c r="E557" s="27"/>
      <c r="F557" s="34"/>
      <c r="G557" s="27"/>
      <c r="H557" s="27"/>
      <c r="I557" s="28" t="str">
        <f aca="false">IF(C557="","",IFERROR(INDEX(Settings!$C$8:$C$19,MATCH(C557,Settings!$B$8:$B$19,0)),"?"))</f>
        <v/>
      </c>
      <c r="J557" s="28" t="str">
        <f aca="false">IF(G557="","",IFERROR(INDEX(Settings!$C$8:$C$19,MATCH(G557,Settings!$B$8:$B$19,0)),"?"))</f>
        <v/>
      </c>
      <c r="K557" s="35" t="str">
        <f aca="false">IF(A557="","",DATE(YEAR(A557),MONTH(A557),1))</f>
        <v/>
      </c>
      <c r="L557" s="28" t="str">
        <f aca="false">IF(E557="","",IFERROR(INDEX(Settings!$K$8:$K$38,MATCH(E557,Settings!$H$8:$H$38,0))&amp;"",""))</f>
        <v/>
      </c>
    </row>
    <row r="558" customFormat="false" ht="15" hidden="false" customHeight="false" outlineLevel="0" collapsed="false">
      <c r="A558" s="33"/>
      <c r="B558" s="27"/>
      <c r="C558" s="27"/>
      <c r="D558" s="27"/>
      <c r="E558" s="27"/>
      <c r="F558" s="34"/>
      <c r="G558" s="27"/>
      <c r="H558" s="27"/>
      <c r="I558" s="28" t="str">
        <f aca="false">IF(C558="","",IFERROR(INDEX(Settings!$C$8:$C$19,MATCH(C558,Settings!$B$8:$B$19,0)),"?"))</f>
        <v/>
      </c>
      <c r="J558" s="28" t="str">
        <f aca="false">IF(G558="","",IFERROR(INDEX(Settings!$C$8:$C$19,MATCH(G558,Settings!$B$8:$B$19,0)),"?"))</f>
        <v/>
      </c>
      <c r="K558" s="35" t="str">
        <f aca="false">IF(A558="","",DATE(YEAR(A558),MONTH(A558),1))</f>
        <v/>
      </c>
      <c r="L558" s="28" t="str">
        <f aca="false">IF(E558="","",IFERROR(INDEX(Settings!$K$8:$K$38,MATCH(E558,Settings!$H$8:$H$38,0))&amp;"",""))</f>
        <v/>
      </c>
    </row>
    <row r="559" customFormat="false" ht="15" hidden="false" customHeight="false" outlineLevel="0" collapsed="false">
      <c r="A559" s="33"/>
      <c r="B559" s="27"/>
      <c r="C559" s="27"/>
      <c r="D559" s="27"/>
      <c r="E559" s="27"/>
      <c r="F559" s="34"/>
      <c r="G559" s="27"/>
      <c r="H559" s="27"/>
      <c r="I559" s="28" t="str">
        <f aca="false">IF(C559="","",IFERROR(INDEX(Settings!$C$8:$C$19,MATCH(C559,Settings!$B$8:$B$19,0)),"?"))</f>
        <v/>
      </c>
      <c r="J559" s="28" t="str">
        <f aca="false">IF(G559="","",IFERROR(INDEX(Settings!$C$8:$C$19,MATCH(G559,Settings!$B$8:$B$19,0)),"?"))</f>
        <v/>
      </c>
      <c r="K559" s="35" t="str">
        <f aca="false">IF(A559="","",DATE(YEAR(A559),MONTH(A559),1))</f>
        <v/>
      </c>
      <c r="L559" s="28" t="str">
        <f aca="false">IF(E559="","",IFERROR(INDEX(Settings!$K$8:$K$38,MATCH(E559,Settings!$H$8:$H$38,0))&amp;"",""))</f>
        <v/>
      </c>
    </row>
    <row r="560" customFormat="false" ht="15" hidden="false" customHeight="false" outlineLevel="0" collapsed="false">
      <c r="A560" s="33"/>
      <c r="B560" s="27"/>
      <c r="C560" s="27"/>
      <c r="D560" s="27"/>
      <c r="E560" s="27"/>
      <c r="F560" s="34"/>
      <c r="G560" s="27"/>
      <c r="H560" s="27"/>
      <c r="I560" s="28" t="str">
        <f aca="false">IF(C560="","",IFERROR(INDEX(Settings!$C$8:$C$19,MATCH(C560,Settings!$B$8:$B$19,0)),"?"))</f>
        <v/>
      </c>
      <c r="J560" s="28" t="str">
        <f aca="false">IF(G560="","",IFERROR(INDEX(Settings!$C$8:$C$19,MATCH(G560,Settings!$B$8:$B$19,0)),"?"))</f>
        <v/>
      </c>
      <c r="K560" s="35" t="str">
        <f aca="false">IF(A560="","",DATE(YEAR(A560),MONTH(A560),1))</f>
        <v/>
      </c>
      <c r="L560" s="28" t="str">
        <f aca="false">IF(E560="","",IFERROR(INDEX(Settings!$K$8:$K$38,MATCH(E560,Settings!$H$8:$H$38,0))&amp;"",""))</f>
        <v/>
      </c>
    </row>
    <row r="561" customFormat="false" ht="15" hidden="false" customHeight="false" outlineLevel="0" collapsed="false">
      <c r="A561" s="33"/>
      <c r="B561" s="27"/>
      <c r="C561" s="27"/>
      <c r="D561" s="27"/>
      <c r="E561" s="27"/>
      <c r="F561" s="34"/>
      <c r="G561" s="27"/>
      <c r="H561" s="27"/>
      <c r="I561" s="28" t="str">
        <f aca="false">IF(C561="","",IFERROR(INDEX(Settings!$C$8:$C$19,MATCH(C561,Settings!$B$8:$B$19,0)),"?"))</f>
        <v/>
      </c>
      <c r="J561" s="28" t="str">
        <f aca="false">IF(G561="","",IFERROR(INDEX(Settings!$C$8:$C$19,MATCH(G561,Settings!$B$8:$B$19,0)),"?"))</f>
        <v/>
      </c>
      <c r="K561" s="35" t="str">
        <f aca="false">IF(A561="","",DATE(YEAR(A561),MONTH(A561),1))</f>
        <v/>
      </c>
      <c r="L561" s="28" t="str">
        <f aca="false">IF(E561="","",IFERROR(INDEX(Settings!$K$8:$K$38,MATCH(E561,Settings!$H$8:$H$38,0))&amp;"",""))</f>
        <v/>
      </c>
    </row>
    <row r="562" customFormat="false" ht="15" hidden="false" customHeight="false" outlineLevel="0" collapsed="false">
      <c r="A562" s="33"/>
      <c r="B562" s="27"/>
      <c r="C562" s="27"/>
      <c r="D562" s="27"/>
      <c r="E562" s="27"/>
      <c r="F562" s="34"/>
      <c r="G562" s="27"/>
      <c r="H562" s="27"/>
      <c r="I562" s="28" t="str">
        <f aca="false">IF(C562="","",IFERROR(INDEX(Settings!$C$8:$C$19,MATCH(C562,Settings!$B$8:$B$19,0)),"?"))</f>
        <v/>
      </c>
      <c r="J562" s="28" t="str">
        <f aca="false">IF(G562="","",IFERROR(INDEX(Settings!$C$8:$C$19,MATCH(G562,Settings!$B$8:$B$19,0)),"?"))</f>
        <v/>
      </c>
      <c r="K562" s="35" t="str">
        <f aca="false">IF(A562="","",DATE(YEAR(A562),MONTH(A562),1))</f>
        <v/>
      </c>
      <c r="L562" s="28" t="str">
        <f aca="false">IF(E562="","",IFERROR(INDEX(Settings!$K$8:$K$38,MATCH(E562,Settings!$H$8:$H$38,0))&amp;"",""))</f>
        <v/>
      </c>
    </row>
    <row r="563" customFormat="false" ht="15" hidden="false" customHeight="false" outlineLevel="0" collapsed="false">
      <c r="A563" s="33"/>
      <c r="B563" s="27"/>
      <c r="C563" s="27"/>
      <c r="D563" s="27"/>
      <c r="E563" s="27"/>
      <c r="F563" s="34"/>
      <c r="G563" s="27"/>
      <c r="H563" s="27"/>
      <c r="I563" s="28" t="str">
        <f aca="false">IF(C563="","",IFERROR(INDEX(Settings!$C$8:$C$19,MATCH(C563,Settings!$B$8:$B$19,0)),"?"))</f>
        <v/>
      </c>
      <c r="J563" s="28" t="str">
        <f aca="false">IF(G563="","",IFERROR(INDEX(Settings!$C$8:$C$19,MATCH(G563,Settings!$B$8:$B$19,0)),"?"))</f>
        <v/>
      </c>
      <c r="K563" s="35" t="str">
        <f aca="false">IF(A563="","",DATE(YEAR(A563),MONTH(A563),1))</f>
        <v/>
      </c>
      <c r="L563" s="28" t="str">
        <f aca="false">IF(E563="","",IFERROR(INDEX(Settings!$K$8:$K$38,MATCH(E563,Settings!$H$8:$H$38,0))&amp;"",""))</f>
        <v/>
      </c>
    </row>
    <row r="564" customFormat="false" ht="15" hidden="false" customHeight="false" outlineLevel="0" collapsed="false">
      <c r="A564" s="33"/>
      <c r="B564" s="27"/>
      <c r="C564" s="27"/>
      <c r="D564" s="27"/>
      <c r="E564" s="27"/>
      <c r="F564" s="34"/>
      <c r="G564" s="27"/>
      <c r="H564" s="27"/>
      <c r="I564" s="28" t="str">
        <f aca="false">IF(C564="","",IFERROR(INDEX(Settings!$C$8:$C$19,MATCH(C564,Settings!$B$8:$B$19,0)),"?"))</f>
        <v/>
      </c>
      <c r="J564" s="28" t="str">
        <f aca="false">IF(G564="","",IFERROR(INDEX(Settings!$C$8:$C$19,MATCH(G564,Settings!$B$8:$B$19,0)),"?"))</f>
        <v/>
      </c>
      <c r="K564" s="35" t="str">
        <f aca="false">IF(A564="","",DATE(YEAR(A564),MONTH(A564),1))</f>
        <v/>
      </c>
      <c r="L564" s="28" t="str">
        <f aca="false">IF(E564="","",IFERROR(INDEX(Settings!$K$8:$K$38,MATCH(E564,Settings!$H$8:$H$38,0))&amp;"",""))</f>
        <v/>
      </c>
    </row>
    <row r="565" customFormat="false" ht="15" hidden="false" customHeight="false" outlineLevel="0" collapsed="false">
      <c r="A565" s="33"/>
      <c r="B565" s="27"/>
      <c r="C565" s="27"/>
      <c r="D565" s="27"/>
      <c r="E565" s="27"/>
      <c r="F565" s="34"/>
      <c r="G565" s="27"/>
      <c r="H565" s="27"/>
      <c r="I565" s="28" t="str">
        <f aca="false">IF(C565="","",IFERROR(INDEX(Settings!$C$8:$C$19,MATCH(C565,Settings!$B$8:$B$19,0)),"?"))</f>
        <v/>
      </c>
      <c r="J565" s="28" t="str">
        <f aca="false">IF(G565="","",IFERROR(INDEX(Settings!$C$8:$C$19,MATCH(G565,Settings!$B$8:$B$19,0)),"?"))</f>
        <v/>
      </c>
      <c r="K565" s="35" t="str">
        <f aca="false">IF(A565="","",DATE(YEAR(A565),MONTH(A565),1))</f>
        <v/>
      </c>
      <c r="L565" s="28" t="str">
        <f aca="false">IF(E565="","",IFERROR(INDEX(Settings!$K$8:$K$38,MATCH(E565,Settings!$H$8:$H$38,0))&amp;"",""))</f>
        <v/>
      </c>
    </row>
    <row r="566" customFormat="false" ht="15" hidden="false" customHeight="false" outlineLevel="0" collapsed="false">
      <c r="A566" s="33"/>
      <c r="B566" s="27"/>
      <c r="C566" s="27"/>
      <c r="D566" s="27"/>
      <c r="E566" s="27"/>
      <c r="F566" s="34"/>
      <c r="G566" s="27"/>
      <c r="H566" s="27"/>
      <c r="I566" s="28" t="str">
        <f aca="false">IF(C566="","",IFERROR(INDEX(Settings!$C$8:$C$19,MATCH(C566,Settings!$B$8:$B$19,0)),"?"))</f>
        <v/>
      </c>
      <c r="J566" s="28" t="str">
        <f aca="false">IF(G566="","",IFERROR(INDEX(Settings!$C$8:$C$19,MATCH(G566,Settings!$B$8:$B$19,0)),"?"))</f>
        <v/>
      </c>
      <c r="K566" s="35" t="str">
        <f aca="false">IF(A566="","",DATE(YEAR(A566),MONTH(A566),1))</f>
        <v/>
      </c>
      <c r="L566" s="28" t="str">
        <f aca="false">IF(E566="","",IFERROR(INDEX(Settings!$K$8:$K$38,MATCH(E566,Settings!$H$8:$H$38,0))&amp;"",""))</f>
        <v/>
      </c>
    </row>
    <row r="567" customFormat="false" ht="15" hidden="false" customHeight="false" outlineLevel="0" collapsed="false">
      <c r="A567" s="33"/>
      <c r="B567" s="27"/>
      <c r="C567" s="27"/>
      <c r="D567" s="27"/>
      <c r="E567" s="27"/>
      <c r="F567" s="34"/>
      <c r="G567" s="27"/>
      <c r="H567" s="27"/>
      <c r="I567" s="28" t="str">
        <f aca="false">IF(C567="","",IFERROR(INDEX(Settings!$C$8:$C$19,MATCH(C567,Settings!$B$8:$B$19,0)),"?"))</f>
        <v/>
      </c>
      <c r="J567" s="28" t="str">
        <f aca="false">IF(G567="","",IFERROR(INDEX(Settings!$C$8:$C$19,MATCH(G567,Settings!$B$8:$B$19,0)),"?"))</f>
        <v/>
      </c>
      <c r="K567" s="35" t="str">
        <f aca="false">IF(A567="","",DATE(YEAR(A567),MONTH(A567),1))</f>
        <v/>
      </c>
      <c r="L567" s="28" t="str">
        <f aca="false">IF(E567="","",IFERROR(INDEX(Settings!$K$8:$K$38,MATCH(E567,Settings!$H$8:$H$38,0))&amp;"",""))</f>
        <v/>
      </c>
    </row>
    <row r="568" customFormat="false" ht="15" hidden="false" customHeight="false" outlineLevel="0" collapsed="false">
      <c r="A568" s="33"/>
      <c r="B568" s="27"/>
      <c r="C568" s="27"/>
      <c r="D568" s="27"/>
      <c r="E568" s="27"/>
      <c r="F568" s="34"/>
      <c r="G568" s="27"/>
      <c r="H568" s="27"/>
      <c r="I568" s="28" t="str">
        <f aca="false">IF(C568="","",IFERROR(INDEX(Settings!$C$8:$C$19,MATCH(C568,Settings!$B$8:$B$19,0)),"?"))</f>
        <v/>
      </c>
      <c r="J568" s="28" t="str">
        <f aca="false">IF(G568="","",IFERROR(INDEX(Settings!$C$8:$C$19,MATCH(G568,Settings!$B$8:$B$19,0)),"?"))</f>
        <v/>
      </c>
      <c r="K568" s="35" t="str">
        <f aca="false">IF(A568="","",DATE(YEAR(A568),MONTH(A568),1))</f>
        <v/>
      </c>
      <c r="L568" s="28" t="str">
        <f aca="false">IF(E568="","",IFERROR(INDEX(Settings!$K$8:$K$38,MATCH(E568,Settings!$H$8:$H$38,0))&amp;"",""))</f>
        <v/>
      </c>
    </row>
    <row r="569" customFormat="false" ht="15" hidden="false" customHeight="false" outlineLevel="0" collapsed="false">
      <c r="A569" s="33"/>
      <c r="B569" s="27"/>
      <c r="C569" s="27"/>
      <c r="D569" s="27"/>
      <c r="E569" s="27"/>
      <c r="F569" s="34"/>
      <c r="G569" s="27"/>
      <c r="H569" s="27"/>
      <c r="I569" s="28" t="str">
        <f aca="false">IF(C569="","",IFERROR(INDEX(Settings!$C$8:$C$19,MATCH(C569,Settings!$B$8:$B$19,0)),"?"))</f>
        <v/>
      </c>
      <c r="J569" s="28" t="str">
        <f aca="false">IF(G569="","",IFERROR(INDEX(Settings!$C$8:$C$19,MATCH(G569,Settings!$B$8:$B$19,0)),"?"))</f>
        <v/>
      </c>
      <c r="K569" s="35" t="str">
        <f aca="false">IF(A569="","",DATE(YEAR(A569),MONTH(A569),1))</f>
        <v/>
      </c>
      <c r="L569" s="28" t="str">
        <f aca="false">IF(E569="","",IFERROR(INDEX(Settings!$K$8:$K$38,MATCH(E569,Settings!$H$8:$H$38,0))&amp;"",""))</f>
        <v/>
      </c>
    </row>
    <row r="570" customFormat="false" ht="15" hidden="false" customHeight="false" outlineLevel="0" collapsed="false">
      <c r="A570" s="33"/>
      <c r="B570" s="27"/>
      <c r="C570" s="27"/>
      <c r="D570" s="27"/>
      <c r="E570" s="27"/>
      <c r="F570" s="34"/>
      <c r="G570" s="27"/>
      <c r="H570" s="27"/>
      <c r="I570" s="28" t="str">
        <f aca="false">IF(C570="","",IFERROR(INDEX(Settings!$C$8:$C$19,MATCH(C570,Settings!$B$8:$B$19,0)),"?"))</f>
        <v/>
      </c>
      <c r="J570" s="28" t="str">
        <f aca="false">IF(G570="","",IFERROR(INDEX(Settings!$C$8:$C$19,MATCH(G570,Settings!$B$8:$B$19,0)),"?"))</f>
        <v/>
      </c>
      <c r="K570" s="35" t="str">
        <f aca="false">IF(A570="","",DATE(YEAR(A570),MONTH(A570),1))</f>
        <v/>
      </c>
      <c r="L570" s="28" t="str">
        <f aca="false">IF(E570="","",IFERROR(INDEX(Settings!$K$8:$K$38,MATCH(E570,Settings!$H$8:$H$38,0))&amp;"",""))</f>
        <v/>
      </c>
    </row>
    <row r="571" customFormat="false" ht="15" hidden="false" customHeight="false" outlineLevel="0" collapsed="false">
      <c r="A571" s="33"/>
      <c r="B571" s="27"/>
      <c r="C571" s="27"/>
      <c r="D571" s="27"/>
      <c r="E571" s="27"/>
      <c r="F571" s="34"/>
      <c r="G571" s="27"/>
      <c r="H571" s="27"/>
      <c r="I571" s="28" t="str">
        <f aca="false">IF(C571="","",IFERROR(INDEX(Settings!$C$8:$C$19,MATCH(C571,Settings!$B$8:$B$19,0)),"?"))</f>
        <v/>
      </c>
      <c r="J571" s="28" t="str">
        <f aca="false">IF(G571="","",IFERROR(INDEX(Settings!$C$8:$C$19,MATCH(G571,Settings!$B$8:$B$19,0)),"?"))</f>
        <v/>
      </c>
      <c r="K571" s="35" t="str">
        <f aca="false">IF(A571="","",DATE(YEAR(A571),MONTH(A571),1))</f>
        <v/>
      </c>
      <c r="L571" s="28" t="str">
        <f aca="false">IF(E571="","",IFERROR(INDEX(Settings!$K$8:$K$38,MATCH(E571,Settings!$H$8:$H$38,0))&amp;"",""))</f>
        <v/>
      </c>
    </row>
    <row r="572" customFormat="false" ht="15" hidden="false" customHeight="false" outlineLevel="0" collapsed="false">
      <c r="A572" s="33"/>
      <c r="B572" s="27"/>
      <c r="C572" s="27"/>
      <c r="D572" s="27"/>
      <c r="E572" s="27"/>
      <c r="F572" s="34"/>
      <c r="G572" s="27"/>
      <c r="H572" s="27"/>
      <c r="I572" s="28" t="str">
        <f aca="false">IF(C572="","",IFERROR(INDEX(Settings!$C$8:$C$19,MATCH(C572,Settings!$B$8:$B$19,0)),"?"))</f>
        <v/>
      </c>
      <c r="J572" s="28" t="str">
        <f aca="false">IF(G572="","",IFERROR(INDEX(Settings!$C$8:$C$19,MATCH(G572,Settings!$B$8:$B$19,0)),"?"))</f>
        <v/>
      </c>
      <c r="K572" s="35" t="str">
        <f aca="false">IF(A572="","",DATE(YEAR(A572),MONTH(A572),1))</f>
        <v/>
      </c>
      <c r="L572" s="28" t="str">
        <f aca="false">IF(E572="","",IFERROR(INDEX(Settings!$K$8:$K$38,MATCH(E572,Settings!$H$8:$H$38,0))&amp;"",""))</f>
        <v/>
      </c>
    </row>
    <row r="573" customFormat="false" ht="15" hidden="false" customHeight="false" outlineLevel="0" collapsed="false">
      <c r="A573" s="33"/>
      <c r="B573" s="27"/>
      <c r="C573" s="27"/>
      <c r="D573" s="27"/>
      <c r="E573" s="27"/>
      <c r="F573" s="34"/>
      <c r="G573" s="27"/>
      <c r="H573" s="27"/>
      <c r="I573" s="28" t="str">
        <f aca="false">IF(C573="","",IFERROR(INDEX(Settings!$C$8:$C$19,MATCH(C573,Settings!$B$8:$B$19,0)),"?"))</f>
        <v/>
      </c>
      <c r="J573" s="28" t="str">
        <f aca="false">IF(G573="","",IFERROR(INDEX(Settings!$C$8:$C$19,MATCH(G573,Settings!$B$8:$B$19,0)),"?"))</f>
        <v/>
      </c>
      <c r="K573" s="35" t="str">
        <f aca="false">IF(A573="","",DATE(YEAR(A573),MONTH(A573),1))</f>
        <v/>
      </c>
      <c r="L573" s="28" t="str">
        <f aca="false">IF(E573="","",IFERROR(INDEX(Settings!$K$8:$K$38,MATCH(E573,Settings!$H$8:$H$38,0))&amp;"",""))</f>
        <v/>
      </c>
    </row>
    <row r="574" customFormat="false" ht="15" hidden="false" customHeight="false" outlineLevel="0" collapsed="false">
      <c r="A574" s="33"/>
      <c r="B574" s="27"/>
      <c r="C574" s="27"/>
      <c r="D574" s="27"/>
      <c r="E574" s="27"/>
      <c r="F574" s="34"/>
      <c r="G574" s="27"/>
      <c r="H574" s="27"/>
      <c r="I574" s="28" t="str">
        <f aca="false">IF(C574="","",IFERROR(INDEX(Settings!$C$8:$C$19,MATCH(C574,Settings!$B$8:$B$19,0)),"?"))</f>
        <v/>
      </c>
      <c r="J574" s="28" t="str">
        <f aca="false">IF(G574="","",IFERROR(INDEX(Settings!$C$8:$C$19,MATCH(G574,Settings!$B$8:$B$19,0)),"?"))</f>
        <v/>
      </c>
      <c r="K574" s="35" t="str">
        <f aca="false">IF(A574="","",DATE(YEAR(A574),MONTH(A574),1))</f>
        <v/>
      </c>
      <c r="L574" s="28" t="str">
        <f aca="false">IF(E574="","",IFERROR(INDEX(Settings!$K$8:$K$38,MATCH(E574,Settings!$H$8:$H$38,0))&amp;"",""))</f>
        <v/>
      </c>
    </row>
    <row r="575" customFormat="false" ht="15" hidden="false" customHeight="false" outlineLevel="0" collapsed="false">
      <c r="A575" s="33"/>
      <c r="B575" s="27"/>
      <c r="C575" s="27"/>
      <c r="D575" s="27"/>
      <c r="E575" s="27"/>
      <c r="F575" s="34"/>
      <c r="G575" s="27"/>
      <c r="H575" s="27"/>
      <c r="I575" s="28" t="str">
        <f aca="false">IF(C575="","",IFERROR(INDEX(Settings!$C$8:$C$19,MATCH(C575,Settings!$B$8:$B$19,0)),"?"))</f>
        <v/>
      </c>
      <c r="J575" s="28" t="str">
        <f aca="false">IF(G575="","",IFERROR(INDEX(Settings!$C$8:$C$19,MATCH(G575,Settings!$B$8:$B$19,0)),"?"))</f>
        <v/>
      </c>
      <c r="K575" s="35" t="str">
        <f aca="false">IF(A575="","",DATE(YEAR(A575),MONTH(A575),1))</f>
        <v/>
      </c>
      <c r="L575" s="28" t="str">
        <f aca="false">IF(E575="","",IFERROR(INDEX(Settings!$K$8:$K$38,MATCH(E575,Settings!$H$8:$H$38,0))&amp;"",""))</f>
        <v/>
      </c>
    </row>
    <row r="576" customFormat="false" ht="15" hidden="false" customHeight="false" outlineLevel="0" collapsed="false">
      <c r="A576" s="33"/>
      <c r="B576" s="27"/>
      <c r="C576" s="27"/>
      <c r="D576" s="27"/>
      <c r="E576" s="27"/>
      <c r="F576" s="34"/>
      <c r="G576" s="27"/>
      <c r="H576" s="27"/>
      <c r="I576" s="28" t="str">
        <f aca="false">IF(C576="","",IFERROR(INDEX(Settings!$C$8:$C$19,MATCH(C576,Settings!$B$8:$B$19,0)),"?"))</f>
        <v/>
      </c>
      <c r="J576" s="28" t="str">
        <f aca="false">IF(G576="","",IFERROR(INDEX(Settings!$C$8:$C$19,MATCH(G576,Settings!$B$8:$B$19,0)),"?"))</f>
        <v/>
      </c>
      <c r="K576" s="35" t="str">
        <f aca="false">IF(A576="","",DATE(YEAR(A576),MONTH(A576),1))</f>
        <v/>
      </c>
      <c r="L576" s="28" t="str">
        <f aca="false">IF(E576="","",IFERROR(INDEX(Settings!$K$8:$K$38,MATCH(E576,Settings!$H$8:$H$38,0))&amp;"",""))</f>
        <v/>
      </c>
    </row>
    <row r="577" customFormat="false" ht="15" hidden="false" customHeight="false" outlineLevel="0" collapsed="false">
      <c r="A577" s="33"/>
      <c r="B577" s="27"/>
      <c r="C577" s="27"/>
      <c r="D577" s="27"/>
      <c r="E577" s="27"/>
      <c r="F577" s="34"/>
      <c r="G577" s="27"/>
      <c r="H577" s="27"/>
      <c r="I577" s="28" t="str">
        <f aca="false">IF(C577="","",IFERROR(INDEX(Settings!$C$8:$C$19,MATCH(C577,Settings!$B$8:$B$19,0)),"?"))</f>
        <v/>
      </c>
      <c r="J577" s="28" t="str">
        <f aca="false">IF(G577="","",IFERROR(INDEX(Settings!$C$8:$C$19,MATCH(G577,Settings!$B$8:$B$19,0)),"?"))</f>
        <v/>
      </c>
      <c r="K577" s="35" t="str">
        <f aca="false">IF(A577="","",DATE(YEAR(A577),MONTH(A577),1))</f>
        <v/>
      </c>
      <c r="L577" s="28" t="str">
        <f aca="false">IF(E577="","",IFERROR(INDEX(Settings!$K$8:$K$38,MATCH(E577,Settings!$H$8:$H$38,0))&amp;"",""))</f>
        <v/>
      </c>
    </row>
    <row r="578" customFormat="false" ht="15" hidden="false" customHeight="false" outlineLevel="0" collapsed="false">
      <c r="A578" s="33"/>
      <c r="B578" s="27"/>
      <c r="C578" s="27"/>
      <c r="D578" s="27"/>
      <c r="E578" s="27"/>
      <c r="F578" s="34"/>
      <c r="G578" s="27"/>
      <c r="H578" s="27"/>
      <c r="I578" s="28" t="str">
        <f aca="false">IF(C578="","",IFERROR(INDEX(Settings!$C$8:$C$19,MATCH(C578,Settings!$B$8:$B$19,0)),"?"))</f>
        <v/>
      </c>
      <c r="J578" s="28" t="str">
        <f aca="false">IF(G578="","",IFERROR(INDEX(Settings!$C$8:$C$19,MATCH(G578,Settings!$B$8:$B$19,0)),"?"))</f>
        <v/>
      </c>
      <c r="K578" s="35" t="str">
        <f aca="false">IF(A578="","",DATE(YEAR(A578),MONTH(A578),1))</f>
        <v/>
      </c>
      <c r="L578" s="28" t="str">
        <f aca="false">IF(E578="","",IFERROR(INDEX(Settings!$K$8:$K$38,MATCH(E578,Settings!$H$8:$H$38,0))&amp;"",""))</f>
        <v/>
      </c>
    </row>
    <row r="579" customFormat="false" ht="15" hidden="false" customHeight="false" outlineLevel="0" collapsed="false">
      <c r="A579" s="33"/>
      <c r="B579" s="27"/>
      <c r="C579" s="27"/>
      <c r="D579" s="27"/>
      <c r="E579" s="27"/>
      <c r="F579" s="34"/>
      <c r="G579" s="27"/>
      <c r="H579" s="27"/>
      <c r="I579" s="28" t="str">
        <f aca="false">IF(C579="","",IFERROR(INDEX(Settings!$C$8:$C$19,MATCH(C579,Settings!$B$8:$B$19,0)),"?"))</f>
        <v/>
      </c>
      <c r="J579" s="28" t="str">
        <f aca="false">IF(G579="","",IFERROR(INDEX(Settings!$C$8:$C$19,MATCH(G579,Settings!$B$8:$B$19,0)),"?"))</f>
        <v/>
      </c>
      <c r="K579" s="35" t="str">
        <f aca="false">IF(A579="","",DATE(YEAR(A579),MONTH(A579),1))</f>
        <v/>
      </c>
      <c r="L579" s="28" t="str">
        <f aca="false">IF(E579="","",IFERROR(INDEX(Settings!$K$8:$K$38,MATCH(E579,Settings!$H$8:$H$38,0))&amp;"",""))</f>
        <v/>
      </c>
    </row>
    <row r="580" customFormat="false" ht="15" hidden="false" customHeight="false" outlineLevel="0" collapsed="false">
      <c r="A580" s="33"/>
      <c r="B580" s="27"/>
      <c r="C580" s="27"/>
      <c r="D580" s="27"/>
      <c r="E580" s="27"/>
      <c r="F580" s="34"/>
      <c r="G580" s="27"/>
      <c r="H580" s="27"/>
      <c r="I580" s="28" t="str">
        <f aca="false">IF(C580="","",IFERROR(INDEX(Settings!$C$8:$C$19,MATCH(C580,Settings!$B$8:$B$19,0)),"?"))</f>
        <v/>
      </c>
      <c r="J580" s="28" t="str">
        <f aca="false">IF(G580="","",IFERROR(INDEX(Settings!$C$8:$C$19,MATCH(G580,Settings!$B$8:$B$19,0)),"?"))</f>
        <v/>
      </c>
      <c r="K580" s="35" t="str">
        <f aca="false">IF(A580="","",DATE(YEAR(A580),MONTH(A580),1))</f>
        <v/>
      </c>
      <c r="L580" s="28" t="str">
        <f aca="false">IF(E580="","",IFERROR(INDEX(Settings!$K$8:$K$38,MATCH(E580,Settings!$H$8:$H$38,0))&amp;"",""))</f>
        <v/>
      </c>
    </row>
    <row r="581" customFormat="false" ht="15" hidden="false" customHeight="false" outlineLevel="0" collapsed="false">
      <c r="A581" s="33"/>
      <c r="B581" s="27"/>
      <c r="C581" s="27"/>
      <c r="D581" s="27"/>
      <c r="E581" s="27"/>
      <c r="F581" s="34"/>
      <c r="G581" s="27"/>
      <c r="H581" s="27"/>
      <c r="I581" s="28" t="str">
        <f aca="false">IF(C581="","",IFERROR(INDEX(Settings!$C$8:$C$19,MATCH(C581,Settings!$B$8:$B$19,0)),"?"))</f>
        <v/>
      </c>
      <c r="J581" s="28" t="str">
        <f aca="false">IF(G581="","",IFERROR(INDEX(Settings!$C$8:$C$19,MATCH(G581,Settings!$B$8:$B$19,0)),"?"))</f>
        <v/>
      </c>
      <c r="K581" s="35" t="str">
        <f aca="false">IF(A581="","",DATE(YEAR(A581),MONTH(A581),1))</f>
        <v/>
      </c>
      <c r="L581" s="28" t="str">
        <f aca="false">IF(E581="","",IFERROR(INDEX(Settings!$K$8:$K$38,MATCH(E581,Settings!$H$8:$H$38,0))&amp;"",""))</f>
        <v/>
      </c>
    </row>
    <row r="582" customFormat="false" ht="15" hidden="false" customHeight="false" outlineLevel="0" collapsed="false">
      <c r="A582" s="33"/>
      <c r="B582" s="27"/>
      <c r="C582" s="27"/>
      <c r="D582" s="27"/>
      <c r="E582" s="27"/>
      <c r="F582" s="34"/>
      <c r="G582" s="27"/>
      <c r="H582" s="27"/>
      <c r="I582" s="28" t="str">
        <f aca="false">IF(C582="","",IFERROR(INDEX(Settings!$C$8:$C$19,MATCH(C582,Settings!$B$8:$B$19,0)),"?"))</f>
        <v/>
      </c>
      <c r="J582" s="28" t="str">
        <f aca="false">IF(G582="","",IFERROR(INDEX(Settings!$C$8:$C$19,MATCH(G582,Settings!$B$8:$B$19,0)),"?"))</f>
        <v/>
      </c>
      <c r="K582" s="35" t="str">
        <f aca="false">IF(A582="","",DATE(YEAR(A582),MONTH(A582),1))</f>
        <v/>
      </c>
      <c r="L582" s="28" t="str">
        <f aca="false">IF(E582="","",IFERROR(INDEX(Settings!$K$8:$K$38,MATCH(E582,Settings!$H$8:$H$38,0))&amp;"",""))</f>
        <v/>
      </c>
    </row>
    <row r="583" customFormat="false" ht="15" hidden="false" customHeight="false" outlineLevel="0" collapsed="false">
      <c r="A583" s="33"/>
      <c r="B583" s="27"/>
      <c r="C583" s="27"/>
      <c r="D583" s="27"/>
      <c r="E583" s="27"/>
      <c r="F583" s="34"/>
      <c r="G583" s="27"/>
      <c r="H583" s="27"/>
      <c r="I583" s="28" t="str">
        <f aca="false">IF(C583="","",IFERROR(INDEX(Settings!$C$8:$C$19,MATCH(C583,Settings!$B$8:$B$19,0)),"?"))</f>
        <v/>
      </c>
      <c r="J583" s="28" t="str">
        <f aca="false">IF(G583="","",IFERROR(INDEX(Settings!$C$8:$C$19,MATCH(G583,Settings!$B$8:$B$19,0)),"?"))</f>
        <v/>
      </c>
      <c r="K583" s="35" t="str">
        <f aca="false">IF(A583="","",DATE(YEAR(A583),MONTH(A583),1))</f>
        <v/>
      </c>
      <c r="L583" s="28" t="str">
        <f aca="false">IF(E583="","",IFERROR(INDEX(Settings!$K$8:$K$38,MATCH(E583,Settings!$H$8:$H$38,0))&amp;"",""))</f>
        <v/>
      </c>
    </row>
    <row r="584" customFormat="false" ht="15" hidden="false" customHeight="false" outlineLevel="0" collapsed="false">
      <c r="A584" s="33"/>
      <c r="B584" s="27"/>
      <c r="C584" s="27"/>
      <c r="D584" s="27"/>
      <c r="E584" s="27"/>
      <c r="F584" s="34"/>
      <c r="G584" s="27"/>
      <c r="H584" s="27"/>
      <c r="I584" s="28" t="str">
        <f aca="false">IF(C584="","",IFERROR(INDEX(Settings!$C$8:$C$19,MATCH(C584,Settings!$B$8:$B$19,0)),"?"))</f>
        <v/>
      </c>
      <c r="J584" s="28" t="str">
        <f aca="false">IF(G584="","",IFERROR(INDEX(Settings!$C$8:$C$19,MATCH(G584,Settings!$B$8:$B$19,0)),"?"))</f>
        <v/>
      </c>
      <c r="K584" s="35" t="str">
        <f aca="false">IF(A584="","",DATE(YEAR(A584),MONTH(A584),1))</f>
        <v/>
      </c>
      <c r="L584" s="28" t="str">
        <f aca="false">IF(E584="","",IFERROR(INDEX(Settings!$K$8:$K$38,MATCH(E584,Settings!$H$8:$H$38,0))&amp;"",""))</f>
        <v/>
      </c>
    </row>
    <row r="585" customFormat="false" ht="15" hidden="false" customHeight="false" outlineLevel="0" collapsed="false">
      <c r="A585" s="33"/>
      <c r="B585" s="27"/>
      <c r="C585" s="27"/>
      <c r="D585" s="27"/>
      <c r="E585" s="27"/>
      <c r="F585" s="34"/>
      <c r="G585" s="27"/>
      <c r="H585" s="27"/>
      <c r="I585" s="28" t="str">
        <f aca="false">IF(C585="","",IFERROR(INDEX(Settings!$C$8:$C$19,MATCH(C585,Settings!$B$8:$B$19,0)),"?"))</f>
        <v/>
      </c>
      <c r="J585" s="28" t="str">
        <f aca="false">IF(G585="","",IFERROR(INDEX(Settings!$C$8:$C$19,MATCH(G585,Settings!$B$8:$B$19,0)),"?"))</f>
        <v/>
      </c>
      <c r="K585" s="35" t="str">
        <f aca="false">IF(A585="","",DATE(YEAR(A585),MONTH(A585),1))</f>
        <v/>
      </c>
      <c r="L585" s="28" t="str">
        <f aca="false">IF(E585="","",IFERROR(INDEX(Settings!$K$8:$K$38,MATCH(E585,Settings!$H$8:$H$38,0))&amp;"",""))</f>
        <v/>
      </c>
    </row>
    <row r="586" customFormat="false" ht="15" hidden="false" customHeight="false" outlineLevel="0" collapsed="false">
      <c r="A586" s="33"/>
      <c r="B586" s="27"/>
      <c r="C586" s="27"/>
      <c r="D586" s="27"/>
      <c r="E586" s="27"/>
      <c r="F586" s="34"/>
      <c r="G586" s="27"/>
      <c r="H586" s="27"/>
      <c r="I586" s="28" t="str">
        <f aca="false">IF(C586="","",IFERROR(INDEX(Settings!$C$8:$C$19,MATCH(C586,Settings!$B$8:$B$19,0)),"?"))</f>
        <v/>
      </c>
      <c r="J586" s="28" t="str">
        <f aca="false">IF(G586="","",IFERROR(INDEX(Settings!$C$8:$C$19,MATCH(G586,Settings!$B$8:$B$19,0)),"?"))</f>
        <v/>
      </c>
      <c r="K586" s="35" t="str">
        <f aca="false">IF(A586="","",DATE(YEAR(A586),MONTH(A586),1))</f>
        <v/>
      </c>
      <c r="L586" s="28" t="str">
        <f aca="false">IF(E586="","",IFERROR(INDEX(Settings!$K$8:$K$38,MATCH(E586,Settings!$H$8:$H$38,0))&amp;"",""))</f>
        <v/>
      </c>
    </row>
    <row r="587" customFormat="false" ht="15" hidden="false" customHeight="false" outlineLevel="0" collapsed="false">
      <c r="A587" s="33"/>
      <c r="B587" s="27"/>
      <c r="C587" s="27"/>
      <c r="D587" s="27"/>
      <c r="E587" s="27"/>
      <c r="F587" s="34"/>
      <c r="G587" s="27"/>
      <c r="H587" s="27"/>
      <c r="I587" s="28" t="str">
        <f aca="false">IF(C587="","",IFERROR(INDEX(Settings!$C$8:$C$19,MATCH(C587,Settings!$B$8:$B$19,0)),"?"))</f>
        <v/>
      </c>
      <c r="J587" s="28" t="str">
        <f aca="false">IF(G587="","",IFERROR(INDEX(Settings!$C$8:$C$19,MATCH(G587,Settings!$B$8:$B$19,0)),"?"))</f>
        <v/>
      </c>
      <c r="K587" s="35" t="str">
        <f aca="false">IF(A587="","",DATE(YEAR(A587),MONTH(A587),1))</f>
        <v/>
      </c>
      <c r="L587" s="28" t="str">
        <f aca="false">IF(E587="","",IFERROR(INDEX(Settings!$K$8:$K$38,MATCH(E587,Settings!$H$8:$H$38,0))&amp;"",""))</f>
        <v/>
      </c>
    </row>
    <row r="588" customFormat="false" ht="15" hidden="false" customHeight="false" outlineLevel="0" collapsed="false">
      <c r="A588" s="33"/>
      <c r="B588" s="27"/>
      <c r="C588" s="27"/>
      <c r="D588" s="27"/>
      <c r="E588" s="27"/>
      <c r="F588" s="34"/>
      <c r="G588" s="27"/>
      <c r="H588" s="27"/>
      <c r="I588" s="28" t="str">
        <f aca="false">IF(C588="","",IFERROR(INDEX(Settings!$C$8:$C$19,MATCH(C588,Settings!$B$8:$B$19,0)),"?"))</f>
        <v/>
      </c>
      <c r="J588" s="28" t="str">
        <f aca="false">IF(G588="","",IFERROR(INDEX(Settings!$C$8:$C$19,MATCH(G588,Settings!$B$8:$B$19,0)),"?"))</f>
        <v/>
      </c>
      <c r="K588" s="35" t="str">
        <f aca="false">IF(A588="","",DATE(YEAR(A588),MONTH(A588),1))</f>
        <v/>
      </c>
      <c r="L588" s="28" t="str">
        <f aca="false">IF(E588="","",IFERROR(INDEX(Settings!$K$8:$K$38,MATCH(E588,Settings!$H$8:$H$38,0))&amp;"",""))</f>
        <v/>
      </c>
    </row>
    <row r="589" customFormat="false" ht="15" hidden="false" customHeight="false" outlineLevel="0" collapsed="false">
      <c r="A589" s="33"/>
      <c r="B589" s="27"/>
      <c r="C589" s="27"/>
      <c r="D589" s="27"/>
      <c r="E589" s="27"/>
      <c r="F589" s="34"/>
      <c r="G589" s="27"/>
      <c r="H589" s="27"/>
      <c r="I589" s="28" t="str">
        <f aca="false">IF(C589="","",IFERROR(INDEX(Settings!$C$8:$C$19,MATCH(C589,Settings!$B$8:$B$19,0)),"?"))</f>
        <v/>
      </c>
      <c r="J589" s="28" t="str">
        <f aca="false">IF(G589="","",IFERROR(INDEX(Settings!$C$8:$C$19,MATCH(G589,Settings!$B$8:$B$19,0)),"?"))</f>
        <v/>
      </c>
      <c r="K589" s="35" t="str">
        <f aca="false">IF(A589="","",DATE(YEAR(A589),MONTH(A589),1))</f>
        <v/>
      </c>
      <c r="L589" s="28" t="str">
        <f aca="false">IF(E589="","",IFERROR(INDEX(Settings!$K$8:$K$38,MATCH(E589,Settings!$H$8:$H$38,0))&amp;"",""))</f>
        <v/>
      </c>
    </row>
    <row r="590" customFormat="false" ht="15" hidden="false" customHeight="false" outlineLevel="0" collapsed="false">
      <c r="A590" s="33"/>
      <c r="B590" s="27"/>
      <c r="C590" s="27"/>
      <c r="D590" s="27"/>
      <c r="E590" s="27"/>
      <c r="F590" s="34"/>
      <c r="G590" s="27"/>
      <c r="H590" s="27"/>
      <c r="I590" s="28" t="str">
        <f aca="false">IF(C590="","",IFERROR(INDEX(Settings!$C$8:$C$19,MATCH(C590,Settings!$B$8:$B$19,0)),"?"))</f>
        <v/>
      </c>
      <c r="J590" s="28" t="str">
        <f aca="false">IF(G590="","",IFERROR(INDEX(Settings!$C$8:$C$19,MATCH(G590,Settings!$B$8:$B$19,0)),"?"))</f>
        <v/>
      </c>
      <c r="K590" s="35" t="str">
        <f aca="false">IF(A590="","",DATE(YEAR(A590),MONTH(A590),1))</f>
        <v/>
      </c>
      <c r="L590" s="28" t="str">
        <f aca="false">IF(E590="","",IFERROR(INDEX(Settings!$K$8:$K$38,MATCH(E590,Settings!$H$8:$H$38,0))&amp;"",""))</f>
        <v/>
      </c>
    </row>
    <row r="591" customFormat="false" ht="15" hidden="false" customHeight="false" outlineLevel="0" collapsed="false">
      <c r="A591" s="33"/>
      <c r="B591" s="27"/>
      <c r="C591" s="27"/>
      <c r="D591" s="27"/>
      <c r="E591" s="27"/>
      <c r="F591" s="34"/>
      <c r="G591" s="27"/>
      <c r="H591" s="27"/>
      <c r="I591" s="28" t="str">
        <f aca="false">IF(C591="","",IFERROR(INDEX(Settings!$C$8:$C$19,MATCH(C591,Settings!$B$8:$B$19,0)),"?"))</f>
        <v/>
      </c>
      <c r="J591" s="28" t="str">
        <f aca="false">IF(G591="","",IFERROR(INDEX(Settings!$C$8:$C$19,MATCH(G591,Settings!$B$8:$B$19,0)),"?"))</f>
        <v/>
      </c>
      <c r="K591" s="35" t="str">
        <f aca="false">IF(A591="","",DATE(YEAR(A591),MONTH(A591),1))</f>
        <v/>
      </c>
      <c r="L591" s="28" t="str">
        <f aca="false">IF(E591="","",IFERROR(INDEX(Settings!$K$8:$K$38,MATCH(E591,Settings!$H$8:$H$38,0))&amp;"",""))</f>
        <v/>
      </c>
    </row>
    <row r="592" customFormat="false" ht="15" hidden="false" customHeight="false" outlineLevel="0" collapsed="false">
      <c r="A592" s="33"/>
      <c r="B592" s="27"/>
      <c r="C592" s="27"/>
      <c r="D592" s="27"/>
      <c r="E592" s="27"/>
      <c r="F592" s="34"/>
      <c r="G592" s="27"/>
      <c r="H592" s="27"/>
      <c r="I592" s="28" t="str">
        <f aca="false">IF(C592="","",IFERROR(INDEX(Settings!$C$8:$C$19,MATCH(C592,Settings!$B$8:$B$19,0)),"?"))</f>
        <v/>
      </c>
      <c r="J592" s="28" t="str">
        <f aca="false">IF(G592="","",IFERROR(INDEX(Settings!$C$8:$C$19,MATCH(G592,Settings!$B$8:$B$19,0)),"?"))</f>
        <v/>
      </c>
      <c r="K592" s="35" t="str">
        <f aca="false">IF(A592="","",DATE(YEAR(A592),MONTH(A592),1))</f>
        <v/>
      </c>
      <c r="L592" s="28" t="str">
        <f aca="false">IF(E592="","",IFERROR(INDEX(Settings!$K$8:$K$38,MATCH(E592,Settings!$H$8:$H$38,0))&amp;"",""))</f>
        <v/>
      </c>
    </row>
    <row r="593" customFormat="false" ht="15" hidden="false" customHeight="false" outlineLevel="0" collapsed="false">
      <c r="A593" s="33"/>
      <c r="B593" s="27"/>
      <c r="C593" s="27"/>
      <c r="D593" s="27"/>
      <c r="E593" s="27"/>
      <c r="F593" s="34"/>
      <c r="G593" s="27"/>
      <c r="H593" s="27"/>
      <c r="I593" s="28" t="str">
        <f aca="false">IF(C593="","",IFERROR(INDEX(Settings!$C$8:$C$19,MATCH(C593,Settings!$B$8:$B$19,0)),"?"))</f>
        <v/>
      </c>
      <c r="J593" s="28" t="str">
        <f aca="false">IF(G593="","",IFERROR(INDEX(Settings!$C$8:$C$19,MATCH(G593,Settings!$B$8:$B$19,0)),"?"))</f>
        <v/>
      </c>
      <c r="K593" s="35" t="str">
        <f aca="false">IF(A593="","",DATE(YEAR(A593),MONTH(A593),1))</f>
        <v/>
      </c>
      <c r="L593" s="28" t="str">
        <f aca="false">IF(E593="","",IFERROR(INDEX(Settings!$K$8:$K$38,MATCH(E593,Settings!$H$8:$H$38,0))&amp;"",""))</f>
        <v/>
      </c>
    </row>
    <row r="594" customFormat="false" ht="15" hidden="false" customHeight="false" outlineLevel="0" collapsed="false">
      <c r="A594" s="33"/>
      <c r="B594" s="27"/>
      <c r="C594" s="27"/>
      <c r="D594" s="27"/>
      <c r="E594" s="27"/>
      <c r="F594" s="34"/>
      <c r="G594" s="27"/>
      <c r="H594" s="27"/>
      <c r="I594" s="28" t="str">
        <f aca="false">IF(C594="","",IFERROR(INDEX(Settings!$C$8:$C$19,MATCH(C594,Settings!$B$8:$B$19,0)),"?"))</f>
        <v/>
      </c>
      <c r="J594" s="28" t="str">
        <f aca="false">IF(G594="","",IFERROR(INDEX(Settings!$C$8:$C$19,MATCH(G594,Settings!$B$8:$B$19,0)),"?"))</f>
        <v/>
      </c>
      <c r="K594" s="35" t="str">
        <f aca="false">IF(A594="","",DATE(YEAR(A594),MONTH(A594),1))</f>
        <v/>
      </c>
      <c r="L594" s="28" t="str">
        <f aca="false">IF(E594="","",IFERROR(INDEX(Settings!$K$8:$K$38,MATCH(E594,Settings!$H$8:$H$38,0))&amp;"",""))</f>
        <v/>
      </c>
    </row>
    <row r="595" customFormat="false" ht="15" hidden="false" customHeight="false" outlineLevel="0" collapsed="false">
      <c r="A595" s="33"/>
      <c r="B595" s="27"/>
      <c r="C595" s="27"/>
      <c r="D595" s="27"/>
      <c r="E595" s="27"/>
      <c r="F595" s="34"/>
      <c r="G595" s="27"/>
      <c r="H595" s="27"/>
      <c r="I595" s="28" t="str">
        <f aca="false">IF(C595="","",IFERROR(INDEX(Settings!$C$8:$C$19,MATCH(C595,Settings!$B$8:$B$19,0)),"?"))</f>
        <v/>
      </c>
      <c r="J595" s="28" t="str">
        <f aca="false">IF(G595="","",IFERROR(INDEX(Settings!$C$8:$C$19,MATCH(G595,Settings!$B$8:$B$19,0)),"?"))</f>
        <v/>
      </c>
      <c r="K595" s="35" t="str">
        <f aca="false">IF(A595="","",DATE(YEAR(A595),MONTH(A595),1))</f>
        <v/>
      </c>
      <c r="L595" s="28" t="str">
        <f aca="false">IF(E595="","",IFERROR(INDEX(Settings!$K$8:$K$38,MATCH(E595,Settings!$H$8:$H$38,0))&amp;"",""))</f>
        <v/>
      </c>
    </row>
    <row r="596" customFormat="false" ht="15" hidden="false" customHeight="false" outlineLevel="0" collapsed="false">
      <c r="A596" s="33"/>
      <c r="B596" s="27"/>
      <c r="C596" s="27"/>
      <c r="D596" s="27"/>
      <c r="E596" s="27"/>
      <c r="F596" s="34"/>
      <c r="G596" s="27"/>
      <c r="H596" s="27"/>
      <c r="I596" s="28" t="str">
        <f aca="false">IF(C596="","",IFERROR(INDEX(Settings!$C$8:$C$19,MATCH(C596,Settings!$B$8:$B$19,0)),"?"))</f>
        <v/>
      </c>
      <c r="J596" s="28" t="str">
        <f aca="false">IF(G596="","",IFERROR(INDEX(Settings!$C$8:$C$19,MATCH(G596,Settings!$B$8:$B$19,0)),"?"))</f>
        <v/>
      </c>
      <c r="K596" s="35" t="str">
        <f aca="false">IF(A596="","",DATE(YEAR(A596),MONTH(A596),1))</f>
        <v/>
      </c>
      <c r="L596" s="28" t="str">
        <f aca="false">IF(E596="","",IFERROR(INDEX(Settings!$K$8:$K$38,MATCH(E596,Settings!$H$8:$H$38,0))&amp;"",""))</f>
        <v/>
      </c>
    </row>
    <row r="597" customFormat="false" ht="15" hidden="false" customHeight="false" outlineLevel="0" collapsed="false">
      <c r="A597" s="33"/>
      <c r="B597" s="27"/>
      <c r="C597" s="27"/>
      <c r="D597" s="27"/>
      <c r="E597" s="27"/>
      <c r="F597" s="34"/>
      <c r="G597" s="27"/>
      <c r="H597" s="27"/>
      <c r="I597" s="28" t="str">
        <f aca="false">IF(C597="","",IFERROR(INDEX(Settings!$C$8:$C$19,MATCH(C597,Settings!$B$8:$B$19,0)),"?"))</f>
        <v/>
      </c>
      <c r="J597" s="28" t="str">
        <f aca="false">IF(G597="","",IFERROR(INDEX(Settings!$C$8:$C$19,MATCH(G597,Settings!$B$8:$B$19,0)),"?"))</f>
        <v/>
      </c>
      <c r="K597" s="35" t="str">
        <f aca="false">IF(A597="","",DATE(YEAR(A597),MONTH(A597),1))</f>
        <v/>
      </c>
      <c r="L597" s="28" t="str">
        <f aca="false">IF(E597="","",IFERROR(INDEX(Settings!$K$8:$K$38,MATCH(E597,Settings!$H$8:$H$38,0))&amp;"",""))</f>
        <v/>
      </c>
    </row>
    <row r="598" customFormat="false" ht="15" hidden="false" customHeight="false" outlineLevel="0" collapsed="false">
      <c r="A598" s="33"/>
      <c r="B598" s="27"/>
      <c r="C598" s="27"/>
      <c r="D598" s="27"/>
      <c r="E598" s="27"/>
      <c r="F598" s="34"/>
      <c r="G598" s="27"/>
      <c r="H598" s="27"/>
      <c r="I598" s="28" t="str">
        <f aca="false">IF(C598="","",IFERROR(INDEX(Settings!$C$8:$C$19,MATCH(C598,Settings!$B$8:$B$19,0)),"?"))</f>
        <v/>
      </c>
      <c r="J598" s="28" t="str">
        <f aca="false">IF(G598="","",IFERROR(INDEX(Settings!$C$8:$C$19,MATCH(G598,Settings!$B$8:$B$19,0)),"?"))</f>
        <v/>
      </c>
      <c r="K598" s="35" t="str">
        <f aca="false">IF(A598="","",DATE(YEAR(A598),MONTH(A598),1))</f>
        <v/>
      </c>
      <c r="L598" s="28" t="str">
        <f aca="false">IF(E598="","",IFERROR(INDEX(Settings!$K$8:$K$38,MATCH(E598,Settings!$H$8:$H$38,0))&amp;"",""))</f>
        <v/>
      </c>
    </row>
    <row r="599" customFormat="false" ht="15" hidden="false" customHeight="false" outlineLevel="0" collapsed="false">
      <c r="A599" s="33"/>
      <c r="B599" s="27"/>
      <c r="C599" s="27"/>
      <c r="D599" s="27"/>
      <c r="E599" s="27"/>
      <c r="F599" s="34"/>
      <c r="G599" s="27"/>
      <c r="H599" s="27"/>
      <c r="I599" s="28" t="str">
        <f aca="false">IF(C599="","",IFERROR(INDEX(Settings!$C$8:$C$19,MATCH(C599,Settings!$B$8:$B$19,0)),"?"))</f>
        <v/>
      </c>
      <c r="J599" s="28" t="str">
        <f aca="false">IF(G599="","",IFERROR(INDEX(Settings!$C$8:$C$19,MATCH(G599,Settings!$B$8:$B$19,0)),"?"))</f>
        <v/>
      </c>
      <c r="K599" s="35" t="str">
        <f aca="false">IF(A599="","",DATE(YEAR(A599),MONTH(A599),1))</f>
        <v/>
      </c>
      <c r="L599" s="28" t="str">
        <f aca="false">IF(E599="","",IFERROR(INDEX(Settings!$K$8:$K$38,MATCH(E599,Settings!$H$8:$H$38,0))&amp;"",""))</f>
        <v/>
      </c>
    </row>
    <row r="600" customFormat="false" ht="15" hidden="false" customHeight="false" outlineLevel="0" collapsed="false">
      <c r="A600" s="33"/>
      <c r="B600" s="27"/>
      <c r="C600" s="27"/>
      <c r="D600" s="27"/>
      <c r="E600" s="27"/>
      <c r="F600" s="34"/>
      <c r="G600" s="27"/>
      <c r="H600" s="27"/>
      <c r="I600" s="28" t="str">
        <f aca="false">IF(C600="","",IFERROR(INDEX(Settings!$C$8:$C$19,MATCH(C600,Settings!$B$8:$B$19,0)),"?"))</f>
        <v/>
      </c>
      <c r="J600" s="28" t="str">
        <f aca="false">IF(G600="","",IFERROR(INDEX(Settings!$C$8:$C$19,MATCH(G600,Settings!$B$8:$B$19,0)),"?"))</f>
        <v/>
      </c>
      <c r="K600" s="35" t="str">
        <f aca="false">IF(A600="","",DATE(YEAR(A600),MONTH(A600),1))</f>
        <v/>
      </c>
      <c r="L600" s="28" t="str">
        <f aca="false">IF(E600="","",IFERROR(INDEX(Settings!$K$8:$K$38,MATCH(E600,Settings!$H$8:$H$38,0))&amp;"",""))</f>
        <v/>
      </c>
    </row>
    <row r="601" customFormat="false" ht="15" hidden="false" customHeight="false" outlineLevel="0" collapsed="false">
      <c r="A601" s="33"/>
      <c r="B601" s="27"/>
      <c r="C601" s="27"/>
      <c r="D601" s="27"/>
      <c r="E601" s="27"/>
      <c r="F601" s="34"/>
      <c r="G601" s="27"/>
      <c r="H601" s="27"/>
      <c r="I601" s="28" t="str">
        <f aca="false">IF(C601="","",IFERROR(INDEX(Settings!$C$8:$C$19,MATCH(C601,Settings!$B$8:$B$19,0)),"?"))</f>
        <v/>
      </c>
      <c r="J601" s="28" t="str">
        <f aca="false">IF(G601="","",IFERROR(INDEX(Settings!$C$8:$C$19,MATCH(G601,Settings!$B$8:$B$19,0)),"?"))</f>
        <v/>
      </c>
      <c r="K601" s="35" t="str">
        <f aca="false">IF(A601="","",DATE(YEAR(A601),MONTH(A601),1))</f>
        <v/>
      </c>
      <c r="L601" s="28" t="str">
        <f aca="false">IF(E601="","",IFERROR(INDEX(Settings!$K$8:$K$38,MATCH(E601,Settings!$H$8:$H$38,0))&amp;"",""))</f>
        <v/>
      </c>
    </row>
    <row r="602" customFormat="false" ht="15" hidden="false" customHeight="false" outlineLevel="0" collapsed="false">
      <c r="A602" s="33"/>
      <c r="B602" s="27"/>
      <c r="C602" s="27"/>
      <c r="D602" s="27"/>
      <c r="E602" s="27"/>
      <c r="F602" s="34"/>
      <c r="G602" s="27"/>
      <c r="H602" s="27"/>
      <c r="I602" s="28" t="str">
        <f aca="false">IF(C602="","",IFERROR(INDEX(Settings!$C$8:$C$19,MATCH(C602,Settings!$B$8:$B$19,0)),"?"))</f>
        <v/>
      </c>
      <c r="J602" s="28" t="str">
        <f aca="false">IF(G602="","",IFERROR(INDEX(Settings!$C$8:$C$19,MATCH(G602,Settings!$B$8:$B$19,0)),"?"))</f>
        <v/>
      </c>
      <c r="K602" s="35" t="str">
        <f aca="false">IF(A602="","",DATE(YEAR(A602),MONTH(A602),1))</f>
        <v/>
      </c>
      <c r="L602" s="28" t="str">
        <f aca="false">IF(E602="","",IFERROR(INDEX(Settings!$K$8:$K$38,MATCH(E602,Settings!$H$8:$H$38,0))&amp;"",""))</f>
        <v/>
      </c>
    </row>
    <row r="603" customFormat="false" ht="15" hidden="false" customHeight="false" outlineLevel="0" collapsed="false">
      <c r="A603" s="33"/>
      <c r="B603" s="27"/>
      <c r="C603" s="27"/>
      <c r="D603" s="27"/>
      <c r="E603" s="27"/>
      <c r="F603" s="34"/>
      <c r="G603" s="27"/>
      <c r="H603" s="27"/>
      <c r="I603" s="28" t="str">
        <f aca="false">IF(C603="","",IFERROR(INDEX(Settings!$C$8:$C$19,MATCH(C603,Settings!$B$8:$B$19,0)),"?"))</f>
        <v/>
      </c>
      <c r="J603" s="28" t="str">
        <f aca="false">IF(G603="","",IFERROR(INDEX(Settings!$C$8:$C$19,MATCH(G603,Settings!$B$8:$B$19,0)),"?"))</f>
        <v/>
      </c>
      <c r="K603" s="35" t="str">
        <f aca="false">IF(A603="","",DATE(YEAR(A603),MONTH(A603),1))</f>
        <v/>
      </c>
      <c r="L603" s="28" t="str">
        <f aca="false">IF(E603="","",IFERROR(INDEX(Settings!$K$8:$K$38,MATCH(E603,Settings!$H$8:$H$38,0))&amp;"",""))</f>
        <v/>
      </c>
    </row>
    <row r="604" customFormat="false" ht="15" hidden="false" customHeight="false" outlineLevel="0" collapsed="false">
      <c r="A604" s="33"/>
      <c r="B604" s="27"/>
      <c r="C604" s="27"/>
      <c r="D604" s="27"/>
      <c r="E604" s="27"/>
      <c r="F604" s="34"/>
      <c r="G604" s="27"/>
      <c r="H604" s="27"/>
      <c r="I604" s="28" t="str">
        <f aca="false">IF(C604="","",IFERROR(INDEX(Settings!$C$8:$C$19,MATCH(C604,Settings!$B$8:$B$19,0)),"?"))</f>
        <v/>
      </c>
      <c r="J604" s="28" t="str">
        <f aca="false">IF(G604="","",IFERROR(INDEX(Settings!$C$8:$C$19,MATCH(G604,Settings!$B$8:$B$19,0)),"?"))</f>
        <v/>
      </c>
      <c r="K604" s="35" t="str">
        <f aca="false">IF(A604="","",DATE(YEAR(A604),MONTH(A604),1))</f>
        <v/>
      </c>
      <c r="L604" s="28" t="str">
        <f aca="false">IF(E604="","",IFERROR(INDEX(Settings!$K$8:$K$38,MATCH(E604,Settings!$H$8:$H$38,0))&amp;"",""))</f>
        <v/>
      </c>
    </row>
    <row r="605" customFormat="false" ht="15" hidden="false" customHeight="false" outlineLevel="0" collapsed="false">
      <c r="A605" s="33"/>
      <c r="B605" s="27"/>
      <c r="C605" s="27"/>
      <c r="D605" s="27"/>
      <c r="E605" s="27"/>
      <c r="F605" s="34"/>
      <c r="G605" s="27"/>
      <c r="H605" s="27"/>
      <c r="I605" s="28" t="str">
        <f aca="false">IF(C605="","",IFERROR(INDEX(Settings!$C$8:$C$19,MATCH(C605,Settings!$B$8:$B$19,0)),"?"))</f>
        <v/>
      </c>
      <c r="J605" s="28" t="str">
        <f aca="false">IF(G605="","",IFERROR(INDEX(Settings!$C$8:$C$19,MATCH(G605,Settings!$B$8:$B$19,0)),"?"))</f>
        <v/>
      </c>
      <c r="K605" s="35" t="str">
        <f aca="false">IF(A605="","",DATE(YEAR(A605),MONTH(A605),1))</f>
        <v/>
      </c>
      <c r="L605" s="28" t="str">
        <f aca="false">IF(E605="","",IFERROR(INDEX(Settings!$K$8:$K$38,MATCH(E605,Settings!$H$8:$H$38,0))&amp;"",""))</f>
        <v/>
      </c>
    </row>
    <row r="606" customFormat="false" ht="15" hidden="false" customHeight="false" outlineLevel="0" collapsed="false">
      <c r="A606" s="33"/>
      <c r="B606" s="27"/>
      <c r="C606" s="27"/>
      <c r="D606" s="27"/>
      <c r="E606" s="27"/>
      <c r="F606" s="34"/>
      <c r="G606" s="27"/>
      <c r="H606" s="27"/>
      <c r="I606" s="28" t="str">
        <f aca="false">IF(C606="","",IFERROR(INDEX(Settings!$C$8:$C$19,MATCH(C606,Settings!$B$8:$B$19,0)),"?"))</f>
        <v/>
      </c>
      <c r="J606" s="28" t="str">
        <f aca="false">IF(G606="","",IFERROR(INDEX(Settings!$C$8:$C$19,MATCH(G606,Settings!$B$8:$B$19,0)),"?"))</f>
        <v/>
      </c>
      <c r="K606" s="35" t="str">
        <f aca="false">IF(A606="","",DATE(YEAR(A606),MONTH(A606),1))</f>
        <v/>
      </c>
      <c r="L606" s="28" t="str">
        <f aca="false">IF(E606="","",IFERROR(INDEX(Settings!$K$8:$K$38,MATCH(E606,Settings!$H$8:$H$38,0))&amp;"",""))</f>
        <v/>
      </c>
    </row>
    <row r="607" customFormat="false" ht="15" hidden="false" customHeight="false" outlineLevel="0" collapsed="false">
      <c r="A607" s="33"/>
      <c r="B607" s="27"/>
      <c r="C607" s="27"/>
      <c r="D607" s="27"/>
      <c r="E607" s="27"/>
      <c r="F607" s="34"/>
      <c r="G607" s="27"/>
      <c r="H607" s="27"/>
      <c r="I607" s="28" t="str">
        <f aca="false">IF(C607="","",IFERROR(INDEX(Settings!$C$8:$C$19,MATCH(C607,Settings!$B$8:$B$19,0)),"?"))</f>
        <v/>
      </c>
      <c r="J607" s="28" t="str">
        <f aca="false">IF(G607="","",IFERROR(INDEX(Settings!$C$8:$C$19,MATCH(G607,Settings!$B$8:$B$19,0)),"?"))</f>
        <v/>
      </c>
      <c r="K607" s="35" t="str">
        <f aca="false">IF(A607="","",DATE(YEAR(A607),MONTH(A607),1))</f>
        <v/>
      </c>
      <c r="L607" s="28" t="str">
        <f aca="false">IF(E607="","",IFERROR(INDEX(Settings!$K$8:$K$38,MATCH(E607,Settings!$H$8:$H$38,0))&amp;"",""))</f>
        <v/>
      </c>
    </row>
    <row r="608" customFormat="false" ht="15" hidden="false" customHeight="false" outlineLevel="0" collapsed="false">
      <c r="A608" s="33"/>
      <c r="B608" s="27"/>
      <c r="C608" s="27"/>
      <c r="D608" s="27"/>
      <c r="E608" s="27"/>
      <c r="F608" s="34"/>
      <c r="G608" s="27"/>
      <c r="H608" s="27"/>
      <c r="I608" s="28" t="str">
        <f aca="false">IF(C608="","",IFERROR(INDEX(Settings!$C$8:$C$19,MATCH(C608,Settings!$B$8:$B$19,0)),"?"))</f>
        <v/>
      </c>
      <c r="J608" s="28" t="str">
        <f aca="false">IF(G608="","",IFERROR(INDEX(Settings!$C$8:$C$19,MATCH(G608,Settings!$B$8:$B$19,0)),"?"))</f>
        <v/>
      </c>
      <c r="K608" s="35" t="str">
        <f aca="false">IF(A608="","",DATE(YEAR(A608),MONTH(A608),1))</f>
        <v/>
      </c>
      <c r="L608" s="28" t="str">
        <f aca="false">IF(E608="","",IFERROR(INDEX(Settings!$K$8:$K$38,MATCH(E608,Settings!$H$8:$H$38,0))&amp;"",""))</f>
        <v/>
      </c>
    </row>
    <row r="609" customFormat="false" ht="15" hidden="false" customHeight="false" outlineLevel="0" collapsed="false">
      <c r="A609" s="33"/>
      <c r="B609" s="27"/>
      <c r="C609" s="27"/>
      <c r="D609" s="27"/>
      <c r="E609" s="27"/>
      <c r="F609" s="34"/>
      <c r="G609" s="27"/>
      <c r="H609" s="27"/>
      <c r="I609" s="28" t="str">
        <f aca="false">IF(C609="","",IFERROR(INDEX(Settings!$C$8:$C$19,MATCH(C609,Settings!$B$8:$B$19,0)),"?"))</f>
        <v/>
      </c>
      <c r="J609" s="28" t="str">
        <f aca="false">IF(G609="","",IFERROR(INDEX(Settings!$C$8:$C$19,MATCH(G609,Settings!$B$8:$B$19,0)),"?"))</f>
        <v/>
      </c>
      <c r="K609" s="35" t="str">
        <f aca="false">IF(A609="","",DATE(YEAR(A609),MONTH(A609),1))</f>
        <v/>
      </c>
      <c r="L609" s="28" t="str">
        <f aca="false">IF(E609="","",IFERROR(INDEX(Settings!$K$8:$K$38,MATCH(E609,Settings!$H$8:$H$38,0))&amp;"",""))</f>
        <v/>
      </c>
    </row>
    <row r="610" customFormat="false" ht="15" hidden="false" customHeight="false" outlineLevel="0" collapsed="false">
      <c r="A610" s="33"/>
      <c r="B610" s="27"/>
      <c r="C610" s="27"/>
      <c r="D610" s="27"/>
      <c r="E610" s="27"/>
      <c r="F610" s="34"/>
      <c r="G610" s="27"/>
      <c r="H610" s="27"/>
      <c r="I610" s="28" t="str">
        <f aca="false">IF(C610="","",IFERROR(INDEX(Settings!$C$8:$C$19,MATCH(C610,Settings!$B$8:$B$19,0)),"?"))</f>
        <v/>
      </c>
      <c r="J610" s="28" t="str">
        <f aca="false">IF(G610="","",IFERROR(INDEX(Settings!$C$8:$C$19,MATCH(G610,Settings!$B$8:$B$19,0)),"?"))</f>
        <v/>
      </c>
      <c r="K610" s="35" t="str">
        <f aca="false">IF(A610="","",DATE(YEAR(A610),MONTH(A610),1))</f>
        <v/>
      </c>
      <c r="L610" s="28" t="str">
        <f aca="false">IF(E610="","",IFERROR(INDEX(Settings!$K$8:$K$38,MATCH(E610,Settings!$H$8:$H$38,0))&amp;"",""))</f>
        <v/>
      </c>
    </row>
    <row r="611" customFormat="false" ht="15" hidden="false" customHeight="false" outlineLevel="0" collapsed="false">
      <c r="A611" s="33"/>
      <c r="B611" s="27"/>
      <c r="C611" s="27"/>
      <c r="D611" s="27"/>
      <c r="E611" s="27"/>
      <c r="F611" s="34"/>
      <c r="G611" s="27"/>
      <c r="H611" s="27"/>
      <c r="I611" s="28" t="str">
        <f aca="false">IF(C611="","",IFERROR(INDEX(Settings!$C$8:$C$19,MATCH(C611,Settings!$B$8:$B$19,0)),"?"))</f>
        <v/>
      </c>
      <c r="J611" s="28" t="str">
        <f aca="false">IF(G611="","",IFERROR(INDEX(Settings!$C$8:$C$19,MATCH(G611,Settings!$B$8:$B$19,0)),"?"))</f>
        <v/>
      </c>
      <c r="K611" s="35" t="str">
        <f aca="false">IF(A611="","",DATE(YEAR(A611),MONTH(A611),1))</f>
        <v/>
      </c>
      <c r="L611" s="28" t="str">
        <f aca="false">IF(E611="","",IFERROR(INDEX(Settings!$K$8:$K$38,MATCH(E611,Settings!$H$8:$H$38,0))&amp;"",""))</f>
        <v/>
      </c>
    </row>
    <row r="612" customFormat="false" ht="15" hidden="false" customHeight="false" outlineLevel="0" collapsed="false">
      <c r="A612" s="33"/>
      <c r="B612" s="27"/>
      <c r="C612" s="27"/>
      <c r="D612" s="27"/>
      <c r="E612" s="27"/>
      <c r="F612" s="34"/>
      <c r="G612" s="27"/>
      <c r="H612" s="27"/>
      <c r="I612" s="28" t="str">
        <f aca="false">IF(C612="","",IFERROR(INDEX(Settings!$C$8:$C$19,MATCH(C612,Settings!$B$8:$B$19,0)),"?"))</f>
        <v/>
      </c>
      <c r="J612" s="28" t="str">
        <f aca="false">IF(G612="","",IFERROR(INDEX(Settings!$C$8:$C$19,MATCH(G612,Settings!$B$8:$B$19,0)),"?"))</f>
        <v/>
      </c>
      <c r="K612" s="35" t="str">
        <f aca="false">IF(A612="","",DATE(YEAR(A612),MONTH(A612),1))</f>
        <v/>
      </c>
      <c r="L612" s="28" t="str">
        <f aca="false">IF(E612="","",IFERROR(INDEX(Settings!$K$8:$K$38,MATCH(E612,Settings!$H$8:$H$38,0))&amp;"",""))</f>
        <v/>
      </c>
    </row>
    <row r="613" customFormat="false" ht="15" hidden="false" customHeight="false" outlineLevel="0" collapsed="false">
      <c r="A613" s="33"/>
      <c r="B613" s="27"/>
      <c r="C613" s="27"/>
      <c r="D613" s="27"/>
      <c r="E613" s="27"/>
      <c r="F613" s="34"/>
      <c r="G613" s="27"/>
      <c r="H613" s="27"/>
      <c r="I613" s="28" t="str">
        <f aca="false">IF(C613="","",IFERROR(INDEX(Settings!$C$8:$C$19,MATCH(C613,Settings!$B$8:$B$19,0)),"?"))</f>
        <v/>
      </c>
      <c r="J613" s="28" t="str">
        <f aca="false">IF(G613="","",IFERROR(INDEX(Settings!$C$8:$C$19,MATCH(G613,Settings!$B$8:$B$19,0)),"?"))</f>
        <v/>
      </c>
      <c r="K613" s="35" t="str">
        <f aca="false">IF(A613="","",DATE(YEAR(A613),MONTH(A613),1))</f>
        <v/>
      </c>
      <c r="L613" s="28" t="str">
        <f aca="false">IF(E613="","",IFERROR(INDEX(Settings!$K$8:$K$38,MATCH(E613,Settings!$H$8:$H$38,0))&amp;"",""))</f>
        <v/>
      </c>
    </row>
    <row r="614" customFormat="false" ht="15" hidden="false" customHeight="false" outlineLevel="0" collapsed="false">
      <c r="A614" s="33"/>
      <c r="B614" s="27"/>
      <c r="C614" s="27"/>
      <c r="D614" s="27"/>
      <c r="E614" s="27"/>
      <c r="F614" s="34"/>
      <c r="G614" s="27"/>
      <c r="H614" s="27"/>
      <c r="I614" s="28" t="str">
        <f aca="false">IF(C614="","",IFERROR(INDEX(Settings!$C$8:$C$19,MATCH(C614,Settings!$B$8:$B$19,0)),"?"))</f>
        <v/>
      </c>
      <c r="J614" s="28" t="str">
        <f aca="false">IF(G614="","",IFERROR(INDEX(Settings!$C$8:$C$19,MATCH(G614,Settings!$B$8:$B$19,0)),"?"))</f>
        <v/>
      </c>
      <c r="K614" s="35" t="str">
        <f aca="false">IF(A614="","",DATE(YEAR(A614),MONTH(A614),1))</f>
        <v/>
      </c>
      <c r="L614" s="28" t="str">
        <f aca="false">IF(E614="","",IFERROR(INDEX(Settings!$K$8:$K$38,MATCH(E614,Settings!$H$8:$H$38,0))&amp;"",""))</f>
        <v/>
      </c>
    </row>
    <row r="615" customFormat="false" ht="15" hidden="false" customHeight="false" outlineLevel="0" collapsed="false">
      <c r="A615" s="33"/>
      <c r="B615" s="27"/>
      <c r="C615" s="27"/>
      <c r="D615" s="27"/>
      <c r="E615" s="27"/>
      <c r="F615" s="34"/>
      <c r="G615" s="27"/>
      <c r="H615" s="27"/>
      <c r="I615" s="28" t="str">
        <f aca="false">IF(C615="","",IFERROR(INDEX(Settings!$C$8:$C$19,MATCH(C615,Settings!$B$8:$B$19,0)),"?"))</f>
        <v/>
      </c>
      <c r="J615" s="28" t="str">
        <f aca="false">IF(G615="","",IFERROR(INDEX(Settings!$C$8:$C$19,MATCH(G615,Settings!$B$8:$B$19,0)),"?"))</f>
        <v/>
      </c>
      <c r="K615" s="35" t="str">
        <f aca="false">IF(A615="","",DATE(YEAR(A615),MONTH(A615),1))</f>
        <v/>
      </c>
      <c r="L615" s="28" t="str">
        <f aca="false">IF(E615="","",IFERROR(INDEX(Settings!$K$8:$K$38,MATCH(E615,Settings!$H$8:$H$38,0))&amp;"",""))</f>
        <v/>
      </c>
    </row>
    <row r="616" customFormat="false" ht="15" hidden="false" customHeight="false" outlineLevel="0" collapsed="false">
      <c r="A616" s="33"/>
      <c r="B616" s="27"/>
      <c r="C616" s="27"/>
      <c r="D616" s="27"/>
      <c r="E616" s="27"/>
      <c r="F616" s="34"/>
      <c r="G616" s="27"/>
      <c r="H616" s="27"/>
      <c r="I616" s="28" t="str">
        <f aca="false">IF(C616="","",IFERROR(INDEX(Settings!$C$8:$C$19,MATCH(C616,Settings!$B$8:$B$19,0)),"?"))</f>
        <v/>
      </c>
      <c r="J616" s="28" t="str">
        <f aca="false">IF(G616="","",IFERROR(INDEX(Settings!$C$8:$C$19,MATCH(G616,Settings!$B$8:$B$19,0)),"?"))</f>
        <v/>
      </c>
      <c r="K616" s="35" t="str">
        <f aca="false">IF(A616="","",DATE(YEAR(A616),MONTH(A616),1))</f>
        <v/>
      </c>
      <c r="L616" s="28" t="str">
        <f aca="false">IF(E616="","",IFERROR(INDEX(Settings!$K$8:$K$38,MATCH(E616,Settings!$H$8:$H$38,0))&amp;"",""))</f>
        <v/>
      </c>
    </row>
    <row r="617" customFormat="false" ht="15" hidden="false" customHeight="false" outlineLevel="0" collapsed="false">
      <c r="A617" s="33"/>
      <c r="B617" s="27"/>
      <c r="C617" s="27"/>
      <c r="D617" s="27"/>
      <c r="E617" s="27"/>
      <c r="F617" s="34"/>
      <c r="G617" s="27"/>
      <c r="H617" s="27"/>
      <c r="I617" s="28" t="str">
        <f aca="false">IF(C617="","",IFERROR(INDEX(Settings!$C$8:$C$19,MATCH(C617,Settings!$B$8:$B$19,0)),"?"))</f>
        <v/>
      </c>
      <c r="J617" s="28" t="str">
        <f aca="false">IF(G617="","",IFERROR(INDEX(Settings!$C$8:$C$19,MATCH(G617,Settings!$B$8:$B$19,0)),"?"))</f>
        <v/>
      </c>
      <c r="K617" s="35" t="str">
        <f aca="false">IF(A617="","",DATE(YEAR(A617),MONTH(A617),1))</f>
        <v/>
      </c>
      <c r="L617" s="28" t="str">
        <f aca="false">IF(E617="","",IFERROR(INDEX(Settings!$K$8:$K$38,MATCH(E617,Settings!$H$8:$H$38,0))&amp;"",""))</f>
        <v/>
      </c>
    </row>
    <row r="618" customFormat="false" ht="15" hidden="false" customHeight="false" outlineLevel="0" collapsed="false">
      <c r="A618" s="33"/>
      <c r="B618" s="27"/>
      <c r="C618" s="27"/>
      <c r="D618" s="27"/>
      <c r="E618" s="27"/>
      <c r="F618" s="34"/>
      <c r="G618" s="27"/>
      <c r="H618" s="27"/>
      <c r="I618" s="28" t="str">
        <f aca="false">IF(C618="","",IFERROR(INDEX(Settings!$C$8:$C$19,MATCH(C618,Settings!$B$8:$B$19,0)),"?"))</f>
        <v/>
      </c>
      <c r="J618" s="28" t="str">
        <f aca="false">IF(G618="","",IFERROR(INDEX(Settings!$C$8:$C$19,MATCH(G618,Settings!$B$8:$B$19,0)),"?"))</f>
        <v/>
      </c>
      <c r="K618" s="35" t="str">
        <f aca="false">IF(A618="","",DATE(YEAR(A618),MONTH(A618),1))</f>
        <v/>
      </c>
      <c r="L618" s="28" t="str">
        <f aca="false">IF(E618="","",IFERROR(INDEX(Settings!$K$8:$K$38,MATCH(E618,Settings!$H$8:$H$38,0))&amp;"",""))</f>
        <v/>
      </c>
    </row>
    <row r="619" customFormat="false" ht="15" hidden="false" customHeight="false" outlineLevel="0" collapsed="false">
      <c r="A619" s="33"/>
      <c r="B619" s="27"/>
      <c r="C619" s="27"/>
      <c r="D619" s="27"/>
      <c r="E619" s="27"/>
      <c r="F619" s="34"/>
      <c r="G619" s="27"/>
      <c r="H619" s="27"/>
      <c r="I619" s="28" t="str">
        <f aca="false">IF(C619="","",IFERROR(INDEX(Settings!$C$8:$C$19,MATCH(C619,Settings!$B$8:$B$19,0)),"?"))</f>
        <v/>
      </c>
      <c r="J619" s="28" t="str">
        <f aca="false">IF(G619="","",IFERROR(INDEX(Settings!$C$8:$C$19,MATCH(G619,Settings!$B$8:$B$19,0)),"?"))</f>
        <v/>
      </c>
      <c r="K619" s="35" t="str">
        <f aca="false">IF(A619="","",DATE(YEAR(A619),MONTH(A619),1))</f>
        <v/>
      </c>
      <c r="L619" s="28" t="str">
        <f aca="false">IF(E619="","",IFERROR(INDEX(Settings!$K$8:$K$38,MATCH(E619,Settings!$H$8:$H$38,0))&amp;"",""))</f>
        <v/>
      </c>
    </row>
    <row r="620" customFormat="false" ht="15" hidden="false" customHeight="false" outlineLevel="0" collapsed="false">
      <c r="A620" s="33"/>
      <c r="B620" s="27"/>
      <c r="C620" s="27"/>
      <c r="D620" s="27"/>
      <c r="E620" s="27"/>
      <c r="F620" s="34"/>
      <c r="G620" s="27"/>
      <c r="H620" s="27"/>
      <c r="I620" s="28" t="str">
        <f aca="false">IF(C620="","",IFERROR(INDEX(Settings!$C$8:$C$19,MATCH(C620,Settings!$B$8:$B$19,0)),"?"))</f>
        <v/>
      </c>
      <c r="J620" s="28" t="str">
        <f aca="false">IF(G620="","",IFERROR(INDEX(Settings!$C$8:$C$19,MATCH(G620,Settings!$B$8:$B$19,0)),"?"))</f>
        <v/>
      </c>
      <c r="K620" s="35" t="str">
        <f aca="false">IF(A620="","",DATE(YEAR(A620),MONTH(A620),1))</f>
        <v/>
      </c>
      <c r="L620" s="28" t="str">
        <f aca="false">IF(E620="","",IFERROR(INDEX(Settings!$K$8:$K$38,MATCH(E620,Settings!$H$8:$H$38,0))&amp;"",""))</f>
        <v/>
      </c>
    </row>
    <row r="621" customFormat="false" ht="15" hidden="false" customHeight="false" outlineLevel="0" collapsed="false">
      <c r="A621" s="33"/>
      <c r="B621" s="27"/>
      <c r="C621" s="27"/>
      <c r="D621" s="27"/>
      <c r="E621" s="27"/>
      <c r="F621" s="34"/>
      <c r="G621" s="27"/>
      <c r="H621" s="27"/>
      <c r="I621" s="28" t="str">
        <f aca="false">IF(C621="","",IFERROR(INDEX(Settings!$C$8:$C$19,MATCH(C621,Settings!$B$8:$B$19,0)),"?"))</f>
        <v/>
      </c>
      <c r="J621" s="28" t="str">
        <f aca="false">IF(G621="","",IFERROR(INDEX(Settings!$C$8:$C$19,MATCH(G621,Settings!$B$8:$B$19,0)),"?"))</f>
        <v/>
      </c>
      <c r="K621" s="35" t="str">
        <f aca="false">IF(A621="","",DATE(YEAR(A621),MONTH(A621),1))</f>
        <v/>
      </c>
      <c r="L621" s="28" t="str">
        <f aca="false">IF(E621="","",IFERROR(INDEX(Settings!$K$8:$K$38,MATCH(E621,Settings!$H$8:$H$38,0))&amp;"",""))</f>
        <v/>
      </c>
    </row>
    <row r="622" customFormat="false" ht="15" hidden="false" customHeight="false" outlineLevel="0" collapsed="false">
      <c r="A622" s="33"/>
      <c r="B622" s="27"/>
      <c r="C622" s="27"/>
      <c r="D622" s="27"/>
      <c r="E622" s="27"/>
      <c r="F622" s="34"/>
      <c r="G622" s="27"/>
      <c r="H622" s="27"/>
      <c r="I622" s="28" t="str">
        <f aca="false">IF(C622="","",IFERROR(INDEX(Settings!$C$8:$C$19,MATCH(C622,Settings!$B$8:$B$19,0)),"?"))</f>
        <v/>
      </c>
      <c r="J622" s="28" t="str">
        <f aca="false">IF(G622="","",IFERROR(INDEX(Settings!$C$8:$C$19,MATCH(G622,Settings!$B$8:$B$19,0)),"?"))</f>
        <v/>
      </c>
      <c r="K622" s="35" t="str">
        <f aca="false">IF(A622="","",DATE(YEAR(A622),MONTH(A622),1))</f>
        <v/>
      </c>
      <c r="L622" s="28" t="str">
        <f aca="false">IF(E622="","",IFERROR(INDEX(Settings!$K$8:$K$38,MATCH(E622,Settings!$H$8:$H$38,0))&amp;"",""))</f>
        <v/>
      </c>
    </row>
    <row r="623" customFormat="false" ht="15" hidden="false" customHeight="false" outlineLevel="0" collapsed="false">
      <c r="A623" s="33"/>
      <c r="B623" s="27"/>
      <c r="C623" s="27"/>
      <c r="D623" s="27"/>
      <c r="E623" s="27"/>
      <c r="F623" s="34"/>
      <c r="G623" s="27"/>
      <c r="H623" s="27"/>
      <c r="I623" s="28" t="str">
        <f aca="false">IF(C623="","",IFERROR(INDEX(Settings!$C$8:$C$19,MATCH(C623,Settings!$B$8:$B$19,0)),"?"))</f>
        <v/>
      </c>
      <c r="J623" s="28" t="str">
        <f aca="false">IF(G623="","",IFERROR(INDEX(Settings!$C$8:$C$19,MATCH(G623,Settings!$B$8:$B$19,0)),"?"))</f>
        <v/>
      </c>
      <c r="K623" s="35" t="str">
        <f aca="false">IF(A623="","",DATE(YEAR(A623),MONTH(A623),1))</f>
        <v/>
      </c>
      <c r="L623" s="28" t="str">
        <f aca="false">IF(E623="","",IFERROR(INDEX(Settings!$K$8:$K$38,MATCH(E623,Settings!$H$8:$H$38,0))&amp;"",""))</f>
        <v/>
      </c>
    </row>
    <row r="624" customFormat="false" ht="15" hidden="false" customHeight="false" outlineLevel="0" collapsed="false">
      <c r="A624" s="33"/>
      <c r="B624" s="27"/>
      <c r="C624" s="27"/>
      <c r="D624" s="27"/>
      <c r="E624" s="27"/>
      <c r="F624" s="34"/>
      <c r="G624" s="27"/>
      <c r="H624" s="27"/>
      <c r="I624" s="28" t="str">
        <f aca="false">IF(C624="","",IFERROR(INDEX(Settings!$C$8:$C$19,MATCH(C624,Settings!$B$8:$B$19,0)),"?"))</f>
        <v/>
      </c>
      <c r="J624" s="28" t="str">
        <f aca="false">IF(G624="","",IFERROR(INDEX(Settings!$C$8:$C$19,MATCH(G624,Settings!$B$8:$B$19,0)),"?"))</f>
        <v/>
      </c>
      <c r="K624" s="35" t="str">
        <f aca="false">IF(A624="","",DATE(YEAR(A624),MONTH(A624),1))</f>
        <v/>
      </c>
      <c r="L624" s="28" t="str">
        <f aca="false">IF(E624="","",IFERROR(INDEX(Settings!$K$8:$K$38,MATCH(E624,Settings!$H$8:$H$38,0))&amp;"",""))</f>
        <v/>
      </c>
    </row>
    <row r="625" customFormat="false" ht="15" hidden="false" customHeight="false" outlineLevel="0" collapsed="false">
      <c r="A625" s="33"/>
      <c r="B625" s="27"/>
      <c r="C625" s="27"/>
      <c r="D625" s="27"/>
      <c r="E625" s="27"/>
      <c r="F625" s="34"/>
      <c r="G625" s="27"/>
      <c r="H625" s="27"/>
      <c r="I625" s="28" t="str">
        <f aca="false">IF(C625="","",IFERROR(INDEX(Settings!$C$8:$C$19,MATCH(C625,Settings!$B$8:$B$19,0)),"?"))</f>
        <v/>
      </c>
      <c r="J625" s="28" t="str">
        <f aca="false">IF(G625="","",IFERROR(INDEX(Settings!$C$8:$C$19,MATCH(G625,Settings!$B$8:$B$19,0)),"?"))</f>
        <v/>
      </c>
      <c r="K625" s="35" t="str">
        <f aca="false">IF(A625="","",DATE(YEAR(A625),MONTH(A625),1))</f>
        <v/>
      </c>
      <c r="L625" s="28" t="str">
        <f aca="false">IF(E625="","",IFERROR(INDEX(Settings!$K$8:$K$38,MATCH(E625,Settings!$H$8:$H$38,0))&amp;"",""))</f>
        <v/>
      </c>
    </row>
    <row r="626" customFormat="false" ht="15" hidden="false" customHeight="false" outlineLevel="0" collapsed="false">
      <c r="A626" s="33"/>
      <c r="B626" s="27"/>
      <c r="C626" s="27"/>
      <c r="D626" s="27"/>
      <c r="E626" s="27"/>
      <c r="F626" s="34"/>
      <c r="G626" s="27"/>
      <c r="H626" s="27"/>
      <c r="I626" s="28" t="str">
        <f aca="false">IF(C626="","",IFERROR(INDEX(Settings!$C$8:$C$19,MATCH(C626,Settings!$B$8:$B$19,0)),"?"))</f>
        <v/>
      </c>
      <c r="J626" s="28" t="str">
        <f aca="false">IF(G626="","",IFERROR(INDEX(Settings!$C$8:$C$19,MATCH(G626,Settings!$B$8:$B$19,0)),"?"))</f>
        <v/>
      </c>
      <c r="K626" s="35" t="str">
        <f aca="false">IF(A626="","",DATE(YEAR(A626),MONTH(A626),1))</f>
        <v/>
      </c>
      <c r="L626" s="28" t="str">
        <f aca="false">IF(E626="","",IFERROR(INDEX(Settings!$K$8:$K$38,MATCH(E626,Settings!$H$8:$H$38,0))&amp;"",""))</f>
        <v/>
      </c>
    </row>
    <row r="627" customFormat="false" ht="15" hidden="false" customHeight="false" outlineLevel="0" collapsed="false">
      <c r="A627" s="33"/>
      <c r="B627" s="27"/>
      <c r="C627" s="27"/>
      <c r="D627" s="27"/>
      <c r="E627" s="27"/>
      <c r="F627" s="34"/>
      <c r="G627" s="27"/>
      <c r="H627" s="27"/>
      <c r="I627" s="28" t="str">
        <f aca="false">IF(C627="","",IFERROR(INDEX(Settings!$C$8:$C$19,MATCH(C627,Settings!$B$8:$B$19,0)),"?"))</f>
        <v/>
      </c>
      <c r="J627" s="28" t="str">
        <f aca="false">IF(G627="","",IFERROR(INDEX(Settings!$C$8:$C$19,MATCH(G627,Settings!$B$8:$B$19,0)),"?"))</f>
        <v/>
      </c>
      <c r="K627" s="35" t="str">
        <f aca="false">IF(A627="","",DATE(YEAR(A627),MONTH(A627),1))</f>
        <v/>
      </c>
      <c r="L627" s="28" t="str">
        <f aca="false">IF(E627="","",IFERROR(INDEX(Settings!$K$8:$K$38,MATCH(E627,Settings!$H$8:$H$38,0))&amp;"",""))</f>
        <v/>
      </c>
    </row>
    <row r="628" customFormat="false" ht="15" hidden="false" customHeight="false" outlineLevel="0" collapsed="false">
      <c r="A628" s="33"/>
      <c r="B628" s="27"/>
      <c r="C628" s="27"/>
      <c r="D628" s="27"/>
      <c r="E628" s="27"/>
      <c r="F628" s="34"/>
      <c r="G628" s="27"/>
      <c r="H628" s="27"/>
      <c r="I628" s="28" t="str">
        <f aca="false">IF(C628="","",IFERROR(INDEX(Settings!$C$8:$C$19,MATCH(C628,Settings!$B$8:$B$19,0)),"?"))</f>
        <v/>
      </c>
      <c r="J628" s="28" t="str">
        <f aca="false">IF(G628="","",IFERROR(INDEX(Settings!$C$8:$C$19,MATCH(G628,Settings!$B$8:$B$19,0)),"?"))</f>
        <v/>
      </c>
      <c r="K628" s="35" t="str">
        <f aca="false">IF(A628="","",DATE(YEAR(A628),MONTH(A628),1))</f>
        <v/>
      </c>
      <c r="L628" s="28" t="str">
        <f aca="false">IF(E628="","",IFERROR(INDEX(Settings!$K$8:$K$38,MATCH(E628,Settings!$H$8:$H$38,0))&amp;"",""))</f>
        <v/>
      </c>
    </row>
    <row r="629" customFormat="false" ht="15" hidden="false" customHeight="false" outlineLevel="0" collapsed="false">
      <c r="A629" s="33"/>
      <c r="B629" s="27"/>
      <c r="C629" s="27"/>
      <c r="D629" s="27"/>
      <c r="E629" s="27"/>
      <c r="F629" s="34"/>
      <c r="G629" s="27"/>
      <c r="H629" s="27"/>
      <c r="I629" s="28" t="str">
        <f aca="false">IF(C629="","",IFERROR(INDEX(Settings!$C$8:$C$19,MATCH(C629,Settings!$B$8:$B$19,0)),"?"))</f>
        <v/>
      </c>
      <c r="J629" s="28" t="str">
        <f aca="false">IF(G629="","",IFERROR(INDEX(Settings!$C$8:$C$19,MATCH(G629,Settings!$B$8:$B$19,0)),"?"))</f>
        <v/>
      </c>
      <c r="K629" s="35" t="str">
        <f aca="false">IF(A629="","",DATE(YEAR(A629),MONTH(A629),1))</f>
        <v/>
      </c>
      <c r="L629" s="28" t="str">
        <f aca="false">IF(E629="","",IFERROR(INDEX(Settings!$K$8:$K$38,MATCH(E629,Settings!$H$8:$H$38,0))&amp;"",""))</f>
        <v/>
      </c>
    </row>
    <row r="630" customFormat="false" ht="15" hidden="false" customHeight="false" outlineLevel="0" collapsed="false">
      <c r="A630" s="33"/>
      <c r="B630" s="27"/>
      <c r="C630" s="27"/>
      <c r="D630" s="27"/>
      <c r="E630" s="27"/>
      <c r="F630" s="34"/>
      <c r="G630" s="27"/>
      <c r="H630" s="27"/>
      <c r="I630" s="28" t="str">
        <f aca="false">IF(C630="","",IFERROR(INDEX(Settings!$C$8:$C$19,MATCH(C630,Settings!$B$8:$B$19,0)),"?"))</f>
        <v/>
      </c>
      <c r="J630" s="28" t="str">
        <f aca="false">IF(G630="","",IFERROR(INDEX(Settings!$C$8:$C$19,MATCH(G630,Settings!$B$8:$B$19,0)),"?"))</f>
        <v/>
      </c>
      <c r="K630" s="35" t="str">
        <f aca="false">IF(A630="","",DATE(YEAR(A630),MONTH(A630),1))</f>
        <v/>
      </c>
      <c r="L630" s="28" t="str">
        <f aca="false">IF(E630="","",IFERROR(INDEX(Settings!$K$8:$K$38,MATCH(E630,Settings!$H$8:$H$38,0))&amp;"",""))</f>
        <v/>
      </c>
    </row>
    <row r="631" customFormat="false" ht="15" hidden="false" customHeight="false" outlineLevel="0" collapsed="false">
      <c r="A631" s="33"/>
      <c r="B631" s="27"/>
      <c r="C631" s="27"/>
      <c r="D631" s="27"/>
      <c r="E631" s="27"/>
      <c r="F631" s="34"/>
      <c r="G631" s="27"/>
      <c r="H631" s="27"/>
      <c r="I631" s="28" t="str">
        <f aca="false">IF(C631="","",IFERROR(INDEX(Settings!$C$8:$C$19,MATCH(C631,Settings!$B$8:$B$19,0)),"?"))</f>
        <v/>
      </c>
      <c r="J631" s="28" t="str">
        <f aca="false">IF(G631="","",IFERROR(INDEX(Settings!$C$8:$C$19,MATCH(G631,Settings!$B$8:$B$19,0)),"?"))</f>
        <v/>
      </c>
      <c r="K631" s="35" t="str">
        <f aca="false">IF(A631="","",DATE(YEAR(A631),MONTH(A631),1))</f>
        <v/>
      </c>
      <c r="L631" s="28" t="str">
        <f aca="false">IF(E631="","",IFERROR(INDEX(Settings!$K$8:$K$38,MATCH(E631,Settings!$H$8:$H$38,0))&amp;"",""))</f>
        <v/>
      </c>
    </row>
    <row r="632" customFormat="false" ht="15" hidden="false" customHeight="false" outlineLevel="0" collapsed="false">
      <c r="A632" s="33"/>
      <c r="B632" s="27"/>
      <c r="C632" s="27"/>
      <c r="D632" s="27"/>
      <c r="E632" s="27"/>
      <c r="F632" s="34"/>
      <c r="G632" s="27"/>
      <c r="H632" s="27"/>
      <c r="I632" s="28" t="str">
        <f aca="false">IF(C632="","",IFERROR(INDEX(Settings!$C$8:$C$19,MATCH(C632,Settings!$B$8:$B$19,0)),"?"))</f>
        <v/>
      </c>
      <c r="J632" s="28" t="str">
        <f aca="false">IF(G632="","",IFERROR(INDEX(Settings!$C$8:$C$19,MATCH(G632,Settings!$B$8:$B$19,0)),"?"))</f>
        <v/>
      </c>
      <c r="K632" s="35" t="str">
        <f aca="false">IF(A632="","",DATE(YEAR(A632),MONTH(A632),1))</f>
        <v/>
      </c>
      <c r="L632" s="28" t="str">
        <f aca="false">IF(E632="","",IFERROR(INDEX(Settings!$K$8:$K$38,MATCH(E632,Settings!$H$8:$H$38,0))&amp;"",""))</f>
        <v/>
      </c>
    </row>
    <row r="633" customFormat="false" ht="15" hidden="false" customHeight="false" outlineLevel="0" collapsed="false">
      <c r="A633" s="33"/>
      <c r="B633" s="27"/>
      <c r="C633" s="27"/>
      <c r="D633" s="27"/>
      <c r="E633" s="27"/>
      <c r="F633" s="34"/>
      <c r="G633" s="27"/>
      <c r="H633" s="27"/>
      <c r="I633" s="28" t="str">
        <f aca="false">IF(C633="","",IFERROR(INDEX(Settings!$C$8:$C$19,MATCH(C633,Settings!$B$8:$B$19,0)),"?"))</f>
        <v/>
      </c>
      <c r="J633" s="28" t="str">
        <f aca="false">IF(G633="","",IFERROR(INDEX(Settings!$C$8:$C$19,MATCH(G633,Settings!$B$8:$B$19,0)),"?"))</f>
        <v/>
      </c>
      <c r="K633" s="35" t="str">
        <f aca="false">IF(A633="","",DATE(YEAR(A633),MONTH(A633),1))</f>
        <v/>
      </c>
      <c r="L633" s="28" t="str">
        <f aca="false">IF(E633="","",IFERROR(INDEX(Settings!$K$8:$K$38,MATCH(E633,Settings!$H$8:$H$38,0))&amp;"",""))</f>
        <v/>
      </c>
    </row>
    <row r="634" customFormat="false" ht="15" hidden="false" customHeight="false" outlineLevel="0" collapsed="false">
      <c r="A634" s="33"/>
      <c r="B634" s="27"/>
      <c r="C634" s="27"/>
      <c r="D634" s="27"/>
      <c r="E634" s="27"/>
      <c r="F634" s="34"/>
      <c r="G634" s="27"/>
      <c r="H634" s="27"/>
      <c r="I634" s="28" t="str">
        <f aca="false">IF(C634="","",IFERROR(INDEX(Settings!$C$8:$C$19,MATCH(C634,Settings!$B$8:$B$19,0)),"?"))</f>
        <v/>
      </c>
      <c r="J634" s="28" t="str">
        <f aca="false">IF(G634="","",IFERROR(INDEX(Settings!$C$8:$C$19,MATCH(G634,Settings!$B$8:$B$19,0)),"?"))</f>
        <v/>
      </c>
      <c r="K634" s="35" t="str">
        <f aca="false">IF(A634="","",DATE(YEAR(A634),MONTH(A634),1))</f>
        <v/>
      </c>
      <c r="L634" s="28" t="str">
        <f aca="false">IF(E634="","",IFERROR(INDEX(Settings!$K$8:$K$38,MATCH(E634,Settings!$H$8:$H$38,0))&amp;"",""))</f>
        <v/>
      </c>
    </row>
    <row r="635" customFormat="false" ht="15" hidden="false" customHeight="false" outlineLevel="0" collapsed="false">
      <c r="A635" s="33"/>
      <c r="B635" s="27"/>
      <c r="C635" s="27"/>
      <c r="D635" s="27"/>
      <c r="E635" s="27"/>
      <c r="F635" s="34"/>
      <c r="G635" s="27"/>
      <c r="H635" s="27"/>
      <c r="I635" s="28" t="str">
        <f aca="false">IF(C635="","",IFERROR(INDEX(Settings!$C$8:$C$19,MATCH(C635,Settings!$B$8:$B$19,0)),"?"))</f>
        <v/>
      </c>
      <c r="J635" s="28" t="str">
        <f aca="false">IF(G635="","",IFERROR(INDEX(Settings!$C$8:$C$19,MATCH(G635,Settings!$B$8:$B$19,0)),"?"))</f>
        <v/>
      </c>
      <c r="K635" s="35" t="str">
        <f aca="false">IF(A635="","",DATE(YEAR(A635),MONTH(A635),1))</f>
        <v/>
      </c>
      <c r="L635" s="28" t="str">
        <f aca="false">IF(E635="","",IFERROR(INDEX(Settings!$K$8:$K$38,MATCH(E635,Settings!$H$8:$H$38,0))&amp;"",""))</f>
        <v/>
      </c>
    </row>
    <row r="636" customFormat="false" ht="15" hidden="false" customHeight="false" outlineLevel="0" collapsed="false">
      <c r="A636" s="33"/>
      <c r="B636" s="27"/>
      <c r="C636" s="27"/>
      <c r="D636" s="27"/>
      <c r="E636" s="27"/>
      <c r="F636" s="34"/>
      <c r="G636" s="27"/>
      <c r="H636" s="27"/>
      <c r="I636" s="28" t="str">
        <f aca="false">IF(C636="","",IFERROR(INDEX(Settings!$C$8:$C$19,MATCH(C636,Settings!$B$8:$B$19,0)),"?"))</f>
        <v/>
      </c>
      <c r="J636" s="28" t="str">
        <f aca="false">IF(G636="","",IFERROR(INDEX(Settings!$C$8:$C$19,MATCH(G636,Settings!$B$8:$B$19,0)),"?"))</f>
        <v/>
      </c>
      <c r="K636" s="35" t="str">
        <f aca="false">IF(A636="","",DATE(YEAR(A636),MONTH(A636),1))</f>
        <v/>
      </c>
      <c r="L636" s="28" t="str">
        <f aca="false">IF(E636="","",IFERROR(INDEX(Settings!$K$8:$K$38,MATCH(E636,Settings!$H$8:$H$38,0))&amp;"",""))</f>
        <v/>
      </c>
    </row>
    <row r="637" customFormat="false" ht="15" hidden="false" customHeight="false" outlineLevel="0" collapsed="false">
      <c r="A637" s="33"/>
      <c r="B637" s="27"/>
      <c r="C637" s="27"/>
      <c r="D637" s="27"/>
      <c r="E637" s="27"/>
      <c r="F637" s="34"/>
      <c r="G637" s="27"/>
      <c r="H637" s="27"/>
      <c r="I637" s="28" t="str">
        <f aca="false">IF(C637="","",IFERROR(INDEX(Settings!$C$8:$C$19,MATCH(C637,Settings!$B$8:$B$19,0)),"?"))</f>
        <v/>
      </c>
      <c r="J637" s="28" t="str">
        <f aca="false">IF(G637="","",IFERROR(INDEX(Settings!$C$8:$C$19,MATCH(G637,Settings!$B$8:$B$19,0)),"?"))</f>
        <v/>
      </c>
      <c r="K637" s="35" t="str">
        <f aca="false">IF(A637="","",DATE(YEAR(A637),MONTH(A637),1))</f>
        <v/>
      </c>
      <c r="L637" s="28" t="str">
        <f aca="false">IF(E637="","",IFERROR(INDEX(Settings!$K$8:$K$38,MATCH(E637,Settings!$H$8:$H$38,0))&amp;"",""))</f>
        <v/>
      </c>
    </row>
    <row r="638" customFormat="false" ht="15" hidden="false" customHeight="false" outlineLevel="0" collapsed="false">
      <c r="A638" s="33"/>
      <c r="B638" s="27"/>
      <c r="C638" s="27"/>
      <c r="D638" s="27"/>
      <c r="E638" s="27"/>
      <c r="F638" s="34"/>
      <c r="G638" s="27"/>
      <c r="H638" s="27"/>
      <c r="I638" s="28" t="str">
        <f aca="false">IF(C638="","",IFERROR(INDEX(Settings!$C$8:$C$19,MATCH(C638,Settings!$B$8:$B$19,0)),"?"))</f>
        <v/>
      </c>
      <c r="J638" s="28" t="str">
        <f aca="false">IF(G638="","",IFERROR(INDEX(Settings!$C$8:$C$19,MATCH(G638,Settings!$B$8:$B$19,0)),"?"))</f>
        <v/>
      </c>
      <c r="K638" s="35" t="str">
        <f aca="false">IF(A638="","",DATE(YEAR(A638),MONTH(A638),1))</f>
        <v/>
      </c>
      <c r="L638" s="28" t="str">
        <f aca="false">IF(E638="","",IFERROR(INDEX(Settings!$K$8:$K$38,MATCH(E638,Settings!$H$8:$H$38,0))&amp;"",""))</f>
        <v/>
      </c>
    </row>
    <row r="639" customFormat="false" ht="15" hidden="false" customHeight="false" outlineLevel="0" collapsed="false">
      <c r="A639" s="33"/>
      <c r="B639" s="27"/>
      <c r="C639" s="27"/>
      <c r="D639" s="27"/>
      <c r="E639" s="27"/>
      <c r="F639" s="34"/>
      <c r="G639" s="27"/>
      <c r="H639" s="27"/>
      <c r="I639" s="28" t="str">
        <f aca="false">IF(C639="","",IFERROR(INDEX(Settings!$C$8:$C$19,MATCH(C639,Settings!$B$8:$B$19,0)),"?"))</f>
        <v/>
      </c>
      <c r="J639" s="28" t="str">
        <f aca="false">IF(G639="","",IFERROR(INDEX(Settings!$C$8:$C$19,MATCH(G639,Settings!$B$8:$B$19,0)),"?"))</f>
        <v/>
      </c>
      <c r="K639" s="35" t="str">
        <f aca="false">IF(A639="","",DATE(YEAR(A639),MONTH(A639),1))</f>
        <v/>
      </c>
      <c r="L639" s="28" t="str">
        <f aca="false">IF(E639="","",IFERROR(INDEX(Settings!$K$8:$K$38,MATCH(E639,Settings!$H$8:$H$38,0))&amp;"",""))</f>
        <v/>
      </c>
    </row>
    <row r="640" customFormat="false" ht="15" hidden="false" customHeight="false" outlineLevel="0" collapsed="false">
      <c r="A640" s="33"/>
      <c r="B640" s="27"/>
      <c r="C640" s="27"/>
      <c r="D640" s="27"/>
      <c r="E640" s="27"/>
      <c r="F640" s="34"/>
      <c r="G640" s="27"/>
      <c r="H640" s="27"/>
      <c r="I640" s="28" t="str">
        <f aca="false">IF(C640="","",IFERROR(INDEX(Settings!$C$8:$C$19,MATCH(C640,Settings!$B$8:$B$19,0)),"?"))</f>
        <v/>
      </c>
      <c r="J640" s="28" t="str">
        <f aca="false">IF(G640="","",IFERROR(INDEX(Settings!$C$8:$C$19,MATCH(G640,Settings!$B$8:$B$19,0)),"?"))</f>
        <v/>
      </c>
      <c r="K640" s="35" t="str">
        <f aca="false">IF(A640="","",DATE(YEAR(A640),MONTH(A640),1))</f>
        <v/>
      </c>
      <c r="L640" s="28" t="str">
        <f aca="false">IF(E640="","",IFERROR(INDEX(Settings!$K$8:$K$38,MATCH(E640,Settings!$H$8:$H$38,0))&amp;"",""))</f>
        <v/>
      </c>
    </row>
    <row r="641" customFormat="false" ht="15" hidden="false" customHeight="false" outlineLevel="0" collapsed="false">
      <c r="A641" s="33"/>
      <c r="B641" s="27"/>
      <c r="C641" s="27"/>
      <c r="D641" s="27"/>
      <c r="E641" s="27"/>
      <c r="F641" s="34"/>
      <c r="G641" s="27"/>
      <c r="H641" s="27"/>
      <c r="I641" s="28" t="str">
        <f aca="false">IF(C641="","",IFERROR(INDEX(Settings!$C$8:$C$19,MATCH(C641,Settings!$B$8:$B$19,0)),"?"))</f>
        <v/>
      </c>
      <c r="J641" s="28" t="str">
        <f aca="false">IF(G641="","",IFERROR(INDEX(Settings!$C$8:$C$19,MATCH(G641,Settings!$B$8:$B$19,0)),"?"))</f>
        <v/>
      </c>
      <c r="K641" s="35" t="str">
        <f aca="false">IF(A641="","",DATE(YEAR(A641),MONTH(A641),1))</f>
        <v/>
      </c>
      <c r="L641" s="28" t="str">
        <f aca="false">IF(E641="","",IFERROR(INDEX(Settings!$K$8:$K$38,MATCH(E641,Settings!$H$8:$H$38,0))&amp;"",""))</f>
        <v/>
      </c>
    </row>
    <row r="642" customFormat="false" ht="15" hidden="false" customHeight="false" outlineLevel="0" collapsed="false">
      <c r="A642" s="33"/>
      <c r="B642" s="27"/>
      <c r="C642" s="27"/>
      <c r="D642" s="27"/>
      <c r="E642" s="27"/>
      <c r="F642" s="34"/>
      <c r="G642" s="27"/>
      <c r="H642" s="27"/>
      <c r="I642" s="28" t="str">
        <f aca="false">IF(C642="","",IFERROR(INDEX(Settings!$C$8:$C$19,MATCH(C642,Settings!$B$8:$B$19,0)),"?"))</f>
        <v/>
      </c>
      <c r="J642" s="28" t="str">
        <f aca="false">IF(G642="","",IFERROR(INDEX(Settings!$C$8:$C$19,MATCH(G642,Settings!$B$8:$B$19,0)),"?"))</f>
        <v/>
      </c>
      <c r="K642" s="35" t="str">
        <f aca="false">IF(A642="","",DATE(YEAR(A642),MONTH(A642),1))</f>
        <v/>
      </c>
      <c r="L642" s="28" t="str">
        <f aca="false">IF(E642="","",IFERROR(INDEX(Settings!$K$8:$K$38,MATCH(E642,Settings!$H$8:$H$38,0))&amp;"",""))</f>
        <v/>
      </c>
    </row>
    <row r="643" customFormat="false" ht="15" hidden="false" customHeight="false" outlineLevel="0" collapsed="false">
      <c r="A643" s="33"/>
      <c r="B643" s="27"/>
      <c r="C643" s="27"/>
      <c r="D643" s="27"/>
      <c r="E643" s="27"/>
      <c r="F643" s="34"/>
      <c r="G643" s="27"/>
      <c r="H643" s="27"/>
      <c r="I643" s="28" t="str">
        <f aca="false">IF(C643="","",IFERROR(INDEX(Settings!$C$8:$C$19,MATCH(C643,Settings!$B$8:$B$19,0)),"?"))</f>
        <v/>
      </c>
      <c r="J643" s="28" t="str">
        <f aca="false">IF(G643="","",IFERROR(INDEX(Settings!$C$8:$C$19,MATCH(G643,Settings!$B$8:$B$19,0)),"?"))</f>
        <v/>
      </c>
      <c r="K643" s="35" t="str">
        <f aca="false">IF(A643="","",DATE(YEAR(A643),MONTH(A643),1))</f>
        <v/>
      </c>
      <c r="L643" s="28" t="str">
        <f aca="false">IF(E643="","",IFERROR(INDEX(Settings!$K$8:$K$38,MATCH(E643,Settings!$H$8:$H$38,0))&amp;"",""))</f>
        <v/>
      </c>
    </row>
    <row r="644" customFormat="false" ht="15" hidden="false" customHeight="false" outlineLevel="0" collapsed="false">
      <c r="A644" s="33"/>
      <c r="B644" s="27"/>
      <c r="C644" s="27"/>
      <c r="D644" s="27"/>
      <c r="E644" s="27"/>
      <c r="F644" s="34"/>
      <c r="G644" s="27"/>
      <c r="H644" s="27"/>
      <c r="I644" s="28" t="str">
        <f aca="false">IF(C644="","",IFERROR(INDEX(Settings!$C$8:$C$19,MATCH(C644,Settings!$B$8:$B$19,0)),"?"))</f>
        <v/>
      </c>
      <c r="J644" s="28" t="str">
        <f aca="false">IF(G644="","",IFERROR(INDEX(Settings!$C$8:$C$19,MATCH(G644,Settings!$B$8:$B$19,0)),"?"))</f>
        <v/>
      </c>
      <c r="K644" s="35" t="str">
        <f aca="false">IF(A644="","",DATE(YEAR(A644),MONTH(A644),1))</f>
        <v/>
      </c>
      <c r="L644" s="28" t="str">
        <f aca="false">IF(E644="","",IFERROR(INDEX(Settings!$K$8:$K$38,MATCH(E644,Settings!$H$8:$H$38,0))&amp;"",""))</f>
        <v/>
      </c>
    </row>
    <row r="645" customFormat="false" ht="15" hidden="false" customHeight="false" outlineLevel="0" collapsed="false">
      <c r="A645" s="33"/>
      <c r="B645" s="27"/>
      <c r="C645" s="27"/>
      <c r="D645" s="27"/>
      <c r="E645" s="27"/>
      <c r="F645" s="34"/>
      <c r="G645" s="27"/>
      <c r="H645" s="27"/>
      <c r="I645" s="28" t="str">
        <f aca="false">IF(C645="","",IFERROR(INDEX(Settings!$C$8:$C$19,MATCH(C645,Settings!$B$8:$B$19,0)),"?"))</f>
        <v/>
      </c>
      <c r="J645" s="28" t="str">
        <f aca="false">IF(G645="","",IFERROR(INDEX(Settings!$C$8:$C$19,MATCH(G645,Settings!$B$8:$B$19,0)),"?"))</f>
        <v/>
      </c>
      <c r="K645" s="35" t="str">
        <f aca="false">IF(A645="","",DATE(YEAR(A645),MONTH(A645),1))</f>
        <v/>
      </c>
      <c r="L645" s="28" t="str">
        <f aca="false">IF(E645="","",IFERROR(INDEX(Settings!$K$8:$K$38,MATCH(E645,Settings!$H$8:$H$38,0))&amp;"",""))</f>
        <v/>
      </c>
    </row>
    <row r="646" customFormat="false" ht="15" hidden="false" customHeight="false" outlineLevel="0" collapsed="false">
      <c r="A646" s="33"/>
      <c r="B646" s="27"/>
      <c r="C646" s="27"/>
      <c r="D646" s="27"/>
      <c r="E646" s="27"/>
      <c r="F646" s="34"/>
      <c r="G646" s="27"/>
      <c r="H646" s="27"/>
      <c r="I646" s="28" t="str">
        <f aca="false">IF(C646="","",IFERROR(INDEX(Settings!$C$8:$C$19,MATCH(C646,Settings!$B$8:$B$19,0)),"?"))</f>
        <v/>
      </c>
      <c r="J646" s="28" t="str">
        <f aca="false">IF(G646="","",IFERROR(INDEX(Settings!$C$8:$C$19,MATCH(G646,Settings!$B$8:$B$19,0)),"?"))</f>
        <v/>
      </c>
      <c r="K646" s="35" t="str">
        <f aca="false">IF(A646="","",DATE(YEAR(A646),MONTH(A646),1))</f>
        <v/>
      </c>
      <c r="L646" s="28" t="str">
        <f aca="false">IF(E646="","",IFERROR(INDEX(Settings!$K$8:$K$38,MATCH(E646,Settings!$H$8:$H$38,0))&amp;"",""))</f>
        <v/>
      </c>
    </row>
    <row r="647" customFormat="false" ht="15" hidden="false" customHeight="false" outlineLevel="0" collapsed="false">
      <c r="A647" s="33"/>
      <c r="B647" s="27"/>
      <c r="C647" s="27"/>
      <c r="D647" s="27"/>
      <c r="E647" s="27"/>
      <c r="F647" s="34"/>
      <c r="G647" s="27"/>
      <c r="H647" s="27"/>
      <c r="I647" s="28" t="str">
        <f aca="false">IF(C647="","",IFERROR(INDEX(Settings!$C$8:$C$19,MATCH(C647,Settings!$B$8:$B$19,0)),"?"))</f>
        <v/>
      </c>
      <c r="J647" s="28" t="str">
        <f aca="false">IF(G647="","",IFERROR(INDEX(Settings!$C$8:$C$19,MATCH(G647,Settings!$B$8:$B$19,0)),"?"))</f>
        <v/>
      </c>
      <c r="K647" s="35" t="str">
        <f aca="false">IF(A647="","",DATE(YEAR(A647),MONTH(A647),1))</f>
        <v/>
      </c>
      <c r="L647" s="28" t="str">
        <f aca="false">IF(E647="","",IFERROR(INDEX(Settings!$K$8:$K$38,MATCH(E647,Settings!$H$8:$H$38,0))&amp;"",""))</f>
        <v/>
      </c>
    </row>
    <row r="648" customFormat="false" ht="15" hidden="false" customHeight="false" outlineLevel="0" collapsed="false">
      <c r="A648" s="33"/>
      <c r="B648" s="27"/>
      <c r="C648" s="27"/>
      <c r="D648" s="27"/>
      <c r="E648" s="27"/>
      <c r="F648" s="34"/>
      <c r="G648" s="27"/>
      <c r="H648" s="27"/>
      <c r="I648" s="28" t="str">
        <f aca="false">IF(C648="","",IFERROR(INDEX(Settings!$C$8:$C$19,MATCH(C648,Settings!$B$8:$B$19,0)),"?"))</f>
        <v/>
      </c>
      <c r="J648" s="28" t="str">
        <f aca="false">IF(G648="","",IFERROR(INDEX(Settings!$C$8:$C$19,MATCH(G648,Settings!$B$8:$B$19,0)),"?"))</f>
        <v/>
      </c>
      <c r="K648" s="35" t="str">
        <f aca="false">IF(A648="","",DATE(YEAR(A648),MONTH(A648),1))</f>
        <v/>
      </c>
      <c r="L648" s="28" t="str">
        <f aca="false">IF(E648="","",IFERROR(INDEX(Settings!$K$8:$K$38,MATCH(E648,Settings!$H$8:$H$38,0))&amp;"",""))</f>
        <v/>
      </c>
    </row>
    <row r="649" customFormat="false" ht="15" hidden="false" customHeight="false" outlineLevel="0" collapsed="false">
      <c r="A649" s="33"/>
      <c r="B649" s="27"/>
      <c r="C649" s="27"/>
      <c r="D649" s="27"/>
      <c r="E649" s="27"/>
      <c r="F649" s="34"/>
      <c r="G649" s="27"/>
      <c r="H649" s="27"/>
      <c r="I649" s="28" t="str">
        <f aca="false">IF(C649="","",IFERROR(INDEX(Settings!$C$8:$C$19,MATCH(C649,Settings!$B$8:$B$19,0)),"?"))</f>
        <v/>
      </c>
      <c r="J649" s="28" t="str">
        <f aca="false">IF(G649="","",IFERROR(INDEX(Settings!$C$8:$C$19,MATCH(G649,Settings!$B$8:$B$19,0)),"?"))</f>
        <v/>
      </c>
      <c r="K649" s="35" t="str">
        <f aca="false">IF(A649="","",DATE(YEAR(A649),MONTH(A649),1))</f>
        <v/>
      </c>
      <c r="L649" s="28" t="str">
        <f aca="false">IF(E649="","",IFERROR(INDEX(Settings!$K$8:$K$38,MATCH(E649,Settings!$H$8:$H$38,0))&amp;"",""))</f>
        <v/>
      </c>
    </row>
    <row r="650" customFormat="false" ht="15" hidden="false" customHeight="false" outlineLevel="0" collapsed="false">
      <c r="A650" s="33"/>
      <c r="B650" s="27"/>
      <c r="C650" s="27"/>
      <c r="D650" s="27"/>
      <c r="E650" s="27"/>
      <c r="F650" s="34"/>
      <c r="G650" s="27"/>
      <c r="H650" s="27"/>
      <c r="I650" s="28" t="str">
        <f aca="false">IF(C650="","",IFERROR(INDEX(Settings!$C$8:$C$19,MATCH(C650,Settings!$B$8:$B$19,0)),"?"))</f>
        <v/>
      </c>
      <c r="J650" s="28" t="str">
        <f aca="false">IF(G650="","",IFERROR(INDEX(Settings!$C$8:$C$19,MATCH(G650,Settings!$B$8:$B$19,0)),"?"))</f>
        <v/>
      </c>
      <c r="K650" s="35" t="str">
        <f aca="false">IF(A650="","",DATE(YEAR(A650),MONTH(A650),1))</f>
        <v/>
      </c>
      <c r="L650" s="28" t="str">
        <f aca="false">IF(E650="","",IFERROR(INDEX(Settings!$K$8:$K$38,MATCH(E650,Settings!$H$8:$H$38,0))&amp;"",""))</f>
        <v/>
      </c>
    </row>
    <row r="651" customFormat="false" ht="15" hidden="false" customHeight="false" outlineLevel="0" collapsed="false">
      <c r="A651" s="33"/>
      <c r="B651" s="27"/>
      <c r="C651" s="27"/>
      <c r="D651" s="27"/>
      <c r="E651" s="27"/>
      <c r="F651" s="34"/>
      <c r="G651" s="27"/>
      <c r="H651" s="27"/>
      <c r="I651" s="28" t="str">
        <f aca="false">IF(C651="","",IFERROR(INDEX(Settings!$C$8:$C$19,MATCH(C651,Settings!$B$8:$B$19,0)),"?"))</f>
        <v/>
      </c>
      <c r="J651" s="28" t="str">
        <f aca="false">IF(G651="","",IFERROR(INDEX(Settings!$C$8:$C$19,MATCH(G651,Settings!$B$8:$B$19,0)),"?"))</f>
        <v/>
      </c>
      <c r="K651" s="35" t="str">
        <f aca="false">IF(A651="","",DATE(YEAR(A651),MONTH(A651),1))</f>
        <v/>
      </c>
      <c r="L651" s="28" t="str">
        <f aca="false">IF(E651="","",IFERROR(INDEX(Settings!$K$8:$K$38,MATCH(E651,Settings!$H$8:$H$38,0))&amp;"",""))</f>
        <v/>
      </c>
    </row>
    <row r="652" customFormat="false" ht="15" hidden="false" customHeight="false" outlineLevel="0" collapsed="false">
      <c r="A652" s="33"/>
      <c r="B652" s="27"/>
      <c r="C652" s="27"/>
      <c r="D652" s="27"/>
      <c r="E652" s="27"/>
      <c r="F652" s="34"/>
      <c r="G652" s="27"/>
      <c r="H652" s="27"/>
      <c r="I652" s="28" t="str">
        <f aca="false">IF(C652="","",IFERROR(INDEX(Settings!$C$8:$C$19,MATCH(C652,Settings!$B$8:$B$19,0)),"?"))</f>
        <v/>
      </c>
      <c r="J652" s="28" t="str">
        <f aca="false">IF(G652="","",IFERROR(INDEX(Settings!$C$8:$C$19,MATCH(G652,Settings!$B$8:$B$19,0)),"?"))</f>
        <v/>
      </c>
      <c r="K652" s="35" t="str">
        <f aca="false">IF(A652="","",DATE(YEAR(A652),MONTH(A652),1))</f>
        <v/>
      </c>
      <c r="L652" s="28" t="str">
        <f aca="false">IF(E652="","",IFERROR(INDEX(Settings!$K$8:$K$38,MATCH(E652,Settings!$H$8:$H$38,0))&amp;"",""))</f>
        <v/>
      </c>
    </row>
    <row r="653" customFormat="false" ht="15" hidden="false" customHeight="false" outlineLevel="0" collapsed="false">
      <c r="A653" s="33"/>
      <c r="B653" s="27"/>
      <c r="C653" s="27"/>
      <c r="D653" s="27"/>
      <c r="E653" s="27"/>
      <c r="F653" s="34"/>
      <c r="G653" s="27"/>
      <c r="H653" s="27"/>
      <c r="I653" s="28" t="str">
        <f aca="false">IF(C653="","",IFERROR(INDEX(Settings!$C$8:$C$19,MATCH(C653,Settings!$B$8:$B$19,0)),"?"))</f>
        <v/>
      </c>
      <c r="J653" s="28" t="str">
        <f aca="false">IF(G653="","",IFERROR(INDEX(Settings!$C$8:$C$19,MATCH(G653,Settings!$B$8:$B$19,0)),"?"))</f>
        <v/>
      </c>
      <c r="K653" s="35" t="str">
        <f aca="false">IF(A653="","",DATE(YEAR(A653),MONTH(A653),1))</f>
        <v/>
      </c>
      <c r="L653" s="28" t="str">
        <f aca="false">IF(E653="","",IFERROR(INDEX(Settings!$K$8:$K$38,MATCH(E653,Settings!$H$8:$H$38,0))&amp;"",""))</f>
        <v/>
      </c>
    </row>
    <row r="654" customFormat="false" ht="15" hidden="false" customHeight="false" outlineLevel="0" collapsed="false">
      <c r="A654" s="33"/>
      <c r="B654" s="27"/>
      <c r="C654" s="27"/>
      <c r="D654" s="27"/>
      <c r="E654" s="27"/>
      <c r="F654" s="34"/>
      <c r="G654" s="27"/>
      <c r="H654" s="27"/>
      <c r="I654" s="28" t="str">
        <f aca="false">IF(C654="","",IFERROR(INDEX(Settings!$C$8:$C$19,MATCH(C654,Settings!$B$8:$B$19,0)),"?"))</f>
        <v/>
      </c>
      <c r="J654" s="28" t="str">
        <f aca="false">IF(G654="","",IFERROR(INDEX(Settings!$C$8:$C$19,MATCH(G654,Settings!$B$8:$B$19,0)),"?"))</f>
        <v/>
      </c>
      <c r="K654" s="35" t="str">
        <f aca="false">IF(A654="","",DATE(YEAR(A654),MONTH(A654),1))</f>
        <v/>
      </c>
      <c r="L654" s="28" t="str">
        <f aca="false">IF(E654="","",IFERROR(INDEX(Settings!$K$8:$K$38,MATCH(E654,Settings!$H$8:$H$38,0))&amp;"",""))</f>
        <v/>
      </c>
    </row>
    <row r="655" customFormat="false" ht="15" hidden="false" customHeight="false" outlineLevel="0" collapsed="false">
      <c r="A655" s="33"/>
      <c r="B655" s="27"/>
      <c r="C655" s="27"/>
      <c r="D655" s="27"/>
      <c r="E655" s="27"/>
      <c r="F655" s="34"/>
      <c r="G655" s="27"/>
      <c r="H655" s="27"/>
      <c r="I655" s="28" t="str">
        <f aca="false">IF(C655="","",IFERROR(INDEX(Settings!$C$8:$C$19,MATCH(C655,Settings!$B$8:$B$19,0)),"?"))</f>
        <v/>
      </c>
      <c r="J655" s="28" t="str">
        <f aca="false">IF(G655="","",IFERROR(INDEX(Settings!$C$8:$C$19,MATCH(G655,Settings!$B$8:$B$19,0)),"?"))</f>
        <v/>
      </c>
      <c r="K655" s="35" t="str">
        <f aca="false">IF(A655="","",DATE(YEAR(A655),MONTH(A655),1))</f>
        <v/>
      </c>
      <c r="L655" s="28" t="str">
        <f aca="false">IF(E655="","",IFERROR(INDEX(Settings!$K$8:$K$38,MATCH(E655,Settings!$H$8:$H$38,0))&amp;"",""))</f>
        <v/>
      </c>
    </row>
    <row r="656" customFormat="false" ht="15" hidden="false" customHeight="false" outlineLevel="0" collapsed="false">
      <c r="A656" s="33"/>
      <c r="B656" s="27"/>
      <c r="C656" s="27"/>
      <c r="D656" s="27"/>
      <c r="E656" s="27"/>
      <c r="F656" s="34"/>
      <c r="G656" s="27"/>
      <c r="H656" s="27"/>
      <c r="I656" s="28" t="str">
        <f aca="false">IF(C656="","",IFERROR(INDEX(Settings!$C$8:$C$19,MATCH(C656,Settings!$B$8:$B$19,0)),"?"))</f>
        <v/>
      </c>
      <c r="J656" s="28" t="str">
        <f aca="false">IF(G656="","",IFERROR(INDEX(Settings!$C$8:$C$19,MATCH(G656,Settings!$B$8:$B$19,0)),"?"))</f>
        <v/>
      </c>
      <c r="K656" s="35" t="str">
        <f aca="false">IF(A656="","",DATE(YEAR(A656),MONTH(A656),1))</f>
        <v/>
      </c>
      <c r="L656" s="28" t="str">
        <f aca="false">IF(E656="","",IFERROR(INDEX(Settings!$K$8:$K$38,MATCH(E656,Settings!$H$8:$H$38,0))&amp;"",""))</f>
        <v/>
      </c>
    </row>
    <row r="657" customFormat="false" ht="15" hidden="false" customHeight="false" outlineLevel="0" collapsed="false">
      <c r="A657" s="33"/>
      <c r="B657" s="27"/>
      <c r="C657" s="27"/>
      <c r="D657" s="27"/>
      <c r="E657" s="27"/>
      <c r="F657" s="34"/>
      <c r="G657" s="27"/>
      <c r="H657" s="27"/>
      <c r="I657" s="28" t="str">
        <f aca="false">IF(C657="","",IFERROR(INDEX(Settings!$C$8:$C$19,MATCH(C657,Settings!$B$8:$B$19,0)),"?"))</f>
        <v/>
      </c>
      <c r="J657" s="28" t="str">
        <f aca="false">IF(G657="","",IFERROR(INDEX(Settings!$C$8:$C$19,MATCH(G657,Settings!$B$8:$B$19,0)),"?"))</f>
        <v/>
      </c>
      <c r="K657" s="35" t="str">
        <f aca="false">IF(A657="","",DATE(YEAR(A657),MONTH(A657),1))</f>
        <v/>
      </c>
      <c r="L657" s="28" t="str">
        <f aca="false">IF(E657="","",IFERROR(INDEX(Settings!$K$8:$K$38,MATCH(E657,Settings!$H$8:$H$38,0))&amp;"",""))</f>
        <v/>
      </c>
    </row>
    <row r="658" customFormat="false" ht="15" hidden="false" customHeight="false" outlineLevel="0" collapsed="false">
      <c r="A658" s="33"/>
      <c r="B658" s="27"/>
      <c r="C658" s="27"/>
      <c r="D658" s="27"/>
      <c r="E658" s="27"/>
      <c r="F658" s="34"/>
      <c r="G658" s="27"/>
      <c r="H658" s="27"/>
      <c r="I658" s="28" t="str">
        <f aca="false">IF(C658="","",IFERROR(INDEX(Settings!$C$8:$C$19,MATCH(C658,Settings!$B$8:$B$19,0)),"?"))</f>
        <v/>
      </c>
      <c r="J658" s="28" t="str">
        <f aca="false">IF(G658="","",IFERROR(INDEX(Settings!$C$8:$C$19,MATCH(G658,Settings!$B$8:$B$19,0)),"?"))</f>
        <v/>
      </c>
      <c r="K658" s="35" t="str">
        <f aca="false">IF(A658="","",DATE(YEAR(A658),MONTH(A658),1))</f>
        <v/>
      </c>
      <c r="L658" s="28" t="str">
        <f aca="false">IF(E658="","",IFERROR(INDEX(Settings!$K$8:$K$38,MATCH(E658,Settings!$H$8:$H$38,0))&amp;"",""))</f>
        <v/>
      </c>
    </row>
    <row r="659" customFormat="false" ht="15" hidden="false" customHeight="false" outlineLevel="0" collapsed="false">
      <c r="A659" s="33"/>
      <c r="B659" s="27"/>
      <c r="C659" s="27"/>
      <c r="D659" s="27"/>
      <c r="E659" s="27"/>
      <c r="F659" s="34"/>
      <c r="G659" s="27"/>
      <c r="H659" s="27"/>
      <c r="I659" s="28" t="str">
        <f aca="false">IF(C659="","",IFERROR(INDEX(Settings!$C$8:$C$19,MATCH(C659,Settings!$B$8:$B$19,0)),"?"))</f>
        <v/>
      </c>
      <c r="J659" s="28" t="str">
        <f aca="false">IF(G659="","",IFERROR(INDEX(Settings!$C$8:$C$19,MATCH(G659,Settings!$B$8:$B$19,0)),"?"))</f>
        <v/>
      </c>
      <c r="K659" s="35" t="str">
        <f aca="false">IF(A659="","",DATE(YEAR(A659),MONTH(A659),1))</f>
        <v/>
      </c>
      <c r="L659" s="28" t="str">
        <f aca="false">IF(E659="","",IFERROR(INDEX(Settings!$K$8:$K$38,MATCH(E659,Settings!$H$8:$H$38,0))&amp;"",""))</f>
        <v/>
      </c>
    </row>
    <row r="660" customFormat="false" ht="15" hidden="false" customHeight="false" outlineLevel="0" collapsed="false">
      <c r="A660" s="33"/>
      <c r="B660" s="27"/>
      <c r="C660" s="27"/>
      <c r="D660" s="27"/>
      <c r="E660" s="27"/>
      <c r="F660" s="34"/>
      <c r="G660" s="27"/>
      <c r="H660" s="27"/>
      <c r="I660" s="28" t="str">
        <f aca="false">IF(C660="","",IFERROR(INDEX(Settings!$C$8:$C$19,MATCH(C660,Settings!$B$8:$B$19,0)),"?"))</f>
        <v/>
      </c>
      <c r="J660" s="28" t="str">
        <f aca="false">IF(G660="","",IFERROR(INDEX(Settings!$C$8:$C$19,MATCH(G660,Settings!$B$8:$B$19,0)),"?"))</f>
        <v/>
      </c>
      <c r="K660" s="35" t="str">
        <f aca="false">IF(A660="","",DATE(YEAR(A660),MONTH(A660),1))</f>
        <v/>
      </c>
      <c r="L660" s="28" t="str">
        <f aca="false">IF(E660="","",IFERROR(INDEX(Settings!$K$8:$K$38,MATCH(E660,Settings!$H$8:$H$38,0))&amp;"",""))</f>
        <v/>
      </c>
    </row>
    <row r="661" customFormat="false" ht="15" hidden="false" customHeight="false" outlineLevel="0" collapsed="false">
      <c r="A661" s="33"/>
      <c r="B661" s="27"/>
      <c r="C661" s="27"/>
      <c r="D661" s="27"/>
      <c r="E661" s="27"/>
      <c r="F661" s="34"/>
      <c r="G661" s="27"/>
      <c r="H661" s="27"/>
      <c r="I661" s="28" t="str">
        <f aca="false">IF(C661="","",IFERROR(INDEX(Settings!$C$8:$C$19,MATCH(C661,Settings!$B$8:$B$19,0)),"?"))</f>
        <v/>
      </c>
      <c r="J661" s="28" t="str">
        <f aca="false">IF(G661="","",IFERROR(INDEX(Settings!$C$8:$C$19,MATCH(G661,Settings!$B$8:$B$19,0)),"?"))</f>
        <v/>
      </c>
      <c r="K661" s="35" t="str">
        <f aca="false">IF(A661="","",DATE(YEAR(A661),MONTH(A661),1))</f>
        <v/>
      </c>
      <c r="L661" s="28" t="str">
        <f aca="false">IF(E661="","",IFERROR(INDEX(Settings!$K$8:$K$38,MATCH(E661,Settings!$H$8:$H$38,0))&amp;"",""))</f>
        <v/>
      </c>
    </row>
    <row r="662" customFormat="false" ht="15" hidden="false" customHeight="false" outlineLevel="0" collapsed="false">
      <c r="A662" s="33"/>
      <c r="B662" s="27"/>
      <c r="C662" s="27"/>
      <c r="D662" s="27"/>
      <c r="E662" s="27"/>
      <c r="F662" s="34"/>
      <c r="G662" s="27"/>
      <c r="H662" s="27"/>
      <c r="I662" s="28" t="str">
        <f aca="false">IF(C662="","",IFERROR(INDEX(Settings!$C$8:$C$19,MATCH(C662,Settings!$B$8:$B$19,0)),"?"))</f>
        <v/>
      </c>
      <c r="J662" s="28" t="str">
        <f aca="false">IF(G662="","",IFERROR(INDEX(Settings!$C$8:$C$19,MATCH(G662,Settings!$B$8:$B$19,0)),"?"))</f>
        <v/>
      </c>
      <c r="K662" s="35" t="str">
        <f aca="false">IF(A662="","",DATE(YEAR(A662),MONTH(A662),1))</f>
        <v/>
      </c>
      <c r="L662" s="28" t="str">
        <f aca="false">IF(E662="","",IFERROR(INDEX(Settings!$K$8:$K$38,MATCH(E662,Settings!$H$8:$H$38,0))&amp;"",""))</f>
        <v/>
      </c>
    </row>
    <row r="663" customFormat="false" ht="15" hidden="false" customHeight="false" outlineLevel="0" collapsed="false">
      <c r="A663" s="33"/>
      <c r="B663" s="27"/>
      <c r="C663" s="27"/>
      <c r="D663" s="27"/>
      <c r="E663" s="27"/>
      <c r="F663" s="34"/>
      <c r="G663" s="27"/>
      <c r="H663" s="27"/>
      <c r="I663" s="28" t="str">
        <f aca="false">IF(C663="","",IFERROR(INDEX(Settings!$C$8:$C$19,MATCH(C663,Settings!$B$8:$B$19,0)),"?"))</f>
        <v/>
      </c>
      <c r="J663" s="28" t="str">
        <f aca="false">IF(G663="","",IFERROR(INDEX(Settings!$C$8:$C$19,MATCH(G663,Settings!$B$8:$B$19,0)),"?"))</f>
        <v/>
      </c>
      <c r="K663" s="35" t="str">
        <f aca="false">IF(A663="","",DATE(YEAR(A663),MONTH(A663),1))</f>
        <v/>
      </c>
      <c r="L663" s="28" t="str">
        <f aca="false">IF(E663="","",IFERROR(INDEX(Settings!$K$8:$K$38,MATCH(E663,Settings!$H$8:$H$38,0))&amp;"",""))</f>
        <v/>
      </c>
    </row>
    <row r="664" customFormat="false" ht="15" hidden="false" customHeight="false" outlineLevel="0" collapsed="false">
      <c r="A664" s="33"/>
      <c r="B664" s="27"/>
      <c r="C664" s="27"/>
      <c r="D664" s="27"/>
      <c r="E664" s="27"/>
      <c r="F664" s="34"/>
      <c r="G664" s="27"/>
      <c r="H664" s="27"/>
      <c r="I664" s="28" t="str">
        <f aca="false">IF(C664="","",IFERROR(INDEX(Settings!$C$8:$C$19,MATCH(C664,Settings!$B$8:$B$19,0)),"?"))</f>
        <v/>
      </c>
      <c r="J664" s="28" t="str">
        <f aca="false">IF(G664="","",IFERROR(INDEX(Settings!$C$8:$C$19,MATCH(G664,Settings!$B$8:$B$19,0)),"?"))</f>
        <v/>
      </c>
      <c r="K664" s="35" t="str">
        <f aca="false">IF(A664="","",DATE(YEAR(A664),MONTH(A664),1))</f>
        <v/>
      </c>
      <c r="L664" s="28" t="str">
        <f aca="false">IF(E664="","",IFERROR(INDEX(Settings!$K$8:$K$38,MATCH(E664,Settings!$H$8:$H$38,0))&amp;"",""))</f>
        <v/>
      </c>
    </row>
    <row r="665" customFormat="false" ht="15" hidden="false" customHeight="false" outlineLevel="0" collapsed="false">
      <c r="A665" s="33"/>
      <c r="B665" s="27"/>
      <c r="C665" s="27"/>
      <c r="D665" s="27"/>
      <c r="E665" s="27"/>
      <c r="F665" s="34"/>
      <c r="G665" s="27"/>
      <c r="H665" s="27"/>
      <c r="I665" s="28" t="str">
        <f aca="false">IF(C665="","",IFERROR(INDEX(Settings!$C$8:$C$19,MATCH(C665,Settings!$B$8:$B$19,0)),"?"))</f>
        <v/>
      </c>
      <c r="J665" s="28" t="str">
        <f aca="false">IF(G665="","",IFERROR(INDEX(Settings!$C$8:$C$19,MATCH(G665,Settings!$B$8:$B$19,0)),"?"))</f>
        <v/>
      </c>
      <c r="K665" s="35" t="str">
        <f aca="false">IF(A665="","",DATE(YEAR(A665),MONTH(A665),1))</f>
        <v/>
      </c>
      <c r="L665" s="28" t="str">
        <f aca="false">IF(E665="","",IFERROR(INDEX(Settings!$K$8:$K$38,MATCH(E665,Settings!$H$8:$H$38,0))&amp;"",""))</f>
        <v/>
      </c>
    </row>
    <row r="666" customFormat="false" ht="15" hidden="false" customHeight="false" outlineLevel="0" collapsed="false">
      <c r="A666" s="33"/>
      <c r="B666" s="27"/>
      <c r="C666" s="27"/>
      <c r="D666" s="27"/>
      <c r="E666" s="27"/>
      <c r="F666" s="34"/>
      <c r="G666" s="27"/>
      <c r="H666" s="27"/>
      <c r="I666" s="28" t="str">
        <f aca="false">IF(C666="","",IFERROR(INDEX(Settings!$C$8:$C$19,MATCH(C666,Settings!$B$8:$B$19,0)),"?"))</f>
        <v/>
      </c>
      <c r="J666" s="28" t="str">
        <f aca="false">IF(G666="","",IFERROR(INDEX(Settings!$C$8:$C$19,MATCH(G666,Settings!$B$8:$B$19,0)),"?"))</f>
        <v/>
      </c>
      <c r="K666" s="35" t="str">
        <f aca="false">IF(A666="","",DATE(YEAR(A666),MONTH(A666),1))</f>
        <v/>
      </c>
      <c r="L666" s="28" t="str">
        <f aca="false">IF(E666="","",IFERROR(INDEX(Settings!$K$8:$K$38,MATCH(E666,Settings!$H$8:$H$38,0))&amp;"",""))</f>
        <v/>
      </c>
    </row>
    <row r="667" customFormat="false" ht="15" hidden="false" customHeight="false" outlineLevel="0" collapsed="false">
      <c r="A667" s="33"/>
      <c r="B667" s="27"/>
      <c r="C667" s="27"/>
      <c r="D667" s="27"/>
      <c r="E667" s="27"/>
      <c r="F667" s="34"/>
      <c r="G667" s="27"/>
      <c r="H667" s="27"/>
      <c r="I667" s="28" t="str">
        <f aca="false">IF(C667="","",IFERROR(INDEX(Settings!$C$8:$C$19,MATCH(C667,Settings!$B$8:$B$19,0)),"?"))</f>
        <v/>
      </c>
      <c r="J667" s="28" t="str">
        <f aca="false">IF(G667="","",IFERROR(INDEX(Settings!$C$8:$C$19,MATCH(G667,Settings!$B$8:$B$19,0)),"?"))</f>
        <v/>
      </c>
      <c r="K667" s="35" t="str">
        <f aca="false">IF(A667="","",DATE(YEAR(A667),MONTH(A667),1))</f>
        <v/>
      </c>
      <c r="L667" s="28" t="str">
        <f aca="false">IF(E667="","",IFERROR(INDEX(Settings!$K$8:$K$38,MATCH(E667,Settings!$H$8:$H$38,0))&amp;"",""))</f>
        <v/>
      </c>
    </row>
    <row r="668" customFormat="false" ht="15" hidden="false" customHeight="false" outlineLevel="0" collapsed="false">
      <c r="A668" s="33"/>
      <c r="B668" s="27"/>
      <c r="C668" s="27"/>
      <c r="D668" s="27"/>
      <c r="E668" s="27"/>
      <c r="F668" s="34"/>
      <c r="G668" s="27"/>
      <c r="H668" s="27"/>
      <c r="I668" s="28" t="str">
        <f aca="false">IF(C668="","",IFERROR(INDEX(Settings!$C$8:$C$19,MATCH(C668,Settings!$B$8:$B$19,0)),"?"))</f>
        <v/>
      </c>
      <c r="J668" s="28" t="str">
        <f aca="false">IF(G668="","",IFERROR(INDEX(Settings!$C$8:$C$19,MATCH(G668,Settings!$B$8:$B$19,0)),"?"))</f>
        <v/>
      </c>
      <c r="K668" s="35" t="str">
        <f aca="false">IF(A668="","",DATE(YEAR(A668),MONTH(A668),1))</f>
        <v/>
      </c>
      <c r="L668" s="28" t="str">
        <f aca="false">IF(E668="","",IFERROR(INDEX(Settings!$K$8:$K$38,MATCH(E668,Settings!$H$8:$H$38,0))&amp;"",""))</f>
        <v/>
      </c>
    </row>
    <row r="669" customFormat="false" ht="15" hidden="false" customHeight="false" outlineLevel="0" collapsed="false">
      <c r="A669" s="33"/>
      <c r="B669" s="27"/>
      <c r="C669" s="27"/>
      <c r="D669" s="27"/>
      <c r="E669" s="27"/>
      <c r="F669" s="34"/>
      <c r="G669" s="27"/>
      <c r="H669" s="27"/>
      <c r="I669" s="28" t="str">
        <f aca="false">IF(C669="","",IFERROR(INDEX(Settings!$C$8:$C$19,MATCH(C669,Settings!$B$8:$B$19,0)),"?"))</f>
        <v/>
      </c>
      <c r="J669" s="28" t="str">
        <f aca="false">IF(G669="","",IFERROR(INDEX(Settings!$C$8:$C$19,MATCH(G669,Settings!$B$8:$B$19,0)),"?"))</f>
        <v/>
      </c>
      <c r="K669" s="35" t="str">
        <f aca="false">IF(A669="","",DATE(YEAR(A669),MONTH(A669),1))</f>
        <v/>
      </c>
      <c r="L669" s="28" t="str">
        <f aca="false">IF(E669="","",IFERROR(INDEX(Settings!$K$8:$K$38,MATCH(E669,Settings!$H$8:$H$38,0))&amp;"",""))</f>
        <v/>
      </c>
    </row>
    <row r="670" customFormat="false" ht="15" hidden="false" customHeight="false" outlineLevel="0" collapsed="false">
      <c r="A670" s="33"/>
      <c r="B670" s="27"/>
      <c r="C670" s="27"/>
      <c r="D670" s="27"/>
      <c r="E670" s="27"/>
      <c r="F670" s="34"/>
      <c r="G670" s="27"/>
      <c r="H670" s="27"/>
      <c r="I670" s="28" t="str">
        <f aca="false">IF(C670="","",IFERROR(INDEX(Settings!$C$8:$C$19,MATCH(C670,Settings!$B$8:$B$19,0)),"?"))</f>
        <v/>
      </c>
      <c r="J670" s="28" t="str">
        <f aca="false">IF(G670="","",IFERROR(INDEX(Settings!$C$8:$C$19,MATCH(G670,Settings!$B$8:$B$19,0)),"?"))</f>
        <v/>
      </c>
      <c r="K670" s="35" t="str">
        <f aca="false">IF(A670="","",DATE(YEAR(A670),MONTH(A670),1))</f>
        <v/>
      </c>
      <c r="L670" s="28" t="str">
        <f aca="false">IF(E670="","",IFERROR(INDEX(Settings!$K$8:$K$38,MATCH(E670,Settings!$H$8:$H$38,0))&amp;"",""))</f>
        <v/>
      </c>
    </row>
    <row r="671" customFormat="false" ht="15" hidden="false" customHeight="false" outlineLevel="0" collapsed="false">
      <c r="A671" s="33"/>
      <c r="B671" s="27"/>
      <c r="C671" s="27"/>
      <c r="D671" s="27"/>
      <c r="E671" s="27"/>
      <c r="F671" s="34"/>
      <c r="G671" s="27"/>
      <c r="H671" s="27"/>
      <c r="I671" s="28" t="str">
        <f aca="false">IF(C671="","",IFERROR(INDEX(Settings!$C$8:$C$19,MATCH(C671,Settings!$B$8:$B$19,0)),"?"))</f>
        <v/>
      </c>
      <c r="J671" s="28" t="str">
        <f aca="false">IF(G671="","",IFERROR(INDEX(Settings!$C$8:$C$19,MATCH(G671,Settings!$B$8:$B$19,0)),"?"))</f>
        <v/>
      </c>
      <c r="K671" s="35" t="str">
        <f aca="false">IF(A671="","",DATE(YEAR(A671),MONTH(A671),1))</f>
        <v/>
      </c>
      <c r="L671" s="28" t="str">
        <f aca="false">IF(E671="","",IFERROR(INDEX(Settings!$K$8:$K$38,MATCH(E671,Settings!$H$8:$H$38,0))&amp;"",""))</f>
        <v/>
      </c>
    </row>
    <row r="672" customFormat="false" ht="15" hidden="false" customHeight="false" outlineLevel="0" collapsed="false">
      <c r="A672" s="33"/>
      <c r="B672" s="27"/>
      <c r="C672" s="27"/>
      <c r="D672" s="27"/>
      <c r="E672" s="27"/>
      <c r="F672" s="34"/>
      <c r="G672" s="27"/>
      <c r="H672" s="27"/>
      <c r="I672" s="28" t="str">
        <f aca="false">IF(C672="","",IFERROR(INDEX(Settings!$C$8:$C$19,MATCH(C672,Settings!$B$8:$B$19,0)),"?"))</f>
        <v/>
      </c>
      <c r="J672" s="28" t="str">
        <f aca="false">IF(G672="","",IFERROR(INDEX(Settings!$C$8:$C$19,MATCH(G672,Settings!$B$8:$B$19,0)),"?"))</f>
        <v/>
      </c>
      <c r="K672" s="35" t="str">
        <f aca="false">IF(A672="","",DATE(YEAR(A672),MONTH(A672),1))</f>
        <v/>
      </c>
      <c r="L672" s="28" t="str">
        <f aca="false">IF(E672="","",IFERROR(INDEX(Settings!$K$8:$K$38,MATCH(E672,Settings!$H$8:$H$38,0))&amp;"",""))</f>
        <v/>
      </c>
    </row>
    <row r="673" customFormat="false" ht="15" hidden="false" customHeight="false" outlineLevel="0" collapsed="false">
      <c r="A673" s="33"/>
      <c r="B673" s="27"/>
      <c r="C673" s="27"/>
      <c r="D673" s="27"/>
      <c r="E673" s="27"/>
      <c r="F673" s="34"/>
      <c r="G673" s="27"/>
      <c r="H673" s="27"/>
      <c r="I673" s="28" t="str">
        <f aca="false">IF(C673="","",IFERROR(INDEX(Settings!$C$8:$C$19,MATCH(C673,Settings!$B$8:$B$19,0)),"?"))</f>
        <v/>
      </c>
      <c r="J673" s="28" t="str">
        <f aca="false">IF(G673="","",IFERROR(INDEX(Settings!$C$8:$C$19,MATCH(G673,Settings!$B$8:$B$19,0)),"?"))</f>
        <v/>
      </c>
      <c r="K673" s="35" t="str">
        <f aca="false">IF(A673="","",DATE(YEAR(A673),MONTH(A673),1))</f>
        <v/>
      </c>
      <c r="L673" s="28" t="str">
        <f aca="false">IF(E673="","",IFERROR(INDEX(Settings!$K$8:$K$38,MATCH(E673,Settings!$H$8:$H$38,0))&amp;"",""))</f>
        <v/>
      </c>
    </row>
    <row r="674" customFormat="false" ht="15" hidden="false" customHeight="false" outlineLevel="0" collapsed="false">
      <c r="A674" s="33"/>
      <c r="B674" s="27"/>
      <c r="C674" s="27"/>
      <c r="D674" s="27"/>
      <c r="E674" s="27"/>
      <c r="F674" s="34"/>
      <c r="G674" s="27"/>
      <c r="H674" s="27"/>
      <c r="I674" s="28" t="str">
        <f aca="false">IF(C674="","",IFERROR(INDEX(Settings!$C$8:$C$19,MATCH(C674,Settings!$B$8:$B$19,0)),"?"))</f>
        <v/>
      </c>
      <c r="J674" s="28" t="str">
        <f aca="false">IF(G674="","",IFERROR(INDEX(Settings!$C$8:$C$19,MATCH(G674,Settings!$B$8:$B$19,0)),"?"))</f>
        <v/>
      </c>
      <c r="K674" s="35" t="str">
        <f aca="false">IF(A674="","",DATE(YEAR(A674),MONTH(A674),1))</f>
        <v/>
      </c>
      <c r="L674" s="28" t="str">
        <f aca="false">IF(E674="","",IFERROR(INDEX(Settings!$K$8:$K$38,MATCH(E674,Settings!$H$8:$H$38,0))&amp;"",""))</f>
        <v/>
      </c>
    </row>
    <row r="675" customFormat="false" ht="15" hidden="false" customHeight="false" outlineLevel="0" collapsed="false">
      <c r="A675" s="33"/>
      <c r="B675" s="27"/>
      <c r="C675" s="27"/>
      <c r="D675" s="27"/>
      <c r="E675" s="27"/>
      <c r="F675" s="34"/>
      <c r="G675" s="27"/>
      <c r="H675" s="27"/>
      <c r="I675" s="28" t="str">
        <f aca="false">IF(C675="","",IFERROR(INDEX(Settings!$C$8:$C$19,MATCH(C675,Settings!$B$8:$B$19,0)),"?"))</f>
        <v/>
      </c>
      <c r="J675" s="28" t="str">
        <f aca="false">IF(G675="","",IFERROR(INDEX(Settings!$C$8:$C$19,MATCH(G675,Settings!$B$8:$B$19,0)),"?"))</f>
        <v/>
      </c>
      <c r="K675" s="35" t="str">
        <f aca="false">IF(A675="","",DATE(YEAR(A675),MONTH(A675),1))</f>
        <v/>
      </c>
      <c r="L675" s="28" t="str">
        <f aca="false">IF(E675="","",IFERROR(INDEX(Settings!$K$8:$K$38,MATCH(E675,Settings!$H$8:$H$38,0))&amp;"",""))</f>
        <v/>
      </c>
    </row>
    <row r="676" customFormat="false" ht="15" hidden="false" customHeight="false" outlineLevel="0" collapsed="false">
      <c r="A676" s="33"/>
      <c r="B676" s="27"/>
      <c r="C676" s="27"/>
      <c r="D676" s="27"/>
      <c r="E676" s="27"/>
      <c r="F676" s="34"/>
      <c r="G676" s="27"/>
      <c r="H676" s="27"/>
      <c r="I676" s="28" t="str">
        <f aca="false">IF(C676="","",IFERROR(INDEX(Settings!$C$8:$C$19,MATCH(C676,Settings!$B$8:$B$19,0)),"?"))</f>
        <v/>
      </c>
      <c r="J676" s="28" t="str">
        <f aca="false">IF(G676="","",IFERROR(INDEX(Settings!$C$8:$C$19,MATCH(G676,Settings!$B$8:$B$19,0)),"?"))</f>
        <v/>
      </c>
      <c r="K676" s="35" t="str">
        <f aca="false">IF(A676="","",DATE(YEAR(A676),MONTH(A676),1))</f>
        <v/>
      </c>
      <c r="L676" s="28" t="str">
        <f aca="false">IF(E676="","",IFERROR(INDEX(Settings!$K$8:$K$38,MATCH(E676,Settings!$H$8:$H$38,0))&amp;"",""))</f>
        <v/>
      </c>
    </row>
    <row r="677" customFormat="false" ht="15" hidden="false" customHeight="false" outlineLevel="0" collapsed="false">
      <c r="A677" s="33"/>
      <c r="B677" s="27"/>
      <c r="C677" s="27"/>
      <c r="D677" s="27"/>
      <c r="E677" s="27"/>
      <c r="F677" s="34"/>
      <c r="G677" s="27"/>
      <c r="H677" s="27"/>
      <c r="I677" s="28" t="str">
        <f aca="false">IF(C677="","",IFERROR(INDEX(Settings!$C$8:$C$19,MATCH(C677,Settings!$B$8:$B$19,0)),"?"))</f>
        <v/>
      </c>
      <c r="J677" s="28" t="str">
        <f aca="false">IF(G677="","",IFERROR(INDEX(Settings!$C$8:$C$19,MATCH(G677,Settings!$B$8:$B$19,0)),"?"))</f>
        <v/>
      </c>
      <c r="K677" s="35" t="str">
        <f aca="false">IF(A677="","",DATE(YEAR(A677),MONTH(A677),1))</f>
        <v/>
      </c>
      <c r="L677" s="28" t="str">
        <f aca="false">IF(E677="","",IFERROR(INDEX(Settings!$K$8:$K$38,MATCH(E677,Settings!$H$8:$H$38,0))&amp;"",""))</f>
        <v/>
      </c>
    </row>
    <row r="678" customFormat="false" ht="15" hidden="false" customHeight="false" outlineLevel="0" collapsed="false">
      <c r="A678" s="33"/>
      <c r="B678" s="27"/>
      <c r="C678" s="27"/>
      <c r="D678" s="27"/>
      <c r="E678" s="27"/>
      <c r="F678" s="34"/>
      <c r="G678" s="27"/>
      <c r="H678" s="27"/>
      <c r="I678" s="28" t="str">
        <f aca="false">IF(C678="","",IFERROR(INDEX(Settings!$C$8:$C$19,MATCH(C678,Settings!$B$8:$B$19,0)),"?"))</f>
        <v/>
      </c>
      <c r="J678" s="28" t="str">
        <f aca="false">IF(G678="","",IFERROR(INDEX(Settings!$C$8:$C$19,MATCH(G678,Settings!$B$8:$B$19,0)),"?"))</f>
        <v/>
      </c>
      <c r="K678" s="35" t="str">
        <f aca="false">IF(A678="","",DATE(YEAR(A678),MONTH(A678),1))</f>
        <v/>
      </c>
      <c r="L678" s="28" t="str">
        <f aca="false">IF(E678="","",IFERROR(INDEX(Settings!$K$8:$K$38,MATCH(E678,Settings!$H$8:$H$38,0))&amp;"",""))</f>
        <v/>
      </c>
    </row>
    <row r="679" customFormat="false" ht="15" hidden="false" customHeight="false" outlineLevel="0" collapsed="false">
      <c r="A679" s="33"/>
      <c r="B679" s="27"/>
      <c r="C679" s="27"/>
      <c r="D679" s="27"/>
      <c r="E679" s="27"/>
      <c r="F679" s="34"/>
      <c r="G679" s="27"/>
      <c r="H679" s="27"/>
      <c r="I679" s="28" t="str">
        <f aca="false">IF(C679="","",IFERROR(INDEX(Settings!$C$8:$C$19,MATCH(C679,Settings!$B$8:$B$19,0)),"?"))</f>
        <v/>
      </c>
      <c r="J679" s="28" t="str">
        <f aca="false">IF(G679="","",IFERROR(INDEX(Settings!$C$8:$C$19,MATCH(G679,Settings!$B$8:$B$19,0)),"?"))</f>
        <v/>
      </c>
      <c r="K679" s="35" t="str">
        <f aca="false">IF(A679="","",DATE(YEAR(A679),MONTH(A679),1))</f>
        <v/>
      </c>
      <c r="L679" s="28" t="str">
        <f aca="false">IF(E679="","",IFERROR(INDEX(Settings!$K$8:$K$38,MATCH(E679,Settings!$H$8:$H$38,0))&amp;"",""))</f>
        <v/>
      </c>
    </row>
    <row r="680" customFormat="false" ht="15" hidden="false" customHeight="false" outlineLevel="0" collapsed="false">
      <c r="A680" s="33"/>
      <c r="B680" s="27"/>
      <c r="C680" s="27"/>
      <c r="D680" s="27"/>
      <c r="E680" s="27"/>
      <c r="F680" s="34"/>
      <c r="G680" s="27"/>
      <c r="H680" s="27"/>
      <c r="I680" s="28" t="str">
        <f aca="false">IF(C680="","",IFERROR(INDEX(Settings!$C$8:$C$19,MATCH(C680,Settings!$B$8:$B$19,0)),"?"))</f>
        <v/>
      </c>
      <c r="J680" s="28" t="str">
        <f aca="false">IF(G680="","",IFERROR(INDEX(Settings!$C$8:$C$19,MATCH(G680,Settings!$B$8:$B$19,0)),"?"))</f>
        <v/>
      </c>
      <c r="K680" s="35" t="str">
        <f aca="false">IF(A680="","",DATE(YEAR(A680),MONTH(A680),1))</f>
        <v/>
      </c>
      <c r="L680" s="28" t="str">
        <f aca="false">IF(E680="","",IFERROR(INDEX(Settings!$K$8:$K$38,MATCH(E680,Settings!$H$8:$H$38,0))&amp;"",""))</f>
        <v/>
      </c>
    </row>
    <row r="681" customFormat="false" ht="15" hidden="false" customHeight="false" outlineLevel="0" collapsed="false">
      <c r="A681" s="33"/>
      <c r="B681" s="27"/>
      <c r="C681" s="27"/>
      <c r="D681" s="27"/>
      <c r="E681" s="27"/>
      <c r="F681" s="34"/>
      <c r="G681" s="27"/>
      <c r="H681" s="27"/>
      <c r="I681" s="28" t="str">
        <f aca="false">IF(C681="","",IFERROR(INDEX(Settings!$C$8:$C$19,MATCH(C681,Settings!$B$8:$B$19,0)),"?"))</f>
        <v/>
      </c>
      <c r="J681" s="28" t="str">
        <f aca="false">IF(G681="","",IFERROR(INDEX(Settings!$C$8:$C$19,MATCH(G681,Settings!$B$8:$B$19,0)),"?"))</f>
        <v/>
      </c>
      <c r="K681" s="35" t="str">
        <f aca="false">IF(A681="","",DATE(YEAR(A681),MONTH(A681),1))</f>
        <v/>
      </c>
      <c r="L681" s="28" t="str">
        <f aca="false">IF(E681="","",IFERROR(INDEX(Settings!$K$8:$K$38,MATCH(E681,Settings!$H$8:$H$38,0))&amp;"",""))</f>
        <v/>
      </c>
    </row>
    <row r="682" customFormat="false" ht="15" hidden="false" customHeight="false" outlineLevel="0" collapsed="false">
      <c r="A682" s="33"/>
      <c r="B682" s="27"/>
      <c r="C682" s="27"/>
      <c r="D682" s="27"/>
      <c r="E682" s="27"/>
      <c r="F682" s="34"/>
      <c r="G682" s="27"/>
      <c r="H682" s="27"/>
      <c r="I682" s="28" t="str">
        <f aca="false">IF(C682="","",IFERROR(INDEX(Settings!$C$8:$C$19,MATCH(C682,Settings!$B$8:$B$19,0)),"?"))</f>
        <v/>
      </c>
      <c r="J682" s="28" t="str">
        <f aca="false">IF(G682="","",IFERROR(INDEX(Settings!$C$8:$C$19,MATCH(G682,Settings!$B$8:$B$19,0)),"?"))</f>
        <v/>
      </c>
      <c r="K682" s="35" t="str">
        <f aca="false">IF(A682="","",DATE(YEAR(A682),MONTH(A682),1))</f>
        <v/>
      </c>
      <c r="L682" s="28" t="str">
        <f aca="false">IF(E682="","",IFERROR(INDEX(Settings!$K$8:$K$38,MATCH(E682,Settings!$H$8:$H$38,0))&amp;"",""))</f>
        <v/>
      </c>
    </row>
    <row r="683" customFormat="false" ht="15" hidden="false" customHeight="false" outlineLevel="0" collapsed="false">
      <c r="A683" s="33"/>
      <c r="B683" s="27"/>
      <c r="C683" s="27"/>
      <c r="D683" s="27"/>
      <c r="E683" s="27"/>
      <c r="F683" s="34"/>
      <c r="G683" s="27"/>
      <c r="H683" s="27"/>
      <c r="I683" s="28" t="str">
        <f aca="false">IF(C683="","",IFERROR(INDEX(Settings!$C$8:$C$19,MATCH(C683,Settings!$B$8:$B$19,0)),"?"))</f>
        <v/>
      </c>
      <c r="J683" s="28" t="str">
        <f aca="false">IF(G683="","",IFERROR(INDEX(Settings!$C$8:$C$19,MATCH(G683,Settings!$B$8:$B$19,0)),"?"))</f>
        <v/>
      </c>
      <c r="K683" s="35" t="str">
        <f aca="false">IF(A683="","",DATE(YEAR(A683),MONTH(A683),1))</f>
        <v/>
      </c>
      <c r="L683" s="28" t="str">
        <f aca="false">IF(E683="","",IFERROR(INDEX(Settings!$K$8:$K$38,MATCH(E683,Settings!$H$8:$H$38,0))&amp;"",""))</f>
        <v/>
      </c>
    </row>
    <row r="684" customFormat="false" ht="15" hidden="false" customHeight="false" outlineLevel="0" collapsed="false">
      <c r="A684" s="33"/>
      <c r="B684" s="27"/>
      <c r="C684" s="27"/>
      <c r="D684" s="27"/>
      <c r="E684" s="27"/>
      <c r="F684" s="34"/>
      <c r="G684" s="27"/>
      <c r="H684" s="27"/>
      <c r="I684" s="28" t="str">
        <f aca="false">IF(C684="","",IFERROR(INDEX(Settings!$C$8:$C$19,MATCH(C684,Settings!$B$8:$B$19,0)),"?"))</f>
        <v/>
      </c>
      <c r="J684" s="28" t="str">
        <f aca="false">IF(G684="","",IFERROR(INDEX(Settings!$C$8:$C$19,MATCH(G684,Settings!$B$8:$B$19,0)),"?"))</f>
        <v/>
      </c>
      <c r="K684" s="35" t="str">
        <f aca="false">IF(A684="","",DATE(YEAR(A684),MONTH(A684),1))</f>
        <v/>
      </c>
      <c r="L684" s="28" t="str">
        <f aca="false">IF(E684="","",IFERROR(INDEX(Settings!$K$8:$K$38,MATCH(E684,Settings!$H$8:$H$38,0))&amp;"",""))</f>
        <v/>
      </c>
    </row>
    <row r="685" customFormat="false" ht="15" hidden="false" customHeight="false" outlineLevel="0" collapsed="false">
      <c r="A685" s="33"/>
      <c r="B685" s="27"/>
      <c r="C685" s="27"/>
      <c r="D685" s="27"/>
      <c r="E685" s="27"/>
      <c r="F685" s="34"/>
      <c r="G685" s="27"/>
      <c r="H685" s="27"/>
      <c r="I685" s="28" t="str">
        <f aca="false">IF(C685="","",IFERROR(INDEX(Settings!$C$8:$C$19,MATCH(C685,Settings!$B$8:$B$19,0)),"?"))</f>
        <v/>
      </c>
      <c r="J685" s="28" t="str">
        <f aca="false">IF(G685="","",IFERROR(INDEX(Settings!$C$8:$C$19,MATCH(G685,Settings!$B$8:$B$19,0)),"?"))</f>
        <v/>
      </c>
      <c r="K685" s="35" t="str">
        <f aca="false">IF(A685="","",DATE(YEAR(A685),MONTH(A685),1))</f>
        <v/>
      </c>
      <c r="L685" s="28" t="str">
        <f aca="false">IF(E685="","",IFERROR(INDEX(Settings!$K$8:$K$38,MATCH(E685,Settings!$H$8:$H$38,0))&amp;"",""))</f>
        <v/>
      </c>
    </row>
    <row r="686" customFormat="false" ht="15" hidden="false" customHeight="false" outlineLevel="0" collapsed="false">
      <c r="A686" s="33"/>
      <c r="B686" s="27"/>
      <c r="C686" s="27"/>
      <c r="D686" s="27"/>
      <c r="E686" s="27"/>
      <c r="F686" s="34"/>
      <c r="G686" s="27"/>
      <c r="H686" s="27"/>
      <c r="I686" s="28" t="str">
        <f aca="false">IF(C686="","",IFERROR(INDEX(Settings!$C$8:$C$19,MATCH(C686,Settings!$B$8:$B$19,0)),"?"))</f>
        <v/>
      </c>
      <c r="J686" s="28" t="str">
        <f aca="false">IF(G686="","",IFERROR(INDEX(Settings!$C$8:$C$19,MATCH(G686,Settings!$B$8:$B$19,0)),"?"))</f>
        <v/>
      </c>
      <c r="K686" s="35" t="str">
        <f aca="false">IF(A686="","",DATE(YEAR(A686),MONTH(A686),1))</f>
        <v/>
      </c>
      <c r="L686" s="28" t="str">
        <f aca="false">IF(E686="","",IFERROR(INDEX(Settings!$K$8:$K$38,MATCH(E686,Settings!$H$8:$H$38,0))&amp;"",""))</f>
        <v/>
      </c>
    </row>
    <row r="687" customFormat="false" ht="15" hidden="false" customHeight="false" outlineLevel="0" collapsed="false">
      <c r="A687" s="33"/>
      <c r="B687" s="27"/>
      <c r="C687" s="27"/>
      <c r="D687" s="27"/>
      <c r="E687" s="27"/>
      <c r="F687" s="34"/>
      <c r="G687" s="27"/>
      <c r="H687" s="27"/>
      <c r="I687" s="28" t="str">
        <f aca="false">IF(C687="","",IFERROR(INDEX(Settings!$C$8:$C$19,MATCH(C687,Settings!$B$8:$B$19,0)),"?"))</f>
        <v/>
      </c>
      <c r="J687" s="28" t="str">
        <f aca="false">IF(G687="","",IFERROR(INDEX(Settings!$C$8:$C$19,MATCH(G687,Settings!$B$8:$B$19,0)),"?"))</f>
        <v/>
      </c>
      <c r="K687" s="35" t="str">
        <f aca="false">IF(A687="","",DATE(YEAR(A687),MONTH(A687),1))</f>
        <v/>
      </c>
      <c r="L687" s="28" t="str">
        <f aca="false">IF(E687="","",IFERROR(INDEX(Settings!$K$8:$K$38,MATCH(E687,Settings!$H$8:$H$38,0))&amp;"",""))</f>
        <v/>
      </c>
    </row>
    <row r="688" customFormat="false" ht="15" hidden="false" customHeight="false" outlineLevel="0" collapsed="false">
      <c r="A688" s="33"/>
      <c r="B688" s="27"/>
      <c r="C688" s="27"/>
      <c r="D688" s="27"/>
      <c r="E688" s="27"/>
      <c r="F688" s="34"/>
      <c r="G688" s="27"/>
      <c r="H688" s="27"/>
      <c r="I688" s="28" t="str">
        <f aca="false">IF(C688="","",IFERROR(INDEX(Settings!$C$8:$C$19,MATCH(C688,Settings!$B$8:$B$19,0)),"?"))</f>
        <v/>
      </c>
      <c r="J688" s="28" t="str">
        <f aca="false">IF(G688="","",IFERROR(INDEX(Settings!$C$8:$C$19,MATCH(G688,Settings!$B$8:$B$19,0)),"?"))</f>
        <v/>
      </c>
      <c r="K688" s="35" t="str">
        <f aca="false">IF(A688="","",DATE(YEAR(A688),MONTH(A688),1))</f>
        <v/>
      </c>
      <c r="L688" s="28" t="str">
        <f aca="false">IF(E688="","",IFERROR(INDEX(Settings!$K$8:$K$38,MATCH(E688,Settings!$H$8:$H$38,0))&amp;"",""))</f>
        <v/>
      </c>
    </row>
    <row r="689" customFormat="false" ht="15" hidden="false" customHeight="false" outlineLevel="0" collapsed="false">
      <c r="A689" s="33"/>
      <c r="B689" s="27"/>
      <c r="C689" s="27"/>
      <c r="D689" s="27"/>
      <c r="E689" s="27"/>
      <c r="F689" s="34"/>
      <c r="G689" s="27"/>
      <c r="H689" s="27"/>
      <c r="I689" s="28" t="str">
        <f aca="false">IF(C689="","",IFERROR(INDEX(Settings!$C$8:$C$19,MATCH(C689,Settings!$B$8:$B$19,0)),"?"))</f>
        <v/>
      </c>
      <c r="J689" s="28" t="str">
        <f aca="false">IF(G689="","",IFERROR(INDEX(Settings!$C$8:$C$19,MATCH(G689,Settings!$B$8:$B$19,0)),"?"))</f>
        <v/>
      </c>
      <c r="K689" s="35" t="str">
        <f aca="false">IF(A689="","",DATE(YEAR(A689),MONTH(A689),1))</f>
        <v/>
      </c>
      <c r="L689" s="28" t="str">
        <f aca="false">IF(E689="","",IFERROR(INDEX(Settings!$K$8:$K$38,MATCH(E689,Settings!$H$8:$H$38,0))&amp;"",""))</f>
        <v/>
      </c>
    </row>
    <row r="690" customFormat="false" ht="15" hidden="false" customHeight="false" outlineLevel="0" collapsed="false">
      <c r="A690" s="33"/>
      <c r="B690" s="27"/>
      <c r="C690" s="27"/>
      <c r="D690" s="27"/>
      <c r="E690" s="27"/>
      <c r="F690" s="34"/>
      <c r="G690" s="27"/>
      <c r="H690" s="27"/>
      <c r="I690" s="28" t="str">
        <f aca="false">IF(C690="","",IFERROR(INDEX(Settings!$C$8:$C$19,MATCH(C690,Settings!$B$8:$B$19,0)),"?"))</f>
        <v/>
      </c>
      <c r="J690" s="28" t="str">
        <f aca="false">IF(G690="","",IFERROR(INDEX(Settings!$C$8:$C$19,MATCH(G690,Settings!$B$8:$B$19,0)),"?"))</f>
        <v/>
      </c>
      <c r="K690" s="35" t="str">
        <f aca="false">IF(A690="","",DATE(YEAR(A690),MONTH(A690),1))</f>
        <v/>
      </c>
      <c r="L690" s="28" t="str">
        <f aca="false">IF(E690="","",IFERROR(INDEX(Settings!$K$8:$K$38,MATCH(E690,Settings!$H$8:$H$38,0))&amp;"",""))</f>
        <v/>
      </c>
    </row>
    <row r="691" customFormat="false" ht="15" hidden="false" customHeight="false" outlineLevel="0" collapsed="false">
      <c r="A691" s="33"/>
      <c r="B691" s="27"/>
      <c r="C691" s="27"/>
      <c r="D691" s="27"/>
      <c r="E691" s="27"/>
      <c r="F691" s="34"/>
      <c r="G691" s="27"/>
      <c r="H691" s="27"/>
      <c r="I691" s="28" t="str">
        <f aca="false">IF(C691="","",IFERROR(INDEX(Settings!$C$8:$C$19,MATCH(C691,Settings!$B$8:$B$19,0)),"?"))</f>
        <v/>
      </c>
      <c r="J691" s="28" t="str">
        <f aca="false">IF(G691="","",IFERROR(INDEX(Settings!$C$8:$C$19,MATCH(G691,Settings!$B$8:$B$19,0)),"?"))</f>
        <v/>
      </c>
      <c r="K691" s="35" t="str">
        <f aca="false">IF(A691="","",DATE(YEAR(A691),MONTH(A691),1))</f>
        <v/>
      </c>
      <c r="L691" s="28" t="str">
        <f aca="false">IF(E691="","",IFERROR(INDEX(Settings!$K$8:$K$38,MATCH(E691,Settings!$H$8:$H$38,0))&amp;"",""))</f>
        <v/>
      </c>
    </row>
    <row r="692" customFormat="false" ht="15" hidden="false" customHeight="false" outlineLevel="0" collapsed="false">
      <c r="A692" s="33"/>
      <c r="B692" s="27"/>
      <c r="C692" s="27"/>
      <c r="D692" s="27"/>
      <c r="E692" s="27"/>
      <c r="F692" s="34"/>
      <c r="G692" s="27"/>
      <c r="H692" s="27"/>
      <c r="I692" s="28" t="str">
        <f aca="false">IF(C692="","",IFERROR(INDEX(Settings!$C$8:$C$19,MATCH(C692,Settings!$B$8:$B$19,0)),"?"))</f>
        <v/>
      </c>
      <c r="J692" s="28" t="str">
        <f aca="false">IF(G692="","",IFERROR(INDEX(Settings!$C$8:$C$19,MATCH(G692,Settings!$B$8:$B$19,0)),"?"))</f>
        <v/>
      </c>
      <c r="K692" s="35" t="str">
        <f aca="false">IF(A692="","",DATE(YEAR(A692),MONTH(A692),1))</f>
        <v/>
      </c>
      <c r="L692" s="28" t="str">
        <f aca="false">IF(E692="","",IFERROR(INDEX(Settings!$K$8:$K$38,MATCH(E692,Settings!$H$8:$H$38,0))&amp;"",""))</f>
        <v/>
      </c>
    </row>
    <row r="693" customFormat="false" ht="15" hidden="false" customHeight="false" outlineLevel="0" collapsed="false">
      <c r="A693" s="33"/>
      <c r="B693" s="27"/>
      <c r="C693" s="27"/>
      <c r="D693" s="27"/>
      <c r="E693" s="27"/>
      <c r="F693" s="34"/>
      <c r="G693" s="27"/>
      <c r="H693" s="27"/>
      <c r="I693" s="28" t="str">
        <f aca="false">IF(C693="","",IFERROR(INDEX(Settings!$C$8:$C$19,MATCH(C693,Settings!$B$8:$B$19,0)),"?"))</f>
        <v/>
      </c>
      <c r="J693" s="28" t="str">
        <f aca="false">IF(G693="","",IFERROR(INDEX(Settings!$C$8:$C$19,MATCH(G693,Settings!$B$8:$B$19,0)),"?"))</f>
        <v/>
      </c>
      <c r="K693" s="35" t="str">
        <f aca="false">IF(A693="","",DATE(YEAR(A693),MONTH(A693),1))</f>
        <v/>
      </c>
      <c r="L693" s="28" t="str">
        <f aca="false">IF(E693="","",IFERROR(INDEX(Settings!$K$8:$K$38,MATCH(E693,Settings!$H$8:$H$38,0))&amp;"",""))</f>
        <v/>
      </c>
    </row>
    <row r="694" customFormat="false" ht="15" hidden="false" customHeight="false" outlineLevel="0" collapsed="false">
      <c r="A694" s="33"/>
      <c r="B694" s="27"/>
      <c r="C694" s="27"/>
      <c r="D694" s="27"/>
      <c r="E694" s="27"/>
      <c r="F694" s="34"/>
      <c r="G694" s="27"/>
      <c r="H694" s="27"/>
      <c r="I694" s="28" t="str">
        <f aca="false">IF(C694="","",IFERROR(INDEX(Settings!$C$8:$C$19,MATCH(C694,Settings!$B$8:$B$19,0)),"?"))</f>
        <v/>
      </c>
      <c r="J694" s="28" t="str">
        <f aca="false">IF(G694="","",IFERROR(INDEX(Settings!$C$8:$C$19,MATCH(G694,Settings!$B$8:$B$19,0)),"?"))</f>
        <v/>
      </c>
      <c r="K694" s="35" t="str">
        <f aca="false">IF(A694="","",DATE(YEAR(A694),MONTH(A694),1))</f>
        <v/>
      </c>
      <c r="L694" s="28" t="str">
        <f aca="false">IF(E694="","",IFERROR(INDEX(Settings!$K$8:$K$38,MATCH(E694,Settings!$H$8:$H$38,0))&amp;"",""))</f>
        <v/>
      </c>
    </row>
    <row r="695" customFormat="false" ht="15" hidden="false" customHeight="false" outlineLevel="0" collapsed="false">
      <c r="A695" s="33"/>
      <c r="B695" s="27"/>
      <c r="C695" s="27"/>
      <c r="D695" s="27"/>
      <c r="E695" s="27"/>
      <c r="F695" s="34"/>
      <c r="G695" s="27"/>
      <c r="H695" s="27"/>
      <c r="I695" s="28" t="str">
        <f aca="false">IF(C695="","",IFERROR(INDEX(Settings!$C$8:$C$19,MATCH(C695,Settings!$B$8:$B$19,0)),"?"))</f>
        <v/>
      </c>
      <c r="J695" s="28" t="str">
        <f aca="false">IF(G695="","",IFERROR(INDEX(Settings!$C$8:$C$19,MATCH(G695,Settings!$B$8:$B$19,0)),"?"))</f>
        <v/>
      </c>
      <c r="K695" s="35" t="str">
        <f aca="false">IF(A695="","",DATE(YEAR(A695),MONTH(A695),1))</f>
        <v/>
      </c>
      <c r="L695" s="28" t="str">
        <f aca="false">IF(E695="","",IFERROR(INDEX(Settings!$K$8:$K$38,MATCH(E695,Settings!$H$8:$H$38,0))&amp;"",""))</f>
        <v/>
      </c>
    </row>
    <row r="696" customFormat="false" ht="15" hidden="false" customHeight="false" outlineLevel="0" collapsed="false">
      <c r="A696" s="33"/>
      <c r="B696" s="27"/>
      <c r="C696" s="27"/>
      <c r="D696" s="27"/>
      <c r="E696" s="27"/>
      <c r="F696" s="34"/>
      <c r="G696" s="27"/>
      <c r="H696" s="27"/>
      <c r="I696" s="28" t="str">
        <f aca="false">IF(C696="","",IFERROR(INDEX(Settings!$C$8:$C$19,MATCH(C696,Settings!$B$8:$B$19,0)),"?"))</f>
        <v/>
      </c>
      <c r="J696" s="28" t="str">
        <f aca="false">IF(G696="","",IFERROR(INDEX(Settings!$C$8:$C$19,MATCH(G696,Settings!$B$8:$B$19,0)),"?"))</f>
        <v/>
      </c>
      <c r="K696" s="35" t="str">
        <f aca="false">IF(A696="","",DATE(YEAR(A696),MONTH(A696),1))</f>
        <v/>
      </c>
      <c r="L696" s="28" t="str">
        <f aca="false">IF(E696="","",IFERROR(INDEX(Settings!$K$8:$K$38,MATCH(E696,Settings!$H$8:$H$38,0))&amp;"",""))</f>
        <v/>
      </c>
    </row>
    <row r="697" customFormat="false" ht="15" hidden="false" customHeight="false" outlineLevel="0" collapsed="false">
      <c r="A697" s="33"/>
      <c r="B697" s="27"/>
      <c r="C697" s="27"/>
      <c r="D697" s="27"/>
      <c r="E697" s="27"/>
      <c r="F697" s="34"/>
      <c r="G697" s="27"/>
      <c r="H697" s="27"/>
      <c r="I697" s="28" t="str">
        <f aca="false">IF(C697="","",IFERROR(INDEX(Settings!$C$8:$C$19,MATCH(C697,Settings!$B$8:$B$19,0)),"?"))</f>
        <v/>
      </c>
      <c r="J697" s="28" t="str">
        <f aca="false">IF(G697="","",IFERROR(INDEX(Settings!$C$8:$C$19,MATCH(G697,Settings!$B$8:$B$19,0)),"?"))</f>
        <v/>
      </c>
      <c r="K697" s="35" t="str">
        <f aca="false">IF(A697="","",DATE(YEAR(A697),MONTH(A697),1))</f>
        <v/>
      </c>
      <c r="L697" s="28" t="str">
        <f aca="false">IF(E697="","",IFERROR(INDEX(Settings!$K$8:$K$38,MATCH(E697,Settings!$H$8:$H$38,0))&amp;"",""))</f>
        <v/>
      </c>
    </row>
    <row r="698" customFormat="false" ht="15" hidden="false" customHeight="false" outlineLevel="0" collapsed="false">
      <c r="A698" s="33"/>
      <c r="B698" s="27"/>
      <c r="C698" s="27"/>
      <c r="D698" s="27"/>
      <c r="E698" s="27"/>
      <c r="F698" s="34"/>
      <c r="G698" s="27"/>
      <c r="H698" s="27"/>
      <c r="I698" s="28" t="str">
        <f aca="false">IF(C698="","",IFERROR(INDEX(Settings!$C$8:$C$19,MATCH(C698,Settings!$B$8:$B$19,0)),"?"))</f>
        <v/>
      </c>
      <c r="J698" s="28" t="str">
        <f aca="false">IF(G698="","",IFERROR(INDEX(Settings!$C$8:$C$19,MATCH(G698,Settings!$B$8:$B$19,0)),"?"))</f>
        <v/>
      </c>
      <c r="K698" s="35" t="str">
        <f aca="false">IF(A698="","",DATE(YEAR(A698),MONTH(A698),1))</f>
        <v/>
      </c>
      <c r="L698" s="28" t="str">
        <f aca="false">IF(E698="","",IFERROR(INDEX(Settings!$K$8:$K$38,MATCH(E698,Settings!$H$8:$H$38,0))&amp;"",""))</f>
        <v/>
      </c>
    </row>
    <row r="699" customFormat="false" ht="15" hidden="false" customHeight="false" outlineLevel="0" collapsed="false">
      <c r="A699" s="33"/>
      <c r="B699" s="27"/>
      <c r="C699" s="27"/>
      <c r="D699" s="27"/>
      <c r="E699" s="27"/>
      <c r="F699" s="34"/>
      <c r="G699" s="27"/>
      <c r="H699" s="27"/>
      <c r="I699" s="28" t="str">
        <f aca="false">IF(C699="","",IFERROR(INDEX(Settings!$C$8:$C$19,MATCH(C699,Settings!$B$8:$B$19,0)),"?"))</f>
        <v/>
      </c>
      <c r="J699" s="28" t="str">
        <f aca="false">IF(G699="","",IFERROR(INDEX(Settings!$C$8:$C$19,MATCH(G699,Settings!$B$8:$B$19,0)),"?"))</f>
        <v/>
      </c>
      <c r="K699" s="35" t="str">
        <f aca="false">IF(A699="","",DATE(YEAR(A699),MONTH(A699),1))</f>
        <v/>
      </c>
      <c r="L699" s="28" t="str">
        <f aca="false">IF(E699="","",IFERROR(INDEX(Settings!$K$8:$K$38,MATCH(E699,Settings!$H$8:$H$38,0))&amp;"",""))</f>
        <v/>
      </c>
    </row>
    <row r="700" customFormat="false" ht="15" hidden="false" customHeight="false" outlineLevel="0" collapsed="false">
      <c r="A700" s="33"/>
      <c r="B700" s="27"/>
      <c r="C700" s="27"/>
      <c r="D700" s="27"/>
      <c r="E700" s="27"/>
      <c r="F700" s="34"/>
      <c r="G700" s="27"/>
      <c r="H700" s="27"/>
      <c r="I700" s="28" t="str">
        <f aca="false">IF(C700="","",IFERROR(INDEX(Settings!$C$8:$C$19,MATCH(C700,Settings!$B$8:$B$19,0)),"?"))</f>
        <v/>
      </c>
      <c r="J700" s="28" t="str">
        <f aca="false">IF(G700="","",IFERROR(INDEX(Settings!$C$8:$C$19,MATCH(G700,Settings!$B$8:$B$19,0)),"?"))</f>
        <v/>
      </c>
      <c r="K700" s="35" t="str">
        <f aca="false">IF(A700="","",DATE(YEAR(A700),MONTH(A700),1))</f>
        <v/>
      </c>
      <c r="L700" s="28" t="str">
        <f aca="false">IF(E700="","",IFERROR(INDEX(Settings!$K$8:$K$38,MATCH(E700,Settings!$H$8:$H$38,0))&amp;"",""))</f>
        <v/>
      </c>
    </row>
    <row r="701" customFormat="false" ht="15" hidden="false" customHeight="false" outlineLevel="0" collapsed="false">
      <c r="A701" s="33"/>
      <c r="B701" s="27"/>
      <c r="C701" s="27"/>
      <c r="D701" s="27"/>
      <c r="E701" s="27"/>
      <c r="F701" s="34"/>
      <c r="G701" s="27"/>
      <c r="H701" s="27"/>
      <c r="I701" s="28" t="str">
        <f aca="false">IF(C701="","",IFERROR(INDEX(Settings!$C$8:$C$19,MATCH(C701,Settings!$B$8:$B$19,0)),"?"))</f>
        <v/>
      </c>
      <c r="J701" s="28" t="str">
        <f aca="false">IF(G701="","",IFERROR(INDEX(Settings!$C$8:$C$19,MATCH(G701,Settings!$B$8:$B$19,0)),"?"))</f>
        <v/>
      </c>
      <c r="K701" s="35" t="str">
        <f aca="false">IF(A701="","",DATE(YEAR(A701),MONTH(A701),1))</f>
        <v/>
      </c>
      <c r="L701" s="28" t="str">
        <f aca="false">IF(E701="","",IFERROR(INDEX(Settings!$K$8:$K$38,MATCH(E701,Settings!$H$8:$H$38,0))&amp;"",""))</f>
        <v/>
      </c>
    </row>
    <row r="702" customFormat="false" ht="15" hidden="false" customHeight="false" outlineLevel="0" collapsed="false">
      <c r="A702" s="33"/>
      <c r="B702" s="27"/>
      <c r="C702" s="27"/>
      <c r="D702" s="27"/>
      <c r="E702" s="27"/>
      <c r="F702" s="34"/>
      <c r="G702" s="27"/>
      <c r="H702" s="27"/>
      <c r="I702" s="28" t="str">
        <f aca="false">IF(C702="","",IFERROR(INDEX(Settings!$C$8:$C$19,MATCH(C702,Settings!$B$8:$B$19,0)),"?"))</f>
        <v/>
      </c>
      <c r="J702" s="28" t="str">
        <f aca="false">IF(G702="","",IFERROR(INDEX(Settings!$C$8:$C$19,MATCH(G702,Settings!$B$8:$B$19,0)),"?"))</f>
        <v/>
      </c>
      <c r="K702" s="35" t="str">
        <f aca="false">IF(A702="","",DATE(YEAR(A702),MONTH(A702),1))</f>
        <v/>
      </c>
      <c r="L702" s="28" t="str">
        <f aca="false">IF(E702="","",IFERROR(INDEX(Settings!$K$8:$K$38,MATCH(E702,Settings!$H$8:$H$38,0))&amp;"",""))</f>
        <v/>
      </c>
    </row>
    <row r="703" customFormat="false" ht="15" hidden="false" customHeight="false" outlineLevel="0" collapsed="false">
      <c r="A703" s="33"/>
      <c r="B703" s="27"/>
      <c r="C703" s="27"/>
      <c r="D703" s="27"/>
      <c r="E703" s="27"/>
      <c r="F703" s="34"/>
      <c r="G703" s="27"/>
      <c r="H703" s="27"/>
      <c r="I703" s="28" t="str">
        <f aca="false">IF(C703="","",IFERROR(INDEX(Settings!$C$8:$C$19,MATCH(C703,Settings!$B$8:$B$19,0)),"?"))</f>
        <v/>
      </c>
      <c r="J703" s="28" t="str">
        <f aca="false">IF(G703="","",IFERROR(INDEX(Settings!$C$8:$C$19,MATCH(G703,Settings!$B$8:$B$19,0)),"?"))</f>
        <v/>
      </c>
      <c r="K703" s="35" t="str">
        <f aca="false">IF(A703="","",DATE(YEAR(A703),MONTH(A703),1))</f>
        <v/>
      </c>
      <c r="L703" s="28" t="str">
        <f aca="false">IF(E703="","",IFERROR(INDEX(Settings!$K$8:$K$38,MATCH(E703,Settings!$H$8:$H$38,0))&amp;"",""))</f>
        <v/>
      </c>
    </row>
    <row r="704" customFormat="false" ht="15" hidden="false" customHeight="false" outlineLevel="0" collapsed="false">
      <c r="A704" s="33"/>
      <c r="B704" s="27"/>
      <c r="C704" s="27"/>
      <c r="D704" s="27"/>
      <c r="E704" s="27"/>
      <c r="F704" s="34"/>
      <c r="G704" s="27"/>
      <c r="H704" s="27"/>
      <c r="I704" s="28" t="str">
        <f aca="false">IF(C704="","",IFERROR(INDEX(Settings!$C$8:$C$19,MATCH(C704,Settings!$B$8:$B$19,0)),"?"))</f>
        <v/>
      </c>
      <c r="J704" s="28" t="str">
        <f aca="false">IF(G704="","",IFERROR(INDEX(Settings!$C$8:$C$19,MATCH(G704,Settings!$B$8:$B$19,0)),"?"))</f>
        <v/>
      </c>
      <c r="K704" s="35" t="str">
        <f aca="false">IF(A704="","",DATE(YEAR(A704),MONTH(A704),1))</f>
        <v/>
      </c>
      <c r="L704" s="28" t="str">
        <f aca="false">IF(E704="","",IFERROR(INDEX(Settings!$K$8:$K$38,MATCH(E704,Settings!$H$8:$H$38,0))&amp;"",""))</f>
        <v/>
      </c>
    </row>
    <row r="705" customFormat="false" ht="15" hidden="false" customHeight="false" outlineLevel="0" collapsed="false">
      <c r="A705" s="33"/>
      <c r="B705" s="27"/>
      <c r="C705" s="27"/>
      <c r="D705" s="27"/>
      <c r="E705" s="27"/>
      <c r="F705" s="34"/>
      <c r="G705" s="27"/>
      <c r="H705" s="27"/>
      <c r="I705" s="28" t="str">
        <f aca="false">IF(C705="","",IFERROR(INDEX(Settings!$C$8:$C$19,MATCH(C705,Settings!$B$8:$B$19,0)),"?"))</f>
        <v/>
      </c>
      <c r="J705" s="28" t="str">
        <f aca="false">IF(G705="","",IFERROR(INDEX(Settings!$C$8:$C$19,MATCH(G705,Settings!$B$8:$B$19,0)),"?"))</f>
        <v/>
      </c>
      <c r="K705" s="35" t="str">
        <f aca="false">IF(A705="","",DATE(YEAR(A705),MONTH(A705),1))</f>
        <v/>
      </c>
      <c r="L705" s="28" t="str">
        <f aca="false">IF(E705="","",IFERROR(INDEX(Settings!$K$8:$K$38,MATCH(E705,Settings!$H$8:$H$38,0))&amp;"",""))</f>
        <v/>
      </c>
    </row>
    <row r="706" customFormat="false" ht="15" hidden="false" customHeight="false" outlineLevel="0" collapsed="false">
      <c r="A706" s="33"/>
      <c r="B706" s="27"/>
      <c r="C706" s="27"/>
      <c r="D706" s="27"/>
      <c r="E706" s="27"/>
      <c r="F706" s="34"/>
      <c r="G706" s="27"/>
      <c r="H706" s="27"/>
      <c r="I706" s="28" t="str">
        <f aca="false">IF(C706="","",IFERROR(INDEX(Settings!$C$8:$C$19,MATCH(C706,Settings!$B$8:$B$19,0)),"?"))</f>
        <v/>
      </c>
      <c r="J706" s="28" t="str">
        <f aca="false">IF(G706="","",IFERROR(INDEX(Settings!$C$8:$C$19,MATCH(G706,Settings!$B$8:$B$19,0)),"?"))</f>
        <v/>
      </c>
      <c r="K706" s="35" t="str">
        <f aca="false">IF(A706="","",DATE(YEAR(A706),MONTH(A706),1))</f>
        <v/>
      </c>
      <c r="L706" s="28" t="str">
        <f aca="false">IF(E706="","",IFERROR(INDEX(Settings!$K$8:$K$38,MATCH(E706,Settings!$H$8:$H$38,0))&amp;"",""))</f>
        <v/>
      </c>
    </row>
    <row r="707" customFormat="false" ht="15" hidden="false" customHeight="false" outlineLevel="0" collapsed="false">
      <c r="A707" s="33"/>
      <c r="B707" s="27"/>
      <c r="C707" s="27"/>
      <c r="D707" s="27"/>
      <c r="E707" s="27"/>
      <c r="F707" s="34"/>
      <c r="G707" s="27"/>
      <c r="H707" s="27"/>
      <c r="I707" s="28" t="str">
        <f aca="false">IF(C707="","",IFERROR(INDEX(Settings!$C$8:$C$19,MATCH(C707,Settings!$B$8:$B$19,0)),"?"))</f>
        <v/>
      </c>
      <c r="J707" s="28" t="str">
        <f aca="false">IF(G707="","",IFERROR(INDEX(Settings!$C$8:$C$19,MATCH(G707,Settings!$B$8:$B$19,0)),"?"))</f>
        <v/>
      </c>
      <c r="K707" s="35" t="str">
        <f aca="false">IF(A707="","",DATE(YEAR(A707),MONTH(A707),1))</f>
        <v/>
      </c>
      <c r="L707" s="28" t="str">
        <f aca="false">IF(E707="","",IFERROR(INDEX(Settings!$K$8:$K$38,MATCH(E707,Settings!$H$8:$H$38,0))&amp;"",""))</f>
        <v/>
      </c>
    </row>
    <row r="708" customFormat="false" ht="15" hidden="false" customHeight="false" outlineLevel="0" collapsed="false">
      <c r="A708" s="33"/>
      <c r="B708" s="27"/>
      <c r="C708" s="27"/>
      <c r="D708" s="27"/>
      <c r="E708" s="27"/>
      <c r="F708" s="34"/>
      <c r="G708" s="27"/>
      <c r="H708" s="27"/>
      <c r="I708" s="28" t="str">
        <f aca="false">IF(C708="","",IFERROR(INDEX(Settings!$C$8:$C$19,MATCH(C708,Settings!$B$8:$B$19,0)),"?"))</f>
        <v/>
      </c>
      <c r="J708" s="28" t="str">
        <f aca="false">IF(G708="","",IFERROR(INDEX(Settings!$C$8:$C$19,MATCH(G708,Settings!$B$8:$B$19,0)),"?"))</f>
        <v/>
      </c>
      <c r="K708" s="35" t="str">
        <f aca="false">IF(A708="","",DATE(YEAR(A708),MONTH(A708),1))</f>
        <v/>
      </c>
      <c r="L708" s="28" t="str">
        <f aca="false">IF(E708="","",IFERROR(INDEX(Settings!$K$8:$K$38,MATCH(E708,Settings!$H$8:$H$38,0))&amp;"",""))</f>
        <v/>
      </c>
    </row>
    <row r="709" customFormat="false" ht="15" hidden="false" customHeight="false" outlineLevel="0" collapsed="false">
      <c r="A709" s="33"/>
      <c r="B709" s="27"/>
      <c r="C709" s="27"/>
      <c r="D709" s="27"/>
      <c r="E709" s="27"/>
      <c r="F709" s="34"/>
      <c r="G709" s="27"/>
      <c r="H709" s="27"/>
      <c r="I709" s="28" t="str">
        <f aca="false">IF(C709="","",IFERROR(INDEX(Settings!$C$8:$C$19,MATCH(C709,Settings!$B$8:$B$19,0)),"?"))</f>
        <v/>
      </c>
      <c r="J709" s="28" t="str">
        <f aca="false">IF(G709="","",IFERROR(INDEX(Settings!$C$8:$C$19,MATCH(G709,Settings!$B$8:$B$19,0)),"?"))</f>
        <v/>
      </c>
      <c r="K709" s="35" t="str">
        <f aca="false">IF(A709="","",DATE(YEAR(A709),MONTH(A709),1))</f>
        <v/>
      </c>
      <c r="L709" s="28" t="str">
        <f aca="false">IF(E709="","",IFERROR(INDEX(Settings!$K$8:$K$38,MATCH(E709,Settings!$H$8:$H$38,0))&amp;"",""))</f>
        <v/>
      </c>
    </row>
    <row r="710" customFormat="false" ht="15" hidden="false" customHeight="false" outlineLevel="0" collapsed="false">
      <c r="A710" s="33"/>
      <c r="B710" s="27"/>
      <c r="C710" s="27"/>
      <c r="D710" s="27"/>
      <c r="E710" s="27"/>
      <c r="F710" s="34"/>
      <c r="G710" s="27"/>
      <c r="H710" s="27"/>
      <c r="I710" s="28" t="str">
        <f aca="false">IF(C710="","",IFERROR(INDEX(Settings!$C$8:$C$19,MATCH(C710,Settings!$B$8:$B$19,0)),"?"))</f>
        <v/>
      </c>
      <c r="J710" s="28" t="str">
        <f aca="false">IF(G710="","",IFERROR(INDEX(Settings!$C$8:$C$19,MATCH(G710,Settings!$B$8:$B$19,0)),"?"))</f>
        <v/>
      </c>
      <c r="K710" s="35" t="str">
        <f aca="false">IF(A710="","",DATE(YEAR(A710),MONTH(A710),1))</f>
        <v/>
      </c>
      <c r="L710" s="28" t="str">
        <f aca="false">IF(E710="","",IFERROR(INDEX(Settings!$K$8:$K$38,MATCH(E710,Settings!$H$8:$H$38,0))&amp;"",""))</f>
        <v/>
      </c>
    </row>
    <row r="711" customFormat="false" ht="15" hidden="false" customHeight="false" outlineLevel="0" collapsed="false">
      <c r="A711" s="33"/>
      <c r="B711" s="27"/>
      <c r="C711" s="27"/>
      <c r="D711" s="27"/>
      <c r="E711" s="27"/>
      <c r="F711" s="34"/>
      <c r="G711" s="27"/>
      <c r="H711" s="27"/>
      <c r="I711" s="28" t="str">
        <f aca="false">IF(C711="","",IFERROR(INDEX(Settings!$C$8:$C$19,MATCH(C711,Settings!$B$8:$B$19,0)),"?"))</f>
        <v/>
      </c>
      <c r="J711" s="28" t="str">
        <f aca="false">IF(G711="","",IFERROR(INDEX(Settings!$C$8:$C$19,MATCH(G711,Settings!$B$8:$B$19,0)),"?"))</f>
        <v/>
      </c>
      <c r="K711" s="35" t="str">
        <f aca="false">IF(A711="","",DATE(YEAR(A711),MONTH(A711),1))</f>
        <v/>
      </c>
      <c r="L711" s="28" t="str">
        <f aca="false">IF(E711="","",IFERROR(INDEX(Settings!$K$8:$K$38,MATCH(E711,Settings!$H$8:$H$38,0))&amp;"",""))</f>
        <v/>
      </c>
    </row>
    <row r="712" customFormat="false" ht="15" hidden="false" customHeight="false" outlineLevel="0" collapsed="false">
      <c r="A712" s="33"/>
      <c r="B712" s="27"/>
      <c r="C712" s="27"/>
      <c r="D712" s="27"/>
      <c r="E712" s="27"/>
      <c r="F712" s="34"/>
      <c r="G712" s="27"/>
      <c r="H712" s="27"/>
      <c r="I712" s="28" t="str">
        <f aca="false">IF(C712="","",IFERROR(INDEX(Settings!$C$8:$C$19,MATCH(C712,Settings!$B$8:$B$19,0)),"?"))</f>
        <v/>
      </c>
      <c r="J712" s="28" t="str">
        <f aca="false">IF(G712="","",IFERROR(INDEX(Settings!$C$8:$C$19,MATCH(G712,Settings!$B$8:$B$19,0)),"?"))</f>
        <v/>
      </c>
      <c r="K712" s="35" t="str">
        <f aca="false">IF(A712="","",DATE(YEAR(A712),MONTH(A712),1))</f>
        <v/>
      </c>
      <c r="L712" s="28" t="str">
        <f aca="false">IF(E712="","",IFERROR(INDEX(Settings!$K$8:$K$38,MATCH(E712,Settings!$H$8:$H$38,0))&amp;"",""))</f>
        <v/>
      </c>
    </row>
    <row r="713" customFormat="false" ht="15" hidden="false" customHeight="false" outlineLevel="0" collapsed="false">
      <c r="A713" s="33"/>
      <c r="B713" s="27"/>
      <c r="C713" s="27"/>
      <c r="D713" s="27"/>
      <c r="E713" s="27"/>
      <c r="F713" s="34"/>
      <c r="G713" s="27"/>
      <c r="H713" s="27"/>
      <c r="I713" s="28" t="str">
        <f aca="false">IF(C713="","",IFERROR(INDEX(Settings!$C$8:$C$19,MATCH(C713,Settings!$B$8:$B$19,0)),"?"))</f>
        <v/>
      </c>
      <c r="J713" s="28" t="str">
        <f aca="false">IF(G713="","",IFERROR(INDEX(Settings!$C$8:$C$19,MATCH(G713,Settings!$B$8:$B$19,0)),"?"))</f>
        <v/>
      </c>
      <c r="K713" s="35" t="str">
        <f aca="false">IF(A713="","",DATE(YEAR(A713),MONTH(A713),1))</f>
        <v/>
      </c>
      <c r="L713" s="28" t="str">
        <f aca="false">IF(E713="","",IFERROR(INDEX(Settings!$K$8:$K$38,MATCH(E713,Settings!$H$8:$H$38,0))&amp;"",""))</f>
        <v/>
      </c>
    </row>
    <row r="714" customFormat="false" ht="15" hidden="false" customHeight="false" outlineLevel="0" collapsed="false">
      <c r="A714" s="33"/>
      <c r="B714" s="27"/>
      <c r="C714" s="27"/>
      <c r="D714" s="27"/>
      <c r="E714" s="27"/>
      <c r="F714" s="34"/>
      <c r="G714" s="27"/>
      <c r="H714" s="27"/>
      <c r="I714" s="28" t="str">
        <f aca="false">IF(C714="","",IFERROR(INDEX(Settings!$C$8:$C$19,MATCH(C714,Settings!$B$8:$B$19,0)),"?"))</f>
        <v/>
      </c>
      <c r="J714" s="28" t="str">
        <f aca="false">IF(G714="","",IFERROR(INDEX(Settings!$C$8:$C$19,MATCH(G714,Settings!$B$8:$B$19,0)),"?"))</f>
        <v/>
      </c>
      <c r="K714" s="35" t="str">
        <f aca="false">IF(A714="","",DATE(YEAR(A714),MONTH(A714),1))</f>
        <v/>
      </c>
      <c r="L714" s="28" t="str">
        <f aca="false">IF(E714="","",IFERROR(INDEX(Settings!$K$8:$K$38,MATCH(E714,Settings!$H$8:$H$38,0))&amp;"",""))</f>
        <v/>
      </c>
    </row>
    <row r="715" customFormat="false" ht="15" hidden="false" customHeight="false" outlineLevel="0" collapsed="false">
      <c r="A715" s="33"/>
      <c r="B715" s="27"/>
      <c r="C715" s="27"/>
      <c r="D715" s="27"/>
      <c r="E715" s="27"/>
      <c r="F715" s="34"/>
      <c r="G715" s="27"/>
      <c r="H715" s="27"/>
      <c r="I715" s="28" t="str">
        <f aca="false">IF(C715="","",IFERROR(INDEX(Settings!$C$8:$C$19,MATCH(C715,Settings!$B$8:$B$19,0)),"?"))</f>
        <v/>
      </c>
      <c r="J715" s="28" t="str">
        <f aca="false">IF(G715="","",IFERROR(INDEX(Settings!$C$8:$C$19,MATCH(G715,Settings!$B$8:$B$19,0)),"?"))</f>
        <v/>
      </c>
      <c r="K715" s="35" t="str">
        <f aca="false">IF(A715="","",DATE(YEAR(A715),MONTH(A715),1))</f>
        <v/>
      </c>
      <c r="L715" s="28" t="str">
        <f aca="false">IF(E715="","",IFERROR(INDEX(Settings!$K$8:$K$38,MATCH(E715,Settings!$H$8:$H$38,0))&amp;"",""))</f>
        <v/>
      </c>
    </row>
    <row r="716" customFormat="false" ht="15" hidden="false" customHeight="false" outlineLevel="0" collapsed="false">
      <c r="A716" s="33"/>
      <c r="B716" s="27"/>
      <c r="C716" s="27"/>
      <c r="D716" s="27"/>
      <c r="E716" s="27"/>
      <c r="F716" s="34"/>
      <c r="G716" s="27"/>
      <c r="H716" s="27"/>
      <c r="I716" s="28" t="str">
        <f aca="false">IF(C716="","",IFERROR(INDEX(Settings!$C$8:$C$19,MATCH(C716,Settings!$B$8:$B$19,0)),"?"))</f>
        <v/>
      </c>
      <c r="J716" s="28" t="str">
        <f aca="false">IF(G716="","",IFERROR(INDEX(Settings!$C$8:$C$19,MATCH(G716,Settings!$B$8:$B$19,0)),"?"))</f>
        <v/>
      </c>
      <c r="K716" s="35" t="str">
        <f aca="false">IF(A716="","",DATE(YEAR(A716),MONTH(A716),1))</f>
        <v/>
      </c>
      <c r="L716" s="28" t="str">
        <f aca="false">IF(E716="","",IFERROR(INDEX(Settings!$K$8:$K$38,MATCH(E716,Settings!$H$8:$H$38,0))&amp;"",""))</f>
        <v/>
      </c>
    </row>
    <row r="717" customFormat="false" ht="15" hidden="false" customHeight="false" outlineLevel="0" collapsed="false">
      <c r="A717" s="33"/>
      <c r="B717" s="27"/>
      <c r="C717" s="27"/>
      <c r="D717" s="27"/>
      <c r="E717" s="27"/>
      <c r="F717" s="34"/>
      <c r="G717" s="27"/>
      <c r="H717" s="27"/>
      <c r="I717" s="28" t="str">
        <f aca="false">IF(C717="","",IFERROR(INDEX(Settings!$C$8:$C$19,MATCH(C717,Settings!$B$8:$B$19,0)),"?"))</f>
        <v/>
      </c>
      <c r="J717" s="28" t="str">
        <f aca="false">IF(G717="","",IFERROR(INDEX(Settings!$C$8:$C$19,MATCH(G717,Settings!$B$8:$B$19,0)),"?"))</f>
        <v/>
      </c>
      <c r="K717" s="35" t="str">
        <f aca="false">IF(A717="","",DATE(YEAR(A717),MONTH(A717),1))</f>
        <v/>
      </c>
      <c r="L717" s="28" t="str">
        <f aca="false">IF(E717="","",IFERROR(INDEX(Settings!$K$8:$K$38,MATCH(E717,Settings!$H$8:$H$38,0))&amp;"",""))</f>
        <v/>
      </c>
    </row>
    <row r="718" customFormat="false" ht="15" hidden="false" customHeight="false" outlineLevel="0" collapsed="false">
      <c r="A718" s="33"/>
      <c r="B718" s="27"/>
      <c r="C718" s="27"/>
      <c r="D718" s="27"/>
      <c r="E718" s="27"/>
      <c r="F718" s="34"/>
      <c r="G718" s="27"/>
      <c r="H718" s="27"/>
      <c r="I718" s="28" t="str">
        <f aca="false">IF(C718="","",IFERROR(INDEX(Settings!$C$8:$C$19,MATCH(C718,Settings!$B$8:$B$19,0)),"?"))</f>
        <v/>
      </c>
      <c r="J718" s="28" t="str">
        <f aca="false">IF(G718="","",IFERROR(INDEX(Settings!$C$8:$C$19,MATCH(G718,Settings!$B$8:$B$19,0)),"?"))</f>
        <v/>
      </c>
      <c r="K718" s="35" t="str">
        <f aca="false">IF(A718="","",DATE(YEAR(A718),MONTH(A718),1))</f>
        <v/>
      </c>
      <c r="L718" s="28" t="str">
        <f aca="false">IF(E718="","",IFERROR(INDEX(Settings!$K$8:$K$38,MATCH(E718,Settings!$H$8:$H$38,0))&amp;"",""))</f>
        <v/>
      </c>
    </row>
    <row r="719" customFormat="false" ht="15" hidden="false" customHeight="false" outlineLevel="0" collapsed="false">
      <c r="A719" s="33"/>
      <c r="B719" s="27"/>
      <c r="C719" s="27"/>
      <c r="D719" s="27"/>
      <c r="E719" s="27"/>
      <c r="F719" s="34"/>
      <c r="G719" s="27"/>
      <c r="H719" s="27"/>
      <c r="I719" s="28" t="str">
        <f aca="false">IF(C719="","",IFERROR(INDEX(Settings!$C$8:$C$19,MATCH(C719,Settings!$B$8:$B$19,0)),"?"))</f>
        <v/>
      </c>
      <c r="J719" s="28" t="str">
        <f aca="false">IF(G719="","",IFERROR(INDEX(Settings!$C$8:$C$19,MATCH(G719,Settings!$B$8:$B$19,0)),"?"))</f>
        <v/>
      </c>
      <c r="K719" s="35" t="str">
        <f aca="false">IF(A719="","",DATE(YEAR(A719),MONTH(A719),1))</f>
        <v/>
      </c>
      <c r="L719" s="28" t="str">
        <f aca="false">IF(E719="","",IFERROR(INDEX(Settings!$K$8:$K$38,MATCH(E719,Settings!$H$8:$H$38,0))&amp;"",""))</f>
        <v/>
      </c>
    </row>
    <row r="720" customFormat="false" ht="15" hidden="false" customHeight="false" outlineLevel="0" collapsed="false">
      <c r="A720" s="33"/>
      <c r="B720" s="27"/>
      <c r="C720" s="27"/>
      <c r="D720" s="27"/>
      <c r="E720" s="27"/>
      <c r="F720" s="34"/>
      <c r="G720" s="27"/>
      <c r="H720" s="27"/>
      <c r="I720" s="28" t="str">
        <f aca="false">IF(C720="","",IFERROR(INDEX(Settings!$C$8:$C$19,MATCH(C720,Settings!$B$8:$B$19,0)),"?"))</f>
        <v/>
      </c>
      <c r="J720" s="28" t="str">
        <f aca="false">IF(G720="","",IFERROR(INDEX(Settings!$C$8:$C$19,MATCH(G720,Settings!$B$8:$B$19,0)),"?"))</f>
        <v/>
      </c>
      <c r="K720" s="35" t="str">
        <f aca="false">IF(A720="","",DATE(YEAR(A720),MONTH(A720),1))</f>
        <v/>
      </c>
      <c r="L720" s="28" t="str">
        <f aca="false">IF(E720="","",IFERROR(INDEX(Settings!$K$8:$K$38,MATCH(E720,Settings!$H$8:$H$38,0))&amp;"",""))</f>
        <v/>
      </c>
    </row>
    <row r="721" customFormat="false" ht="15" hidden="false" customHeight="false" outlineLevel="0" collapsed="false">
      <c r="A721" s="33"/>
      <c r="B721" s="27"/>
      <c r="C721" s="27"/>
      <c r="D721" s="27"/>
      <c r="E721" s="27"/>
      <c r="F721" s="34"/>
      <c r="G721" s="27"/>
      <c r="H721" s="27"/>
      <c r="I721" s="28" t="str">
        <f aca="false">IF(C721="","",IFERROR(INDEX(Settings!$C$8:$C$19,MATCH(C721,Settings!$B$8:$B$19,0)),"?"))</f>
        <v/>
      </c>
      <c r="J721" s="28" t="str">
        <f aca="false">IF(G721="","",IFERROR(INDEX(Settings!$C$8:$C$19,MATCH(G721,Settings!$B$8:$B$19,0)),"?"))</f>
        <v/>
      </c>
      <c r="K721" s="35" t="str">
        <f aca="false">IF(A721="","",DATE(YEAR(A721),MONTH(A721),1))</f>
        <v/>
      </c>
      <c r="L721" s="28" t="str">
        <f aca="false">IF(E721="","",IFERROR(INDEX(Settings!$K$8:$K$38,MATCH(E721,Settings!$H$8:$H$38,0))&amp;"",""))</f>
        <v/>
      </c>
    </row>
    <row r="722" customFormat="false" ht="15" hidden="false" customHeight="false" outlineLevel="0" collapsed="false">
      <c r="A722" s="33"/>
      <c r="B722" s="27"/>
      <c r="C722" s="27"/>
      <c r="D722" s="27"/>
      <c r="E722" s="27"/>
      <c r="F722" s="34"/>
      <c r="G722" s="27"/>
      <c r="H722" s="27"/>
      <c r="I722" s="28" t="str">
        <f aca="false">IF(C722="","",IFERROR(INDEX(Settings!$C$8:$C$19,MATCH(C722,Settings!$B$8:$B$19,0)),"?"))</f>
        <v/>
      </c>
      <c r="J722" s="28" t="str">
        <f aca="false">IF(G722="","",IFERROR(INDEX(Settings!$C$8:$C$19,MATCH(G722,Settings!$B$8:$B$19,0)),"?"))</f>
        <v/>
      </c>
      <c r="K722" s="35" t="str">
        <f aca="false">IF(A722="","",DATE(YEAR(A722),MONTH(A722),1))</f>
        <v/>
      </c>
      <c r="L722" s="28" t="str">
        <f aca="false">IF(E722="","",IFERROR(INDEX(Settings!$K$8:$K$38,MATCH(E722,Settings!$H$8:$H$38,0))&amp;"",""))</f>
        <v/>
      </c>
    </row>
    <row r="723" customFormat="false" ht="15" hidden="false" customHeight="false" outlineLevel="0" collapsed="false">
      <c r="A723" s="33"/>
      <c r="B723" s="27"/>
      <c r="C723" s="27"/>
      <c r="D723" s="27"/>
      <c r="E723" s="27"/>
      <c r="F723" s="34"/>
      <c r="G723" s="27"/>
      <c r="H723" s="27"/>
      <c r="I723" s="28" t="str">
        <f aca="false">IF(C723="","",IFERROR(INDEX(Settings!$C$8:$C$19,MATCH(C723,Settings!$B$8:$B$19,0)),"?"))</f>
        <v/>
      </c>
      <c r="J723" s="28" t="str">
        <f aca="false">IF(G723="","",IFERROR(INDEX(Settings!$C$8:$C$19,MATCH(G723,Settings!$B$8:$B$19,0)),"?"))</f>
        <v/>
      </c>
      <c r="K723" s="35" t="str">
        <f aca="false">IF(A723="","",DATE(YEAR(A723),MONTH(A723),1))</f>
        <v/>
      </c>
      <c r="L723" s="28" t="str">
        <f aca="false">IF(E723="","",IFERROR(INDEX(Settings!$K$8:$K$38,MATCH(E723,Settings!$H$8:$H$38,0))&amp;"",""))</f>
        <v/>
      </c>
    </row>
    <row r="724" customFormat="false" ht="15" hidden="false" customHeight="false" outlineLevel="0" collapsed="false">
      <c r="A724" s="33"/>
      <c r="B724" s="27"/>
      <c r="C724" s="27"/>
      <c r="D724" s="27"/>
      <c r="E724" s="27"/>
      <c r="F724" s="34"/>
      <c r="G724" s="27"/>
      <c r="H724" s="27"/>
      <c r="I724" s="28" t="str">
        <f aca="false">IF(C724="","",IFERROR(INDEX(Settings!$C$8:$C$19,MATCH(C724,Settings!$B$8:$B$19,0)),"?"))</f>
        <v/>
      </c>
      <c r="J724" s="28" t="str">
        <f aca="false">IF(G724="","",IFERROR(INDEX(Settings!$C$8:$C$19,MATCH(G724,Settings!$B$8:$B$19,0)),"?"))</f>
        <v/>
      </c>
      <c r="K724" s="35" t="str">
        <f aca="false">IF(A724="","",DATE(YEAR(A724),MONTH(A724),1))</f>
        <v/>
      </c>
      <c r="L724" s="28" t="str">
        <f aca="false">IF(E724="","",IFERROR(INDEX(Settings!$K$8:$K$38,MATCH(E724,Settings!$H$8:$H$38,0))&amp;"",""))</f>
        <v/>
      </c>
    </row>
    <row r="725" customFormat="false" ht="15" hidden="false" customHeight="false" outlineLevel="0" collapsed="false">
      <c r="A725" s="33"/>
      <c r="B725" s="27"/>
      <c r="C725" s="27"/>
      <c r="D725" s="27"/>
      <c r="E725" s="27"/>
      <c r="F725" s="34"/>
      <c r="G725" s="27"/>
      <c r="H725" s="27"/>
      <c r="I725" s="28" t="str">
        <f aca="false">IF(C725="","",IFERROR(INDEX(Settings!$C$8:$C$19,MATCH(C725,Settings!$B$8:$B$19,0)),"?"))</f>
        <v/>
      </c>
      <c r="J725" s="28" t="str">
        <f aca="false">IF(G725="","",IFERROR(INDEX(Settings!$C$8:$C$19,MATCH(G725,Settings!$B$8:$B$19,0)),"?"))</f>
        <v/>
      </c>
      <c r="K725" s="35" t="str">
        <f aca="false">IF(A725="","",DATE(YEAR(A725),MONTH(A725),1))</f>
        <v/>
      </c>
      <c r="L725" s="28" t="str">
        <f aca="false">IF(E725="","",IFERROR(INDEX(Settings!$K$8:$K$38,MATCH(E725,Settings!$H$8:$H$38,0))&amp;"",""))</f>
        <v/>
      </c>
    </row>
    <row r="726" customFormat="false" ht="15" hidden="false" customHeight="false" outlineLevel="0" collapsed="false">
      <c r="A726" s="33"/>
      <c r="B726" s="27"/>
      <c r="C726" s="27"/>
      <c r="D726" s="27"/>
      <c r="E726" s="27"/>
      <c r="F726" s="34"/>
      <c r="G726" s="27"/>
      <c r="H726" s="27"/>
      <c r="I726" s="28" t="str">
        <f aca="false">IF(C726="","",IFERROR(INDEX(Settings!$C$8:$C$19,MATCH(C726,Settings!$B$8:$B$19,0)),"?"))</f>
        <v/>
      </c>
      <c r="J726" s="28" t="str">
        <f aca="false">IF(G726="","",IFERROR(INDEX(Settings!$C$8:$C$19,MATCH(G726,Settings!$B$8:$B$19,0)),"?"))</f>
        <v/>
      </c>
      <c r="K726" s="35" t="str">
        <f aca="false">IF(A726="","",DATE(YEAR(A726),MONTH(A726),1))</f>
        <v/>
      </c>
      <c r="L726" s="28" t="str">
        <f aca="false">IF(E726="","",IFERROR(INDEX(Settings!$K$8:$K$38,MATCH(E726,Settings!$H$8:$H$38,0))&amp;"",""))</f>
        <v/>
      </c>
    </row>
    <row r="727" customFormat="false" ht="15" hidden="false" customHeight="false" outlineLevel="0" collapsed="false">
      <c r="A727" s="33"/>
      <c r="B727" s="27"/>
      <c r="C727" s="27"/>
      <c r="D727" s="27"/>
      <c r="E727" s="27"/>
      <c r="F727" s="34"/>
      <c r="G727" s="27"/>
      <c r="H727" s="27"/>
      <c r="I727" s="28" t="str">
        <f aca="false">IF(C727="","",IFERROR(INDEX(Settings!$C$8:$C$19,MATCH(C727,Settings!$B$8:$B$19,0)),"?"))</f>
        <v/>
      </c>
      <c r="J727" s="28" t="str">
        <f aca="false">IF(G727="","",IFERROR(INDEX(Settings!$C$8:$C$19,MATCH(G727,Settings!$B$8:$B$19,0)),"?"))</f>
        <v/>
      </c>
      <c r="K727" s="35" t="str">
        <f aca="false">IF(A727="","",DATE(YEAR(A727),MONTH(A727),1))</f>
        <v/>
      </c>
      <c r="L727" s="28" t="str">
        <f aca="false">IF(E727="","",IFERROR(INDEX(Settings!$K$8:$K$38,MATCH(E727,Settings!$H$8:$H$38,0))&amp;"",""))</f>
        <v/>
      </c>
    </row>
    <row r="728" customFormat="false" ht="15" hidden="false" customHeight="false" outlineLevel="0" collapsed="false">
      <c r="A728" s="33"/>
      <c r="B728" s="27"/>
      <c r="C728" s="27"/>
      <c r="D728" s="27"/>
      <c r="E728" s="27"/>
      <c r="F728" s="34"/>
      <c r="G728" s="27"/>
      <c r="H728" s="27"/>
      <c r="I728" s="28" t="str">
        <f aca="false">IF(C728="","",IFERROR(INDEX(Settings!$C$8:$C$19,MATCH(C728,Settings!$B$8:$B$19,0)),"?"))</f>
        <v/>
      </c>
      <c r="J728" s="28" t="str">
        <f aca="false">IF(G728="","",IFERROR(INDEX(Settings!$C$8:$C$19,MATCH(G728,Settings!$B$8:$B$19,0)),"?"))</f>
        <v/>
      </c>
      <c r="K728" s="35" t="str">
        <f aca="false">IF(A728="","",DATE(YEAR(A728),MONTH(A728),1))</f>
        <v/>
      </c>
      <c r="L728" s="28" t="str">
        <f aca="false">IF(E728="","",IFERROR(INDEX(Settings!$K$8:$K$38,MATCH(E728,Settings!$H$8:$H$38,0))&amp;"",""))</f>
        <v/>
      </c>
    </row>
    <row r="729" customFormat="false" ht="15" hidden="false" customHeight="false" outlineLevel="0" collapsed="false">
      <c r="A729" s="33"/>
      <c r="B729" s="27"/>
      <c r="C729" s="27"/>
      <c r="D729" s="27"/>
      <c r="E729" s="27"/>
      <c r="F729" s="34"/>
      <c r="G729" s="27"/>
      <c r="H729" s="27"/>
      <c r="I729" s="28" t="str">
        <f aca="false">IF(C729="","",IFERROR(INDEX(Settings!$C$8:$C$19,MATCH(C729,Settings!$B$8:$B$19,0)),"?"))</f>
        <v/>
      </c>
      <c r="J729" s="28" t="str">
        <f aca="false">IF(G729="","",IFERROR(INDEX(Settings!$C$8:$C$19,MATCH(G729,Settings!$B$8:$B$19,0)),"?"))</f>
        <v/>
      </c>
      <c r="K729" s="35" t="str">
        <f aca="false">IF(A729="","",DATE(YEAR(A729),MONTH(A729),1))</f>
        <v/>
      </c>
      <c r="L729" s="28" t="str">
        <f aca="false">IF(E729="","",IFERROR(INDEX(Settings!$K$8:$K$38,MATCH(E729,Settings!$H$8:$H$38,0))&amp;"",""))</f>
        <v/>
      </c>
    </row>
    <row r="730" customFormat="false" ht="15" hidden="false" customHeight="false" outlineLevel="0" collapsed="false">
      <c r="A730" s="33"/>
      <c r="B730" s="27"/>
      <c r="C730" s="27"/>
      <c r="D730" s="27"/>
      <c r="E730" s="27"/>
      <c r="F730" s="34"/>
      <c r="G730" s="27"/>
      <c r="H730" s="27"/>
      <c r="I730" s="28" t="str">
        <f aca="false">IF(C730="","",IFERROR(INDEX(Settings!$C$8:$C$19,MATCH(C730,Settings!$B$8:$B$19,0)),"?"))</f>
        <v/>
      </c>
      <c r="J730" s="28" t="str">
        <f aca="false">IF(G730="","",IFERROR(INDEX(Settings!$C$8:$C$19,MATCH(G730,Settings!$B$8:$B$19,0)),"?"))</f>
        <v/>
      </c>
      <c r="K730" s="35" t="str">
        <f aca="false">IF(A730="","",DATE(YEAR(A730),MONTH(A730),1))</f>
        <v/>
      </c>
      <c r="L730" s="28" t="str">
        <f aca="false">IF(E730="","",IFERROR(INDEX(Settings!$K$8:$K$38,MATCH(E730,Settings!$H$8:$H$38,0))&amp;"",""))</f>
        <v/>
      </c>
    </row>
    <row r="731" customFormat="false" ht="15" hidden="false" customHeight="false" outlineLevel="0" collapsed="false">
      <c r="A731" s="33"/>
      <c r="B731" s="27"/>
      <c r="C731" s="27"/>
      <c r="D731" s="27"/>
      <c r="E731" s="27"/>
      <c r="F731" s="34"/>
      <c r="G731" s="27"/>
      <c r="H731" s="27"/>
      <c r="I731" s="28" t="str">
        <f aca="false">IF(C731="","",IFERROR(INDEX(Settings!$C$8:$C$19,MATCH(C731,Settings!$B$8:$B$19,0)),"?"))</f>
        <v/>
      </c>
      <c r="J731" s="28" t="str">
        <f aca="false">IF(G731="","",IFERROR(INDEX(Settings!$C$8:$C$19,MATCH(G731,Settings!$B$8:$B$19,0)),"?"))</f>
        <v/>
      </c>
      <c r="K731" s="35" t="str">
        <f aca="false">IF(A731="","",DATE(YEAR(A731),MONTH(A731),1))</f>
        <v/>
      </c>
      <c r="L731" s="28" t="str">
        <f aca="false">IF(E731="","",IFERROR(INDEX(Settings!$K$8:$K$38,MATCH(E731,Settings!$H$8:$H$38,0))&amp;"",""))</f>
        <v/>
      </c>
    </row>
    <row r="732" customFormat="false" ht="15" hidden="false" customHeight="false" outlineLevel="0" collapsed="false">
      <c r="A732" s="33"/>
      <c r="B732" s="27"/>
      <c r="C732" s="27"/>
      <c r="D732" s="27"/>
      <c r="E732" s="27"/>
      <c r="F732" s="34"/>
      <c r="G732" s="27"/>
      <c r="H732" s="27"/>
      <c r="I732" s="28" t="str">
        <f aca="false">IF(C732="","",IFERROR(INDEX(Settings!$C$8:$C$19,MATCH(C732,Settings!$B$8:$B$19,0)),"?"))</f>
        <v/>
      </c>
      <c r="J732" s="28" t="str">
        <f aca="false">IF(G732="","",IFERROR(INDEX(Settings!$C$8:$C$19,MATCH(G732,Settings!$B$8:$B$19,0)),"?"))</f>
        <v/>
      </c>
      <c r="K732" s="35" t="str">
        <f aca="false">IF(A732="","",DATE(YEAR(A732),MONTH(A732),1))</f>
        <v/>
      </c>
      <c r="L732" s="28" t="str">
        <f aca="false">IF(E732="","",IFERROR(INDEX(Settings!$K$8:$K$38,MATCH(E732,Settings!$H$8:$H$38,0))&amp;"",""))</f>
        <v/>
      </c>
    </row>
    <row r="733" customFormat="false" ht="15" hidden="false" customHeight="false" outlineLevel="0" collapsed="false">
      <c r="A733" s="33"/>
      <c r="B733" s="27"/>
      <c r="C733" s="27"/>
      <c r="D733" s="27"/>
      <c r="E733" s="27"/>
      <c r="F733" s="34"/>
      <c r="G733" s="27"/>
      <c r="H733" s="27"/>
      <c r="I733" s="28" t="str">
        <f aca="false">IF(C733="","",IFERROR(INDEX(Settings!$C$8:$C$19,MATCH(C733,Settings!$B$8:$B$19,0)),"?"))</f>
        <v/>
      </c>
      <c r="J733" s="28" t="str">
        <f aca="false">IF(G733="","",IFERROR(INDEX(Settings!$C$8:$C$19,MATCH(G733,Settings!$B$8:$B$19,0)),"?"))</f>
        <v/>
      </c>
      <c r="K733" s="35" t="str">
        <f aca="false">IF(A733="","",DATE(YEAR(A733),MONTH(A733),1))</f>
        <v/>
      </c>
      <c r="L733" s="28" t="str">
        <f aca="false">IF(E733="","",IFERROR(INDEX(Settings!$K$8:$K$38,MATCH(E733,Settings!$H$8:$H$38,0))&amp;"",""))</f>
        <v/>
      </c>
    </row>
    <row r="734" customFormat="false" ht="15" hidden="false" customHeight="false" outlineLevel="0" collapsed="false">
      <c r="A734" s="33"/>
      <c r="B734" s="27"/>
      <c r="C734" s="27"/>
      <c r="D734" s="27"/>
      <c r="E734" s="27"/>
      <c r="F734" s="34"/>
      <c r="G734" s="27"/>
      <c r="H734" s="27"/>
      <c r="I734" s="28" t="str">
        <f aca="false">IF(C734="","",IFERROR(INDEX(Settings!$C$8:$C$19,MATCH(C734,Settings!$B$8:$B$19,0)),"?"))</f>
        <v/>
      </c>
      <c r="J734" s="28" t="str">
        <f aca="false">IF(G734="","",IFERROR(INDEX(Settings!$C$8:$C$19,MATCH(G734,Settings!$B$8:$B$19,0)),"?"))</f>
        <v/>
      </c>
      <c r="K734" s="35" t="str">
        <f aca="false">IF(A734="","",DATE(YEAR(A734),MONTH(A734),1))</f>
        <v/>
      </c>
      <c r="L734" s="28" t="str">
        <f aca="false">IF(E734="","",IFERROR(INDEX(Settings!$K$8:$K$38,MATCH(E734,Settings!$H$8:$H$38,0))&amp;"",""))</f>
        <v/>
      </c>
    </row>
    <row r="735" customFormat="false" ht="15" hidden="false" customHeight="false" outlineLevel="0" collapsed="false">
      <c r="A735" s="33"/>
      <c r="B735" s="27"/>
      <c r="C735" s="27"/>
      <c r="D735" s="27"/>
      <c r="E735" s="27"/>
      <c r="F735" s="34"/>
      <c r="G735" s="27"/>
      <c r="H735" s="27"/>
      <c r="I735" s="28" t="str">
        <f aca="false">IF(C735="","",IFERROR(INDEX(Settings!$C$8:$C$19,MATCH(C735,Settings!$B$8:$B$19,0)),"?"))</f>
        <v/>
      </c>
      <c r="J735" s="28" t="str">
        <f aca="false">IF(G735="","",IFERROR(INDEX(Settings!$C$8:$C$19,MATCH(G735,Settings!$B$8:$B$19,0)),"?"))</f>
        <v/>
      </c>
      <c r="K735" s="35" t="str">
        <f aca="false">IF(A735="","",DATE(YEAR(A735),MONTH(A735),1))</f>
        <v/>
      </c>
      <c r="L735" s="28" t="str">
        <f aca="false">IF(E735="","",IFERROR(INDEX(Settings!$K$8:$K$38,MATCH(E735,Settings!$H$8:$H$38,0))&amp;"",""))</f>
        <v/>
      </c>
    </row>
    <row r="736" customFormat="false" ht="15" hidden="false" customHeight="false" outlineLevel="0" collapsed="false">
      <c r="A736" s="33"/>
      <c r="B736" s="27"/>
      <c r="C736" s="27"/>
      <c r="D736" s="27"/>
      <c r="E736" s="27"/>
      <c r="F736" s="34"/>
      <c r="G736" s="27"/>
      <c r="H736" s="27"/>
      <c r="I736" s="28" t="str">
        <f aca="false">IF(C736="","",IFERROR(INDEX(Settings!$C$8:$C$19,MATCH(C736,Settings!$B$8:$B$19,0)),"?"))</f>
        <v/>
      </c>
      <c r="J736" s="28" t="str">
        <f aca="false">IF(G736="","",IFERROR(INDEX(Settings!$C$8:$C$19,MATCH(G736,Settings!$B$8:$B$19,0)),"?"))</f>
        <v/>
      </c>
      <c r="K736" s="35" t="str">
        <f aca="false">IF(A736="","",DATE(YEAR(A736),MONTH(A736),1))</f>
        <v/>
      </c>
      <c r="L736" s="28" t="str">
        <f aca="false">IF(E736="","",IFERROR(INDEX(Settings!$K$8:$K$38,MATCH(E736,Settings!$H$8:$H$38,0))&amp;"",""))</f>
        <v/>
      </c>
    </row>
    <row r="737" customFormat="false" ht="15" hidden="false" customHeight="false" outlineLevel="0" collapsed="false">
      <c r="A737" s="33"/>
      <c r="B737" s="27"/>
      <c r="C737" s="27"/>
      <c r="D737" s="27"/>
      <c r="E737" s="27"/>
      <c r="F737" s="34"/>
      <c r="G737" s="27"/>
      <c r="H737" s="27"/>
      <c r="I737" s="28" t="str">
        <f aca="false">IF(C737="","",IFERROR(INDEX(Settings!$C$8:$C$19,MATCH(C737,Settings!$B$8:$B$19,0)),"?"))</f>
        <v/>
      </c>
      <c r="J737" s="28" t="str">
        <f aca="false">IF(G737="","",IFERROR(INDEX(Settings!$C$8:$C$19,MATCH(G737,Settings!$B$8:$B$19,0)),"?"))</f>
        <v/>
      </c>
      <c r="K737" s="35" t="str">
        <f aca="false">IF(A737="","",DATE(YEAR(A737),MONTH(A737),1))</f>
        <v/>
      </c>
      <c r="L737" s="28" t="str">
        <f aca="false">IF(E737="","",IFERROR(INDEX(Settings!$K$8:$K$38,MATCH(E737,Settings!$H$8:$H$38,0))&amp;"",""))</f>
        <v/>
      </c>
    </row>
    <row r="738" customFormat="false" ht="15" hidden="false" customHeight="false" outlineLevel="0" collapsed="false">
      <c r="A738" s="33"/>
      <c r="B738" s="27"/>
      <c r="C738" s="27"/>
      <c r="D738" s="27"/>
      <c r="E738" s="27"/>
      <c r="F738" s="34"/>
      <c r="G738" s="27"/>
      <c r="H738" s="27"/>
      <c r="I738" s="28" t="str">
        <f aca="false">IF(C738="","",IFERROR(INDEX(Settings!$C$8:$C$19,MATCH(C738,Settings!$B$8:$B$19,0)),"?"))</f>
        <v/>
      </c>
      <c r="J738" s="28" t="str">
        <f aca="false">IF(G738="","",IFERROR(INDEX(Settings!$C$8:$C$19,MATCH(G738,Settings!$B$8:$B$19,0)),"?"))</f>
        <v/>
      </c>
      <c r="K738" s="35" t="str">
        <f aca="false">IF(A738="","",DATE(YEAR(A738),MONTH(A738),1))</f>
        <v/>
      </c>
      <c r="L738" s="28" t="str">
        <f aca="false">IF(E738="","",IFERROR(INDEX(Settings!$K$8:$K$38,MATCH(E738,Settings!$H$8:$H$38,0))&amp;"",""))</f>
        <v/>
      </c>
    </row>
    <row r="739" customFormat="false" ht="15" hidden="false" customHeight="false" outlineLevel="0" collapsed="false">
      <c r="A739" s="33"/>
      <c r="B739" s="27"/>
      <c r="C739" s="27"/>
      <c r="D739" s="27"/>
      <c r="E739" s="27"/>
      <c r="F739" s="34"/>
      <c r="G739" s="27"/>
      <c r="H739" s="27"/>
      <c r="I739" s="28" t="str">
        <f aca="false">IF(C739="","",IFERROR(INDEX(Settings!$C$8:$C$19,MATCH(C739,Settings!$B$8:$B$19,0)),"?"))</f>
        <v/>
      </c>
      <c r="J739" s="28" t="str">
        <f aca="false">IF(G739="","",IFERROR(INDEX(Settings!$C$8:$C$19,MATCH(G739,Settings!$B$8:$B$19,0)),"?"))</f>
        <v/>
      </c>
      <c r="K739" s="35" t="str">
        <f aca="false">IF(A739="","",DATE(YEAR(A739),MONTH(A739),1))</f>
        <v/>
      </c>
      <c r="L739" s="28" t="str">
        <f aca="false">IF(E739="","",IFERROR(INDEX(Settings!$K$8:$K$38,MATCH(E739,Settings!$H$8:$H$38,0))&amp;"",""))</f>
        <v/>
      </c>
    </row>
    <row r="740" customFormat="false" ht="15" hidden="false" customHeight="false" outlineLevel="0" collapsed="false">
      <c r="A740" s="33"/>
      <c r="B740" s="27"/>
      <c r="C740" s="27"/>
      <c r="D740" s="27"/>
      <c r="E740" s="27"/>
      <c r="F740" s="34"/>
      <c r="G740" s="27"/>
      <c r="H740" s="27"/>
      <c r="I740" s="28" t="str">
        <f aca="false">IF(C740="","",IFERROR(INDEX(Settings!$C$8:$C$19,MATCH(C740,Settings!$B$8:$B$19,0)),"?"))</f>
        <v/>
      </c>
      <c r="J740" s="28" t="str">
        <f aca="false">IF(G740="","",IFERROR(INDEX(Settings!$C$8:$C$19,MATCH(G740,Settings!$B$8:$B$19,0)),"?"))</f>
        <v/>
      </c>
      <c r="K740" s="35" t="str">
        <f aca="false">IF(A740="","",DATE(YEAR(A740),MONTH(A740),1))</f>
        <v/>
      </c>
      <c r="L740" s="28" t="str">
        <f aca="false">IF(E740="","",IFERROR(INDEX(Settings!$K$8:$K$38,MATCH(E740,Settings!$H$8:$H$38,0))&amp;"",""))</f>
        <v/>
      </c>
    </row>
    <row r="741" customFormat="false" ht="15" hidden="false" customHeight="false" outlineLevel="0" collapsed="false">
      <c r="A741" s="33"/>
      <c r="B741" s="27"/>
      <c r="C741" s="27"/>
      <c r="D741" s="27"/>
      <c r="E741" s="27"/>
      <c r="F741" s="34"/>
      <c r="G741" s="27"/>
      <c r="H741" s="27"/>
      <c r="I741" s="28" t="str">
        <f aca="false">IF(C741="","",IFERROR(INDEX(Settings!$C$8:$C$19,MATCH(C741,Settings!$B$8:$B$19,0)),"?"))</f>
        <v/>
      </c>
      <c r="J741" s="28" t="str">
        <f aca="false">IF(G741="","",IFERROR(INDEX(Settings!$C$8:$C$19,MATCH(G741,Settings!$B$8:$B$19,0)),"?"))</f>
        <v/>
      </c>
      <c r="K741" s="35" t="str">
        <f aca="false">IF(A741="","",DATE(YEAR(A741),MONTH(A741),1))</f>
        <v/>
      </c>
      <c r="L741" s="28" t="str">
        <f aca="false">IF(E741="","",IFERROR(INDEX(Settings!$K$8:$K$38,MATCH(E741,Settings!$H$8:$H$38,0))&amp;"",""))</f>
        <v/>
      </c>
    </row>
    <row r="742" customFormat="false" ht="15" hidden="false" customHeight="false" outlineLevel="0" collapsed="false">
      <c r="A742" s="33"/>
      <c r="B742" s="27"/>
      <c r="C742" s="27"/>
      <c r="D742" s="27"/>
      <c r="E742" s="27"/>
      <c r="F742" s="34"/>
      <c r="G742" s="27"/>
      <c r="H742" s="27"/>
      <c r="I742" s="28" t="str">
        <f aca="false">IF(C742="","",IFERROR(INDEX(Settings!$C$8:$C$19,MATCH(C742,Settings!$B$8:$B$19,0)),"?"))</f>
        <v/>
      </c>
      <c r="J742" s="28" t="str">
        <f aca="false">IF(G742="","",IFERROR(INDEX(Settings!$C$8:$C$19,MATCH(G742,Settings!$B$8:$B$19,0)),"?"))</f>
        <v/>
      </c>
      <c r="K742" s="35" t="str">
        <f aca="false">IF(A742="","",DATE(YEAR(A742),MONTH(A742),1))</f>
        <v/>
      </c>
      <c r="L742" s="28" t="str">
        <f aca="false">IF(E742="","",IFERROR(INDEX(Settings!$K$8:$K$38,MATCH(E742,Settings!$H$8:$H$38,0))&amp;"",""))</f>
        <v/>
      </c>
    </row>
    <row r="743" customFormat="false" ht="15" hidden="false" customHeight="false" outlineLevel="0" collapsed="false">
      <c r="A743" s="33"/>
      <c r="B743" s="27"/>
      <c r="C743" s="27"/>
      <c r="D743" s="27"/>
      <c r="E743" s="27"/>
      <c r="F743" s="34"/>
      <c r="G743" s="27"/>
      <c r="H743" s="27"/>
      <c r="I743" s="28" t="str">
        <f aca="false">IF(C743="","",IFERROR(INDEX(Settings!$C$8:$C$19,MATCH(C743,Settings!$B$8:$B$19,0)),"?"))</f>
        <v/>
      </c>
      <c r="J743" s="28" t="str">
        <f aca="false">IF(G743="","",IFERROR(INDEX(Settings!$C$8:$C$19,MATCH(G743,Settings!$B$8:$B$19,0)),"?"))</f>
        <v/>
      </c>
      <c r="K743" s="35" t="str">
        <f aca="false">IF(A743="","",DATE(YEAR(A743),MONTH(A743),1))</f>
        <v/>
      </c>
      <c r="L743" s="28" t="str">
        <f aca="false">IF(E743="","",IFERROR(INDEX(Settings!$K$8:$K$38,MATCH(E743,Settings!$H$8:$H$38,0))&amp;"",""))</f>
        <v/>
      </c>
    </row>
    <row r="744" customFormat="false" ht="15" hidden="false" customHeight="false" outlineLevel="0" collapsed="false">
      <c r="A744" s="33"/>
      <c r="B744" s="27"/>
      <c r="C744" s="27"/>
      <c r="D744" s="27"/>
      <c r="E744" s="27"/>
      <c r="F744" s="34"/>
      <c r="G744" s="27"/>
      <c r="H744" s="27"/>
      <c r="I744" s="28" t="str">
        <f aca="false">IF(C744="","",IFERROR(INDEX(Settings!$C$8:$C$19,MATCH(C744,Settings!$B$8:$B$19,0)),"?"))</f>
        <v/>
      </c>
      <c r="J744" s="28" t="str">
        <f aca="false">IF(G744="","",IFERROR(INDEX(Settings!$C$8:$C$19,MATCH(G744,Settings!$B$8:$B$19,0)),"?"))</f>
        <v/>
      </c>
      <c r="K744" s="35" t="str">
        <f aca="false">IF(A744="","",DATE(YEAR(A744),MONTH(A744),1))</f>
        <v/>
      </c>
      <c r="L744" s="28" t="str">
        <f aca="false">IF(E744="","",IFERROR(INDEX(Settings!$K$8:$K$38,MATCH(E744,Settings!$H$8:$H$38,0))&amp;"",""))</f>
        <v/>
      </c>
    </row>
    <row r="745" customFormat="false" ht="15" hidden="false" customHeight="false" outlineLevel="0" collapsed="false">
      <c r="A745" s="33"/>
      <c r="B745" s="27"/>
      <c r="C745" s="27"/>
      <c r="D745" s="27"/>
      <c r="E745" s="27"/>
      <c r="F745" s="34"/>
      <c r="G745" s="27"/>
      <c r="H745" s="27"/>
      <c r="I745" s="28" t="str">
        <f aca="false">IF(C745="","",IFERROR(INDEX(Settings!$C$8:$C$19,MATCH(C745,Settings!$B$8:$B$19,0)),"?"))</f>
        <v/>
      </c>
      <c r="J745" s="28" t="str">
        <f aca="false">IF(G745="","",IFERROR(INDEX(Settings!$C$8:$C$19,MATCH(G745,Settings!$B$8:$B$19,0)),"?"))</f>
        <v/>
      </c>
      <c r="K745" s="35" t="str">
        <f aca="false">IF(A745="","",DATE(YEAR(A745),MONTH(A745),1))</f>
        <v/>
      </c>
      <c r="L745" s="28" t="str">
        <f aca="false">IF(E745="","",IFERROR(INDEX(Settings!$K$8:$K$38,MATCH(E745,Settings!$H$8:$H$38,0))&amp;"",""))</f>
        <v/>
      </c>
    </row>
    <row r="746" customFormat="false" ht="15" hidden="false" customHeight="false" outlineLevel="0" collapsed="false">
      <c r="A746" s="33"/>
      <c r="B746" s="27"/>
      <c r="C746" s="27"/>
      <c r="D746" s="27"/>
      <c r="E746" s="27"/>
      <c r="F746" s="34"/>
      <c r="G746" s="27"/>
      <c r="H746" s="27"/>
      <c r="I746" s="28" t="str">
        <f aca="false">IF(C746="","",IFERROR(INDEX(Settings!$C$8:$C$19,MATCH(C746,Settings!$B$8:$B$19,0)),"?"))</f>
        <v/>
      </c>
      <c r="J746" s="28" t="str">
        <f aca="false">IF(G746="","",IFERROR(INDEX(Settings!$C$8:$C$19,MATCH(G746,Settings!$B$8:$B$19,0)),"?"))</f>
        <v/>
      </c>
      <c r="K746" s="35" t="str">
        <f aca="false">IF(A746="","",DATE(YEAR(A746),MONTH(A746),1))</f>
        <v/>
      </c>
      <c r="L746" s="28" t="str">
        <f aca="false">IF(E746="","",IFERROR(INDEX(Settings!$K$8:$K$38,MATCH(E746,Settings!$H$8:$H$38,0))&amp;"",""))</f>
        <v/>
      </c>
    </row>
    <row r="747" customFormat="false" ht="15" hidden="false" customHeight="false" outlineLevel="0" collapsed="false">
      <c r="A747" s="33"/>
      <c r="B747" s="27"/>
      <c r="C747" s="27"/>
      <c r="D747" s="27"/>
      <c r="E747" s="27"/>
      <c r="F747" s="34"/>
      <c r="G747" s="27"/>
      <c r="H747" s="27"/>
      <c r="I747" s="28" t="str">
        <f aca="false">IF(C747="","",IFERROR(INDEX(Settings!$C$8:$C$19,MATCH(C747,Settings!$B$8:$B$19,0)),"?"))</f>
        <v/>
      </c>
      <c r="J747" s="28" t="str">
        <f aca="false">IF(G747="","",IFERROR(INDEX(Settings!$C$8:$C$19,MATCH(G747,Settings!$B$8:$B$19,0)),"?"))</f>
        <v/>
      </c>
      <c r="K747" s="35" t="str">
        <f aca="false">IF(A747="","",DATE(YEAR(A747),MONTH(A747),1))</f>
        <v/>
      </c>
      <c r="L747" s="28" t="str">
        <f aca="false">IF(E747="","",IFERROR(INDEX(Settings!$K$8:$K$38,MATCH(E747,Settings!$H$8:$H$38,0))&amp;"",""))</f>
        <v/>
      </c>
    </row>
    <row r="748" customFormat="false" ht="15" hidden="false" customHeight="false" outlineLevel="0" collapsed="false">
      <c r="A748" s="33"/>
      <c r="B748" s="27"/>
      <c r="C748" s="27"/>
      <c r="D748" s="27"/>
      <c r="E748" s="27"/>
      <c r="F748" s="34"/>
      <c r="G748" s="27"/>
      <c r="H748" s="27"/>
      <c r="I748" s="28" t="str">
        <f aca="false">IF(C748="","",IFERROR(INDEX(Settings!$C$8:$C$19,MATCH(C748,Settings!$B$8:$B$19,0)),"?"))</f>
        <v/>
      </c>
      <c r="J748" s="28" t="str">
        <f aca="false">IF(G748="","",IFERROR(INDEX(Settings!$C$8:$C$19,MATCH(G748,Settings!$B$8:$B$19,0)),"?"))</f>
        <v/>
      </c>
      <c r="K748" s="35" t="str">
        <f aca="false">IF(A748="","",DATE(YEAR(A748),MONTH(A748),1))</f>
        <v/>
      </c>
      <c r="L748" s="28" t="str">
        <f aca="false">IF(E748="","",IFERROR(INDEX(Settings!$K$8:$K$38,MATCH(E748,Settings!$H$8:$H$38,0))&amp;"",""))</f>
        <v/>
      </c>
    </row>
    <row r="749" customFormat="false" ht="15" hidden="false" customHeight="false" outlineLevel="0" collapsed="false">
      <c r="A749" s="33"/>
      <c r="B749" s="27"/>
      <c r="C749" s="27"/>
      <c r="D749" s="27"/>
      <c r="E749" s="27"/>
      <c r="F749" s="34"/>
      <c r="G749" s="27"/>
      <c r="H749" s="27"/>
      <c r="I749" s="28" t="str">
        <f aca="false">IF(C749="","",IFERROR(INDEX(Settings!$C$8:$C$19,MATCH(C749,Settings!$B$8:$B$19,0)),"?"))</f>
        <v/>
      </c>
      <c r="J749" s="28" t="str">
        <f aca="false">IF(G749="","",IFERROR(INDEX(Settings!$C$8:$C$19,MATCH(G749,Settings!$B$8:$B$19,0)),"?"))</f>
        <v/>
      </c>
      <c r="K749" s="35" t="str">
        <f aca="false">IF(A749="","",DATE(YEAR(A749),MONTH(A749),1))</f>
        <v/>
      </c>
      <c r="L749" s="28" t="str">
        <f aca="false">IF(E749="","",IFERROR(INDEX(Settings!$K$8:$K$38,MATCH(E749,Settings!$H$8:$H$38,0))&amp;"",""))</f>
        <v/>
      </c>
    </row>
    <row r="750" customFormat="false" ht="15" hidden="false" customHeight="false" outlineLevel="0" collapsed="false">
      <c r="A750" s="33"/>
      <c r="B750" s="27"/>
      <c r="C750" s="27"/>
      <c r="D750" s="27"/>
      <c r="E750" s="27"/>
      <c r="F750" s="34"/>
      <c r="G750" s="27"/>
      <c r="H750" s="27"/>
      <c r="I750" s="28" t="str">
        <f aca="false">IF(C750="","",IFERROR(INDEX(Settings!$C$8:$C$19,MATCH(C750,Settings!$B$8:$B$19,0)),"?"))</f>
        <v/>
      </c>
      <c r="J750" s="28" t="str">
        <f aca="false">IF(G750="","",IFERROR(INDEX(Settings!$C$8:$C$19,MATCH(G750,Settings!$B$8:$B$19,0)),"?"))</f>
        <v/>
      </c>
      <c r="K750" s="35" t="str">
        <f aca="false">IF(A750="","",DATE(YEAR(A750),MONTH(A750),1))</f>
        <v/>
      </c>
      <c r="L750" s="28" t="str">
        <f aca="false">IF(E750="","",IFERROR(INDEX(Settings!$K$8:$K$38,MATCH(E750,Settings!$H$8:$H$38,0))&amp;"",""))</f>
        <v/>
      </c>
    </row>
    <row r="751" customFormat="false" ht="15" hidden="false" customHeight="false" outlineLevel="0" collapsed="false">
      <c r="A751" s="33"/>
      <c r="B751" s="27"/>
      <c r="C751" s="27"/>
      <c r="D751" s="27"/>
      <c r="E751" s="27"/>
      <c r="F751" s="34"/>
      <c r="G751" s="27"/>
      <c r="H751" s="27"/>
      <c r="I751" s="28" t="str">
        <f aca="false">IF(C751="","",IFERROR(INDEX(Settings!$C$8:$C$19,MATCH(C751,Settings!$B$8:$B$19,0)),"?"))</f>
        <v/>
      </c>
      <c r="J751" s="28" t="str">
        <f aca="false">IF(G751="","",IFERROR(INDEX(Settings!$C$8:$C$19,MATCH(G751,Settings!$B$8:$B$19,0)),"?"))</f>
        <v/>
      </c>
      <c r="K751" s="35" t="str">
        <f aca="false">IF(A751="","",DATE(YEAR(A751),MONTH(A751),1))</f>
        <v/>
      </c>
      <c r="L751" s="28" t="str">
        <f aca="false">IF(E751="","",IFERROR(INDEX(Settings!$K$8:$K$38,MATCH(E751,Settings!$H$8:$H$38,0))&amp;"",""))</f>
        <v/>
      </c>
    </row>
    <row r="752" customFormat="false" ht="15" hidden="false" customHeight="false" outlineLevel="0" collapsed="false">
      <c r="A752" s="33"/>
      <c r="B752" s="27"/>
      <c r="C752" s="27"/>
      <c r="D752" s="27"/>
      <c r="E752" s="27"/>
      <c r="F752" s="34"/>
      <c r="G752" s="27"/>
      <c r="H752" s="27"/>
      <c r="I752" s="28" t="str">
        <f aca="false">IF(C752="","",IFERROR(INDEX(Settings!$C$8:$C$19,MATCH(C752,Settings!$B$8:$B$19,0)),"?"))</f>
        <v/>
      </c>
      <c r="J752" s="28" t="str">
        <f aca="false">IF(G752="","",IFERROR(INDEX(Settings!$C$8:$C$19,MATCH(G752,Settings!$B$8:$B$19,0)),"?"))</f>
        <v/>
      </c>
      <c r="K752" s="35" t="str">
        <f aca="false">IF(A752="","",DATE(YEAR(A752),MONTH(A752),1))</f>
        <v/>
      </c>
      <c r="L752" s="28" t="str">
        <f aca="false">IF(E752="","",IFERROR(INDEX(Settings!$K$8:$K$38,MATCH(E752,Settings!$H$8:$H$38,0))&amp;"",""))</f>
        <v/>
      </c>
    </row>
    <row r="753" customFormat="false" ht="15" hidden="false" customHeight="false" outlineLevel="0" collapsed="false">
      <c r="A753" s="33"/>
      <c r="B753" s="27"/>
      <c r="C753" s="27"/>
      <c r="D753" s="27"/>
      <c r="E753" s="27"/>
      <c r="F753" s="34"/>
      <c r="G753" s="27"/>
      <c r="H753" s="27"/>
      <c r="I753" s="28" t="str">
        <f aca="false">IF(C753="","",IFERROR(INDEX(Settings!$C$8:$C$19,MATCH(C753,Settings!$B$8:$B$19,0)),"?"))</f>
        <v/>
      </c>
      <c r="J753" s="28" t="str">
        <f aca="false">IF(G753="","",IFERROR(INDEX(Settings!$C$8:$C$19,MATCH(G753,Settings!$B$8:$B$19,0)),"?"))</f>
        <v/>
      </c>
      <c r="K753" s="35" t="str">
        <f aca="false">IF(A753="","",DATE(YEAR(A753),MONTH(A753),1))</f>
        <v/>
      </c>
      <c r="L753" s="28" t="str">
        <f aca="false">IF(E753="","",IFERROR(INDEX(Settings!$K$8:$K$38,MATCH(E753,Settings!$H$8:$H$38,0))&amp;"",""))</f>
        <v/>
      </c>
    </row>
    <row r="754" customFormat="false" ht="15" hidden="false" customHeight="false" outlineLevel="0" collapsed="false">
      <c r="A754" s="33"/>
      <c r="B754" s="27"/>
      <c r="C754" s="27"/>
      <c r="D754" s="27"/>
      <c r="E754" s="27"/>
      <c r="F754" s="34"/>
      <c r="G754" s="27"/>
      <c r="H754" s="27"/>
      <c r="I754" s="28" t="str">
        <f aca="false">IF(C754="","",IFERROR(INDEX(Settings!$C$8:$C$19,MATCH(C754,Settings!$B$8:$B$19,0)),"?"))</f>
        <v/>
      </c>
      <c r="J754" s="28" t="str">
        <f aca="false">IF(G754="","",IFERROR(INDEX(Settings!$C$8:$C$19,MATCH(G754,Settings!$B$8:$B$19,0)),"?"))</f>
        <v/>
      </c>
      <c r="K754" s="35" t="str">
        <f aca="false">IF(A754="","",DATE(YEAR(A754),MONTH(A754),1))</f>
        <v/>
      </c>
      <c r="L754" s="28" t="str">
        <f aca="false">IF(E754="","",IFERROR(INDEX(Settings!$K$8:$K$38,MATCH(E754,Settings!$H$8:$H$38,0))&amp;"",""))</f>
        <v/>
      </c>
    </row>
    <row r="755" customFormat="false" ht="15" hidden="false" customHeight="false" outlineLevel="0" collapsed="false">
      <c r="A755" s="33"/>
      <c r="B755" s="27"/>
      <c r="C755" s="27"/>
      <c r="D755" s="27"/>
      <c r="E755" s="27"/>
      <c r="F755" s="34"/>
      <c r="G755" s="27"/>
      <c r="H755" s="27"/>
      <c r="I755" s="28" t="str">
        <f aca="false">IF(C755="","",IFERROR(INDEX(Settings!$C$8:$C$19,MATCH(C755,Settings!$B$8:$B$19,0)),"?"))</f>
        <v/>
      </c>
      <c r="J755" s="28" t="str">
        <f aca="false">IF(G755="","",IFERROR(INDEX(Settings!$C$8:$C$19,MATCH(G755,Settings!$B$8:$B$19,0)),"?"))</f>
        <v/>
      </c>
      <c r="K755" s="35" t="str">
        <f aca="false">IF(A755="","",DATE(YEAR(A755),MONTH(A755),1))</f>
        <v/>
      </c>
      <c r="L755" s="28" t="str">
        <f aca="false">IF(E755="","",IFERROR(INDEX(Settings!$K$8:$K$38,MATCH(E755,Settings!$H$8:$H$38,0))&amp;"",""))</f>
        <v/>
      </c>
    </row>
    <row r="756" customFormat="false" ht="15" hidden="false" customHeight="false" outlineLevel="0" collapsed="false">
      <c r="A756" s="33"/>
      <c r="B756" s="27"/>
      <c r="C756" s="27"/>
      <c r="D756" s="27"/>
      <c r="E756" s="27"/>
      <c r="F756" s="34"/>
      <c r="G756" s="27"/>
      <c r="H756" s="27"/>
      <c r="I756" s="28" t="str">
        <f aca="false">IF(C756="","",IFERROR(INDEX(Settings!$C$8:$C$19,MATCH(C756,Settings!$B$8:$B$19,0)),"?"))</f>
        <v/>
      </c>
      <c r="J756" s="28" t="str">
        <f aca="false">IF(G756="","",IFERROR(INDEX(Settings!$C$8:$C$19,MATCH(G756,Settings!$B$8:$B$19,0)),"?"))</f>
        <v/>
      </c>
      <c r="K756" s="35" t="str">
        <f aca="false">IF(A756="","",DATE(YEAR(A756),MONTH(A756),1))</f>
        <v/>
      </c>
      <c r="L756" s="28" t="str">
        <f aca="false">IF(E756="","",IFERROR(INDEX(Settings!$K$8:$K$38,MATCH(E756,Settings!$H$8:$H$38,0))&amp;"",""))</f>
        <v/>
      </c>
    </row>
    <row r="757" customFormat="false" ht="15" hidden="false" customHeight="false" outlineLevel="0" collapsed="false">
      <c r="A757" s="33"/>
      <c r="B757" s="27"/>
      <c r="C757" s="27"/>
      <c r="D757" s="27"/>
      <c r="E757" s="27"/>
      <c r="F757" s="34"/>
      <c r="G757" s="27"/>
      <c r="H757" s="27"/>
      <c r="I757" s="28" t="str">
        <f aca="false">IF(C757="","",IFERROR(INDEX(Settings!$C$8:$C$19,MATCH(C757,Settings!$B$8:$B$19,0)),"?"))</f>
        <v/>
      </c>
      <c r="J757" s="28" t="str">
        <f aca="false">IF(G757="","",IFERROR(INDEX(Settings!$C$8:$C$19,MATCH(G757,Settings!$B$8:$B$19,0)),"?"))</f>
        <v/>
      </c>
      <c r="K757" s="35" t="str">
        <f aca="false">IF(A757="","",DATE(YEAR(A757),MONTH(A757),1))</f>
        <v/>
      </c>
      <c r="L757" s="28" t="str">
        <f aca="false">IF(E757="","",IFERROR(INDEX(Settings!$K$8:$K$38,MATCH(E757,Settings!$H$8:$H$38,0))&amp;"",""))</f>
        <v/>
      </c>
    </row>
    <row r="758" customFormat="false" ht="15" hidden="false" customHeight="false" outlineLevel="0" collapsed="false">
      <c r="A758" s="33"/>
      <c r="B758" s="27"/>
      <c r="C758" s="27"/>
      <c r="D758" s="27"/>
      <c r="E758" s="27"/>
      <c r="F758" s="34"/>
      <c r="G758" s="27"/>
      <c r="H758" s="27"/>
      <c r="I758" s="28" t="str">
        <f aca="false">IF(C758="","",IFERROR(INDEX(Settings!$C$8:$C$19,MATCH(C758,Settings!$B$8:$B$19,0)),"?"))</f>
        <v/>
      </c>
      <c r="J758" s="28" t="str">
        <f aca="false">IF(G758="","",IFERROR(INDEX(Settings!$C$8:$C$19,MATCH(G758,Settings!$B$8:$B$19,0)),"?"))</f>
        <v/>
      </c>
      <c r="K758" s="35" t="str">
        <f aca="false">IF(A758="","",DATE(YEAR(A758),MONTH(A758),1))</f>
        <v/>
      </c>
      <c r="L758" s="28" t="str">
        <f aca="false">IF(E758="","",IFERROR(INDEX(Settings!$K$8:$K$38,MATCH(E758,Settings!$H$8:$H$38,0))&amp;"",""))</f>
        <v/>
      </c>
    </row>
    <row r="759" customFormat="false" ht="15" hidden="false" customHeight="false" outlineLevel="0" collapsed="false">
      <c r="A759" s="33"/>
      <c r="B759" s="27"/>
      <c r="C759" s="27"/>
      <c r="D759" s="27"/>
      <c r="E759" s="27"/>
      <c r="F759" s="34"/>
      <c r="G759" s="27"/>
      <c r="H759" s="27"/>
      <c r="I759" s="28" t="str">
        <f aca="false">IF(C759="","",IFERROR(INDEX(Settings!$C$8:$C$19,MATCH(C759,Settings!$B$8:$B$19,0)),"?"))</f>
        <v/>
      </c>
      <c r="J759" s="28" t="str">
        <f aca="false">IF(G759="","",IFERROR(INDEX(Settings!$C$8:$C$19,MATCH(G759,Settings!$B$8:$B$19,0)),"?"))</f>
        <v/>
      </c>
      <c r="K759" s="35" t="str">
        <f aca="false">IF(A759="","",DATE(YEAR(A759),MONTH(A759),1))</f>
        <v/>
      </c>
      <c r="L759" s="28" t="str">
        <f aca="false">IF(E759="","",IFERROR(INDEX(Settings!$K$8:$K$38,MATCH(E759,Settings!$H$8:$H$38,0))&amp;"",""))</f>
        <v/>
      </c>
    </row>
    <row r="760" customFormat="false" ht="15" hidden="false" customHeight="false" outlineLevel="0" collapsed="false">
      <c r="A760" s="33"/>
      <c r="B760" s="27"/>
      <c r="C760" s="27"/>
      <c r="D760" s="27"/>
      <c r="E760" s="27"/>
      <c r="F760" s="34"/>
      <c r="G760" s="27"/>
      <c r="H760" s="27"/>
      <c r="I760" s="28" t="str">
        <f aca="false">IF(C760="","",IFERROR(INDEX(Settings!$C$8:$C$19,MATCH(C760,Settings!$B$8:$B$19,0)),"?"))</f>
        <v/>
      </c>
      <c r="J760" s="28" t="str">
        <f aca="false">IF(G760="","",IFERROR(INDEX(Settings!$C$8:$C$19,MATCH(G760,Settings!$B$8:$B$19,0)),"?"))</f>
        <v/>
      </c>
      <c r="K760" s="35" t="str">
        <f aca="false">IF(A760="","",DATE(YEAR(A760),MONTH(A760),1))</f>
        <v/>
      </c>
      <c r="L760" s="28" t="str">
        <f aca="false">IF(E760="","",IFERROR(INDEX(Settings!$K$8:$K$38,MATCH(E760,Settings!$H$8:$H$38,0))&amp;"",""))</f>
        <v/>
      </c>
    </row>
    <row r="761" customFormat="false" ht="15" hidden="false" customHeight="false" outlineLevel="0" collapsed="false">
      <c r="A761" s="33"/>
      <c r="B761" s="27"/>
      <c r="C761" s="27"/>
      <c r="D761" s="27"/>
      <c r="E761" s="27"/>
      <c r="F761" s="34"/>
      <c r="G761" s="27"/>
      <c r="H761" s="27"/>
      <c r="I761" s="28" t="str">
        <f aca="false">IF(C761="","",IFERROR(INDEX(Settings!$C$8:$C$19,MATCH(C761,Settings!$B$8:$B$19,0)),"?"))</f>
        <v/>
      </c>
      <c r="J761" s="28" t="str">
        <f aca="false">IF(G761="","",IFERROR(INDEX(Settings!$C$8:$C$19,MATCH(G761,Settings!$B$8:$B$19,0)),"?"))</f>
        <v/>
      </c>
      <c r="K761" s="35" t="str">
        <f aca="false">IF(A761="","",DATE(YEAR(A761),MONTH(A761),1))</f>
        <v/>
      </c>
      <c r="L761" s="28" t="str">
        <f aca="false">IF(E761="","",IFERROR(INDEX(Settings!$K$8:$K$38,MATCH(E761,Settings!$H$8:$H$38,0))&amp;"",""))</f>
        <v/>
      </c>
    </row>
    <row r="762" customFormat="false" ht="15" hidden="false" customHeight="false" outlineLevel="0" collapsed="false">
      <c r="A762" s="33"/>
      <c r="B762" s="27"/>
      <c r="C762" s="27"/>
      <c r="D762" s="27"/>
      <c r="E762" s="27"/>
      <c r="F762" s="34"/>
      <c r="G762" s="27"/>
      <c r="H762" s="27"/>
      <c r="I762" s="28" t="str">
        <f aca="false">IF(C762="","",IFERROR(INDEX(Settings!$C$8:$C$19,MATCH(C762,Settings!$B$8:$B$19,0)),"?"))</f>
        <v/>
      </c>
      <c r="J762" s="28" t="str">
        <f aca="false">IF(G762="","",IFERROR(INDEX(Settings!$C$8:$C$19,MATCH(G762,Settings!$B$8:$B$19,0)),"?"))</f>
        <v/>
      </c>
      <c r="K762" s="35" t="str">
        <f aca="false">IF(A762="","",DATE(YEAR(A762),MONTH(A762),1))</f>
        <v/>
      </c>
      <c r="L762" s="28" t="str">
        <f aca="false">IF(E762="","",IFERROR(INDEX(Settings!$K$8:$K$38,MATCH(E762,Settings!$H$8:$H$38,0))&amp;"",""))</f>
        <v/>
      </c>
    </row>
    <row r="763" customFormat="false" ht="15" hidden="false" customHeight="false" outlineLevel="0" collapsed="false">
      <c r="A763" s="33"/>
      <c r="B763" s="27"/>
      <c r="C763" s="27"/>
      <c r="D763" s="27"/>
      <c r="E763" s="27"/>
      <c r="F763" s="34"/>
      <c r="G763" s="27"/>
      <c r="H763" s="27"/>
      <c r="I763" s="28" t="str">
        <f aca="false">IF(C763="","",IFERROR(INDEX(Settings!$C$8:$C$19,MATCH(C763,Settings!$B$8:$B$19,0)),"?"))</f>
        <v/>
      </c>
      <c r="J763" s="28" t="str">
        <f aca="false">IF(G763="","",IFERROR(INDEX(Settings!$C$8:$C$19,MATCH(G763,Settings!$B$8:$B$19,0)),"?"))</f>
        <v/>
      </c>
      <c r="K763" s="35" t="str">
        <f aca="false">IF(A763="","",DATE(YEAR(A763),MONTH(A763),1))</f>
        <v/>
      </c>
      <c r="L763" s="28" t="str">
        <f aca="false">IF(E763="","",IFERROR(INDEX(Settings!$K$8:$K$38,MATCH(E763,Settings!$H$8:$H$38,0))&amp;"",""))</f>
        <v/>
      </c>
    </row>
    <row r="764" customFormat="false" ht="15" hidden="false" customHeight="false" outlineLevel="0" collapsed="false">
      <c r="A764" s="33"/>
      <c r="B764" s="27"/>
      <c r="C764" s="27"/>
      <c r="D764" s="27"/>
      <c r="E764" s="27"/>
      <c r="F764" s="34"/>
      <c r="G764" s="27"/>
      <c r="H764" s="27"/>
      <c r="I764" s="28" t="str">
        <f aca="false">IF(C764="","",IFERROR(INDEX(Settings!$C$8:$C$19,MATCH(C764,Settings!$B$8:$B$19,0)),"?"))</f>
        <v/>
      </c>
      <c r="J764" s="28" t="str">
        <f aca="false">IF(G764="","",IFERROR(INDEX(Settings!$C$8:$C$19,MATCH(G764,Settings!$B$8:$B$19,0)),"?"))</f>
        <v/>
      </c>
      <c r="K764" s="35" t="str">
        <f aca="false">IF(A764="","",DATE(YEAR(A764),MONTH(A764),1))</f>
        <v/>
      </c>
      <c r="L764" s="28" t="str">
        <f aca="false">IF(E764="","",IFERROR(INDEX(Settings!$K$8:$K$38,MATCH(E764,Settings!$H$8:$H$38,0))&amp;"",""))</f>
        <v/>
      </c>
    </row>
    <row r="765" customFormat="false" ht="15" hidden="false" customHeight="false" outlineLevel="0" collapsed="false">
      <c r="A765" s="33"/>
      <c r="B765" s="27"/>
      <c r="C765" s="27"/>
      <c r="D765" s="27"/>
      <c r="E765" s="27"/>
      <c r="F765" s="34"/>
      <c r="G765" s="27"/>
      <c r="H765" s="27"/>
      <c r="I765" s="28" t="str">
        <f aca="false">IF(C765="","",IFERROR(INDEX(Settings!$C$8:$C$19,MATCH(C765,Settings!$B$8:$B$19,0)),"?"))</f>
        <v/>
      </c>
      <c r="J765" s="28" t="str">
        <f aca="false">IF(G765="","",IFERROR(INDEX(Settings!$C$8:$C$19,MATCH(G765,Settings!$B$8:$B$19,0)),"?"))</f>
        <v/>
      </c>
      <c r="K765" s="35" t="str">
        <f aca="false">IF(A765="","",DATE(YEAR(A765),MONTH(A765),1))</f>
        <v/>
      </c>
      <c r="L765" s="28" t="str">
        <f aca="false">IF(E765="","",IFERROR(INDEX(Settings!$K$8:$K$38,MATCH(E765,Settings!$H$8:$H$38,0))&amp;"",""))</f>
        <v/>
      </c>
    </row>
    <row r="766" customFormat="false" ht="15" hidden="false" customHeight="false" outlineLevel="0" collapsed="false">
      <c r="A766" s="33"/>
      <c r="B766" s="27"/>
      <c r="C766" s="27"/>
      <c r="D766" s="27"/>
      <c r="E766" s="27"/>
      <c r="F766" s="34"/>
      <c r="G766" s="27"/>
      <c r="H766" s="27"/>
      <c r="I766" s="28" t="str">
        <f aca="false">IF(C766="","",IFERROR(INDEX(Settings!$C$8:$C$19,MATCH(C766,Settings!$B$8:$B$19,0)),"?"))</f>
        <v/>
      </c>
      <c r="J766" s="28" t="str">
        <f aca="false">IF(G766="","",IFERROR(INDEX(Settings!$C$8:$C$19,MATCH(G766,Settings!$B$8:$B$19,0)),"?"))</f>
        <v/>
      </c>
      <c r="K766" s="35" t="str">
        <f aca="false">IF(A766="","",DATE(YEAR(A766),MONTH(A766),1))</f>
        <v/>
      </c>
      <c r="L766" s="28" t="str">
        <f aca="false">IF(E766="","",IFERROR(INDEX(Settings!$K$8:$K$38,MATCH(E766,Settings!$H$8:$H$38,0))&amp;"",""))</f>
        <v/>
      </c>
    </row>
    <row r="767" customFormat="false" ht="15" hidden="false" customHeight="false" outlineLevel="0" collapsed="false">
      <c r="A767" s="33"/>
      <c r="B767" s="27"/>
      <c r="C767" s="27"/>
      <c r="D767" s="27"/>
      <c r="E767" s="27"/>
      <c r="F767" s="34"/>
      <c r="G767" s="27"/>
      <c r="H767" s="27"/>
      <c r="I767" s="28" t="str">
        <f aca="false">IF(C767="","",IFERROR(INDEX(Settings!$C$8:$C$19,MATCH(C767,Settings!$B$8:$B$19,0)),"?"))</f>
        <v/>
      </c>
      <c r="J767" s="28" t="str">
        <f aca="false">IF(G767="","",IFERROR(INDEX(Settings!$C$8:$C$19,MATCH(G767,Settings!$B$8:$B$19,0)),"?"))</f>
        <v/>
      </c>
      <c r="K767" s="35" t="str">
        <f aca="false">IF(A767="","",DATE(YEAR(A767),MONTH(A767),1))</f>
        <v/>
      </c>
      <c r="L767" s="28" t="str">
        <f aca="false">IF(E767="","",IFERROR(INDEX(Settings!$K$8:$K$38,MATCH(E767,Settings!$H$8:$H$38,0))&amp;"",""))</f>
        <v/>
      </c>
    </row>
    <row r="768" customFormat="false" ht="15" hidden="false" customHeight="false" outlineLevel="0" collapsed="false">
      <c r="A768" s="33"/>
      <c r="B768" s="27"/>
      <c r="C768" s="27"/>
      <c r="D768" s="27"/>
      <c r="E768" s="27"/>
      <c r="F768" s="34"/>
      <c r="G768" s="27"/>
      <c r="H768" s="27"/>
      <c r="I768" s="28" t="str">
        <f aca="false">IF(C768="","",IFERROR(INDEX(Settings!$C$8:$C$19,MATCH(C768,Settings!$B$8:$B$19,0)),"?"))</f>
        <v/>
      </c>
      <c r="J768" s="28" t="str">
        <f aca="false">IF(G768="","",IFERROR(INDEX(Settings!$C$8:$C$19,MATCH(G768,Settings!$B$8:$B$19,0)),"?"))</f>
        <v/>
      </c>
      <c r="K768" s="35" t="str">
        <f aca="false">IF(A768="","",DATE(YEAR(A768),MONTH(A768),1))</f>
        <v/>
      </c>
      <c r="L768" s="28" t="str">
        <f aca="false">IF(E768="","",IFERROR(INDEX(Settings!$K$8:$K$38,MATCH(E768,Settings!$H$8:$H$38,0))&amp;"",""))</f>
        <v/>
      </c>
    </row>
    <row r="769" customFormat="false" ht="15" hidden="false" customHeight="false" outlineLevel="0" collapsed="false">
      <c r="A769" s="33"/>
      <c r="B769" s="27"/>
      <c r="C769" s="27"/>
      <c r="D769" s="27"/>
      <c r="E769" s="27"/>
      <c r="F769" s="34"/>
      <c r="G769" s="27"/>
      <c r="H769" s="27"/>
      <c r="I769" s="28" t="str">
        <f aca="false">IF(C769="","",IFERROR(INDEX(Settings!$C$8:$C$19,MATCH(C769,Settings!$B$8:$B$19,0)),"?"))</f>
        <v/>
      </c>
      <c r="J769" s="28" t="str">
        <f aca="false">IF(G769="","",IFERROR(INDEX(Settings!$C$8:$C$19,MATCH(G769,Settings!$B$8:$B$19,0)),"?"))</f>
        <v/>
      </c>
      <c r="K769" s="35" t="str">
        <f aca="false">IF(A769="","",DATE(YEAR(A769),MONTH(A769),1))</f>
        <v/>
      </c>
      <c r="L769" s="28" t="str">
        <f aca="false">IF(E769="","",IFERROR(INDEX(Settings!$K$8:$K$38,MATCH(E769,Settings!$H$8:$H$38,0))&amp;"",""))</f>
        <v/>
      </c>
    </row>
    <row r="770" customFormat="false" ht="15" hidden="false" customHeight="false" outlineLevel="0" collapsed="false">
      <c r="A770" s="33"/>
      <c r="B770" s="27"/>
      <c r="C770" s="27"/>
      <c r="D770" s="27"/>
      <c r="E770" s="27"/>
      <c r="F770" s="34"/>
      <c r="G770" s="27"/>
      <c r="H770" s="27"/>
      <c r="I770" s="28" t="str">
        <f aca="false">IF(C770="","",IFERROR(INDEX(Settings!$C$8:$C$19,MATCH(C770,Settings!$B$8:$B$19,0)),"?"))</f>
        <v/>
      </c>
      <c r="J770" s="28" t="str">
        <f aca="false">IF(G770="","",IFERROR(INDEX(Settings!$C$8:$C$19,MATCH(G770,Settings!$B$8:$B$19,0)),"?"))</f>
        <v/>
      </c>
      <c r="K770" s="35" t="str">
        <f aca="false">IF(A770="","",DATE(YEAR(A770),MONTH(A770),1))</f>
        <v/>
      </c>
      <c r="L770" s="28" t="str">
        <f aca="false">IF(E770="","",IFERROR(INDEX(Settings!$K$8:$K$38,MATCH(E770,Settings!$H$8:$H$38,0))&amp;"",""))</f>
        <v/>
      </c>
    </row>
    <row r="771" customFormat="false" ht="15" hidden="false" customHeight="false" outlineLevel="0" collapsed="false">
      <c r="A771" s="33"/>
      <c r="B771" s="27"/>
      <c r="C771" s="27"/>
      <c r="D771" s="27"/>
      <c r="E771" s="27"/>
      <c r="F771" s="34"/>
      <c r="G771" s="27"/>
      <c r="H771" s="27"/>
      <c r="I771" s="28" t="str">
        <f aca="false">IF(C771="","",IFERROR(INDEX(Settings!$C$8:$C$19,MATCH(C771,Settings!$B$8:$B$19,0)),"?"))</f>
        <v/>
      </c>
      <c r="J771" s="28" t="str">
        <f aca="false">IF(G771="","",IFERROR(INDEX(Settings!$C$8:$C$19,MATCH(G771,Settings!$B$8:$B$19,0)),"?"))</f>
        <v/>
      </c>
      <c r="K771" s="35" t="str">
        <f aca="false">IF(A771="","",DATE(YEAR(A771),MONTH(A771),1))</f>
        <v/>
      </c>
      <c r="L771" s="28" t="str">
        <f aca="false">IF(E771="","",IFERROR(INDEX(Settings!$K$8:$K$38,MATCH(E771,Settings!$H$8:$H$38,0))&amp;"",""))</f>
        <v/>
      </c>
    </row>
    <row r="772" customFormat="false" ht="15" hidden="false" customHeight="false" outlineLevel="0" collapsed="false">
      <c r="A772" s="33"/>
      <c r="B772" s="27"/>
      <c r="C772" s="27"/>
      <c r="D772" s="27"/>
      <c r="E772" s="27"/>
      <c r="F772" s="34"/>
      <c r="G772" s="27"/>
      <c r="H772" s="27"/>
      <c r="I772" s="28" t="str">
        <f aca="false">IF(C772="","",IFERROR(INDEX(Settings!$C$8:$C$19,MATCH(C772,Settings!$B$8:$B$19,0)),"?"))</f>
        <v/>
      </c>
      <c r="J772" s="28" t="str">
        <f aca="false">IF(G772="","",IFERROR(INDEX(Settings!$C$8:$C$19,MATCH(G772,Settings!$B$8:$B$19,0)),"?"))</f>
        <v/>
      </c>
      <c r="K772" s="35" t="str">
        <f aca="false">IF(A772="","",DATE(YEAR(A772),MONTH(A772),1))</f>
        <v/>
      </c>
      <c r="L772" s="28" t="str">
        <f aca="false">IF(E772="","",IFERROR(INDEX(Settings!$K$8:$K$38,MATCH(E772,Settings!$H$8:$H$38,0))&amp;"",""))</f>
        <v/>
      </c>
    </row>
    <row r="773" customFormat="false" ht="15" hidden="false" customHeight="false" outlineLevel="0" collapsed="false">
      <c r="A773" s="33"/>
      <c r="B773" s="27"/>
      <c r="C773" s="27"/>
      <c r="D773" s="27"/>
      <c r="E773" s="27"/>
      <c r="F773" s="34"/>
      <c r="G773" s="27"/>
      <c r="H773" s="27"/>
      <c r="I773" s="28" t="str">
        <f aca="false">IF(C773="","",IFERROR(INDEX(Settings!$C$8:$C$19,MATCH(C773,Settings!$B$8:$B$19,0)),"?"))</f>
        <v/>
      </c>
      <c r="J773" s="28" t="str">
        <f aca="false">IF(G773="","",IFERROR(INDEX(Settings!$C$8:$C$19,MATCH(G773,Settings!$B$8:$B$19,0)),"?"))</f>
        <v/>
      </c>
      <c r="K773" s="35" t="str">
        <f aca="false">IF(A773="","",DATE(YEAR(A773),MONTH(A773),1))</f>
        <v/>
      </c>
      <c r="L773" s="28" t="str">
        <f aca="false">IF(E773="","",IFERROR(INDEX(Settings!$K$8:$K$38,MATCH(E773,Settings!$H$8:$H$38,0))&amp;"",""))</f>
        <v/>
      </c>
    </row>
    <row r="774" customFormat="false" ht="15" hidden="false" customHeight="false" outlineLevel="0" collapsed="false">
      <c r="A774" s="33"/>
      <c r="B774" s="27"/>
      <c r="C774" s="27"/>
      <c r="D774" s="27"/>
      <c r="E774" s="27"/>
      <c r="F774" s="34"/>
      <c r="G774" s="27"/>
      <c r="H774" s="27"/>
      <c r="I774" s="28" t="str">
        <f aca="false">IF(C774="","",IFERROR(INDEX(Settings!$C$8:$C$19,MATCH(C774,Settings!$B$8:$B$19,0)),"?"))</f>
        <v/>
      </c>
      <c r="J774" s="28" t="str">
        <f aca="false">IF(G774="","",IFERROR(INDEX(Settings!$C$8:$C$19,MATCH(G774,Settings!$B$8:$B$19,0)),"?"))</f>
        <v/>
      </c>
      <c r="K774" s="35" t="str">
        <f aca="false">IF(A774="","",DATE(YEAR(A774),MONTH(A774),1))</f>
        <v/>
      </c>
      <c r="L774" s="28" t="str">
        <f aca="false">IF(E774="","",IFERROR(INDEX(Settings!$K$8:$K$38,MATCH(E774,Settings!$H$8:$H$38,0))&amp;"",""))</f>
        <v/>
      </c>
    </row>
    <row r="775" customFormat="false" ht="15" hidden="false" customHeight="false" outlineLevel="0" collapsed="false">
      <c r="A775" s="33"/>
      <c r="B775" s="27"/>
      <c r="C775" s="27"/>
      <c r="D775" s="27"/>
      <c r="E775" s="27"/>
      <c r="F775" s="34"/>
      <c r="G775" s="27"/>
      <c r="H775" s="27"/>
      <c r="I775" s="28" t="str">
        <f aca="false">IF(C775="","",IFERROR(INDEX(Settings!$C$8:$C$19,MATCH(C775,Settings!$B$8:$B$19,0)),"?"))</f>
        <v/>
      </c>
      <c r="J775" s="28" t="str">
        <f aca="false">IF(G775="","",IFERROR(INDEX(Settings!$C$8:$C$19,MATCH(G775,Settings!$B$8:$B$19,0)),"?"))</f>
        <v/>
      </c>
      <c r="K775" s="35" t="str">
        <f aca="false">IF(A775="","",DATE(YEAR(A775),MONTH(A775),1))</f>
        <v/>
      </c>
      <c r="L775" s="28" t="str">
        <f aca="false">IF(E775="","",IFERROR(INDEX(Settings!$K$8:$K$38,MATCH(E775,Settings!$H$8:$H$38,0))&amp;"",""))</f>
        <v/>
      </c>
    </row>
    <row r="776" customFormat="false" ht="15" hidden="false" customHeight="false" outlineLevel="0" collapsed="false">
      <c r="A776" s="33"/>
      <c r="B776" s="27"/>
      <c r="C776" s="27"/>
      <c r="D776" s="27"/>
      <c r="E776" s="27"/>
      <c r="F776" s="34"/>
      <c r="G776" s="27"/>
      <c r="H776" s="27"/>
      <c r="I776" s="28" t="str">
        <f aca="false">IF(C776="","",IFERROR(INDEX(Settings!$C$8:$C$19,MATCH(C776,Settings!$B$8:$B$19,0)),"?"))</f>
        <v/>
      </c>
      <c r="J776" s="28" t="str">
        <f aca="false">IF(G776="","",IFERROR(INDEX(Settings!$C$8:$C$19,MATCH(G776,Settings!$B$8:$B$19,0)),"?"))</f>
        <v/>
      </c>
      <c r="K776" s="35" t="str">
        <f aca="false">IF(A776="","",DATE(YEAR(A776),MONTH(A776),1))</f>
        <v/>
      </c>
      <c r="L776" s="28" t="str">
        <f aca="false">IF(E776="","",IFERROR(INDEX(Settings!$K$8:$K$38,MATCH(E776,Settings!$H$8:$H$38,0))&amp;"",""))</f>
        <v/>
      </c>
    </row>
    <row r="777" customFormat="false" ht="15" hidden="false" customHeight="false" outlineLevel="0" collapsed="false">
      <c r="A777" s="33"/>
      <c r="B777" s="27"/>
      <c r="C777" s="27"/>
      <c r="D777" s="27"/>
      <c r="E777" s="27"/>
      <c r="F777" s="34"/>
      <c r="G777" s="27"/>
      <c r="H777" s="27"/>
      <c r="I777" s="28" t="str">
        <f aca="false">IF(C777="","",IFERROR(INDEX(Settings!$C$8:$C$19,MATCH(C777,Settings!$B$8:$B$19,0)),"?"))</f>
        <v/>
      </c>
      <c r="J777" s="28" t="str">
        <f aca="false">IF(G777="","",IFERROR(INDEX(Settings!$C$8:$C$19,MATCH(G777,Settings!$B$8:$B$19,0)),"?"))</f>
        <v/>
      </c>
      <c r="K777" s="35" t="str">
        <f aca="false">IF(A777="","",DATE(YEAR(A777),MONTH(A777),1))</f>
        <v/>
      </c>
      <c r="L777" s="28" t="str">
        <f aca="false">IF(E777="","",IFERROR(INDEX(Settings!$K$8:$K$38,MATCH(E777,Settings!$H$8:$H$38,0))&amp;"",""))</f>
        <v/>
      </c>
    </row>
    <row r="778" customFormat="false" ht="15" hidden="false" customHeight="false" outlineLevel="0" collapsed="false">
      <c r="A778" s="33"/>
      <c r="B778" s="27"/>
      <c r="C778" s="27"/>
      <c r="D778" s="27"/>
      <c r="E778" s="27"/>
      <c r="F778" s="34"/>
      <c r="G778" s="27"/>
      <c r="H778" s="27"/>
      <c r="I778" s="28" t="str">
        <f aca="false">IF(C778="","",IFERROR(INDEX(Settings!$C$8:$C$19,MATCH(C778,Settings!$B$8:$B$19,0)),"?"))</f>
        <v/>
      </c>
      <c r="J778" s="28" t="str">
        <f aca="false">IF(G778="","",IFERROR(INDEX(Settings!$C$8:$C$19,MATCH(G778,Settings!$B$8:$B$19,0)),"?"))</f>
        <v/>
      </c>
      <c r="K778" s="35" t="str">
        <f aca="false">IF(A778="","",DATE(YEAR(A778),MONTH(A778),1))</f>
        <v/>
      </c>
      <c r="L778" s="28" t="str">
        <f aca="false">IF(E778="","",IFERROR(INDEX(Settings!$K$8:$K$38,MATCH(E778,Settings!$H$8:$H$38,0))&amp;"",""))</f>
        <v/>
      </c>
    </row>
    <row r="779" customFormat="false" ht="15" hidden="false" customHeight="false" outlineLevel="0" collapsed="false">
      <c r="A779" s="33"/>
      <c r="B779" s="27"/>
      <c r="C779" s="27"/>
      <c r="D779" s="27"/>
      <c r="E779" s="27"/>
      <c r="F779" s="34"/>
      <c r="G779" s="27"/>
      <c r="H779" s="27"/>
      <c r="I779" s="28" t="str">
        <f aca="false">IF(C779="","",IFERROR(INDEX(Settings!$C$8:$C$19,MATCH(C779,Settings!$B$8:$B$19,0)),"?"))</f>
        <v/>
      </c>
      <c r="J779" s="28" t="str">
        <f aca="false">IF(G779="","",IFERROR(INDEX(Settings!$C$8:$C$19,MATCH(G779,Settings!$B$8:$B$19,0)),"?"))</f>
        <v/>
      </c>
      <c r="K779" s="35" t="str">
        <f aca="false">IF(A779="","",DATE(YEAR(A779),MONTH(A779),1))</f>
        <v/>
      </c>
      <c r="L779" s="28" t="str">
        <f aca="false">IF(E779="","",IFERROR(INDEX(Settings!$K$8:$K$38,MATCH(E779,Settings!$H$8:$H$38,0))&amp;"",""))</f>
        <v/>
      </c>
    </row>
    <row r="780" customFormat="false" ht="15" hidden="false" customHeight="false" outlineLevel="0" collapsed="false">
      <c r="A780" s="33"/>
      <c r="B780" s="27"/>
      <c r="C780" s="27"/>
      <c r="D780" s="27"/>
      <c r="E780" s="27"/>
      <c r="F780" s="34"/>
      <c r="G780" s="27"/>
      <c r="H780" s="27"/>
      <c r="I780" s="28" t="str">
        <f aca="false">IF(C780="","",IFERROR(INDEX(Settings!$C$8:$C$19,MATCH(C780,Settings!$B$8:$B$19,0)),"?"))</f>
        <v/>
      </c>
      <c r="J780" s="28" t="str">
        <f aca="false">IF(G780="","",IFERROR(INDEX(Settings!$C$8:$C$19,MATCH(G780,Settings!$B$8:$B$19,0)),"?"))</f>
        <v/>
      </c>
      <c r="K780" s="35" t="str">
        <f aca="false">IF(A780="","",DATE(YEAR(A780),MONTH(A780),1))</f>
        <v/>
      </c>
      <c r="L780" s="28" t="str">
        <f aca="false">IF(E780="","",IFERROR(INDEX(Settings!$K$8:$K$38,MATCH(E780,Settings!$H$8:$H$38,0))&amp;"",""))</f>
        <v/>
      </c>
    </row>
    <row r="781" customFormat="false" ht="15" hidden="false" customHeight="false" outlineLevel="0" collapsed="false">
      <c r="A781" s="33"/>
      <c r="B781" s="27"/>
      <c r="C781" s="27"/>
      <c r="D781" s="27"/>
      <c r="E781" s="27"/>
      <c r="F781" s="34"/>
      <c r="G781" s="27"/>
      <c r="H781" s="27"/>
      <c r="I781" s="28" t="str">
        <f aca="false">IF(C781="","",IFERROR(INDEX(Settings!$C$8:$C$19,MATCH(C781,Settings!$B$8:$B$19,0)),"?"))</f>
        <v/>
      </c>
      <c r="J781" s="28" t="str">
        <f aca="false">IF(G781="","",IFERROR(INDEX(Settings!$C$8:$C$19,MATCH(G781,Settings!$B$8:$B$19,0)),"?"))</f>
        <v/>
      </c>
      <c r="K781" s="35" t="str">
        <f aca="false">IF(A781="","",DATE(YEAR(A781),MONTH(A781),1))</f>
        <v/>
      </c>
      <c r="L781" s="28" t="str">
        <f aca="false">IF(E781="","",IFERROR(INDEX(Settings!$K$8:$K$38,MATCH(E781,Settings!$H$8:$H$38,0))&amp;"",""))</f>
        <v/>
      </c>
    </row>
    <row r="782" customFormat="false" ht="15" hidden="false" customHeight="false" outlineLevel="0" collapsed="false">
      <c r="A782" s="33"/>
      <c r="B782" s="27"/>
      <c r="C782" s="27"/>
      <c r="D782" s="27"/>
      <c r="E782" s="27"/>
      <c r="F782" s="34"/>
      <c r="G782" s="27"/>
      <c r="H782" s="27"/>
      <c r="I782" s="28" t="str">
        <f aca="false">IF(C782="","",IFERROR(INDEX(Settings!$C$8:$C$19,MATCH(C782,Settings!$B$8:$B$19,0)),"?"))</f>
        <v/>
      </c>
      <c r="J782" s="28" t="str">
        <f aca="false">IF(G782="","",IFERROR(INDEX(Settings!$C$8:$C$19,MATCH(G782,Settings!$B$8:$B$19,0)),"?"))</f>
        <v/>
      </c>
      <c r="K782" s="35" t="str">
        <f aca="false">IF(A782="","",DATE(YEAR(A782),MONTH(A782),1))</f>
        <v/>
      </c>
      <c r="L782" s="28" t="str">
        <f aca="false">IF(E782="","",IFERROR(INDEX(Settings!$K$8:$K$38,MATCH(E782,Settings!$H$8:$H$38,0))&amp;"",""))</f>
        <v/>
      </c>
    </row>
    <row r="783" customFormat="false" ht="15" hidden="false" customHeight="false" outlineLevel="0" collapsed="false">
      <c r="A783" s="33"/>
      <c r="B783" s="27"/>
      <c r="C783" s="27"/>
      <c r="D783" s="27"/>
      <c r="E783" s="27"/>
      <c r="F783" s="34"/>
      <c r="G783" s="27"/>
      <c r="H783" s="27"/>
      <c r="I783" s="28" t="str">
        <f aca="false">IF(C783="","",IFERROR(INDEX(Settings!$C$8:$C$19,MATCH(C783,Settings!$B$8:$B$19,0)),"?"))</f>
        <v/>
      </c>
      <c r="J783" s="28" t="str">
        <f aca="false">IF(G783="","",IFERROR(INDEX(Settings!$C$8:$C$19,MATCH(G783,Settings!$B$8:$B$19,0)),"?"))</f>
        <v/>
      </c>
      <c r="K783" s="35" t="str">
        <f aca="false">IF(A783="","",DATE(YEAR(A783),MONTH(A783),1))</f>
        <v/>
      </c>
      <c r="L783" s="28" t="str">
        <f aca="false">IF(E783="","",IFERROR(INDEX(Settings!$K$8:$K$38,MATCH(E783,Settings!$H$8:$H$38,0))&amp;"",""))</f>
        <v/>
      </c>
    </row>
    <row r="784" customFormat="false" ht="15" hidden="false" customHeight="false" outlineLevel="0" collapsed="false">
      <c r="A784" s="33"/>
      <c r="B784" s="27"/>
      <c r="C784" s="27"/>
      <c r="D784" s="27"/>
      <c r="E784" s="27"/>
      <c r="F784" s="34"/>
      <c r="G784" s="27"/>
      <c r="H784" s="27"/>
      <c r="I784" s="28" t="str">
        <f aca="false">IF(C784="","",IFERROR(INDEX(Settings!$C$8:$C$19,MATCH(C784,Settings!$B$8:$B$19,0)),"?"))</f>
        <v/>
      </c>
      <c r="J784" s="28" t="str">
        <f aca="false">IF(G784="","",IFERROR(INDEX(Settings!$C$8:$C$19,MATCH(G784,Settings!$B$8:$B$19,0)),"?"))</f>
        <v/>
      </c>
      <c r="K784" s="35" t="str">
        <f aca="false">IF(A784="","",DATE(YEAR(A784),MONTH(A784),1))</f>
        <v/>
      </c>
      <c r="L784" s="28" t="str">
        <f aca="false">IF(E784="","",IFERROR(INDEX(Settings!$K$8:$K$38,MATCH(E784,Settings!$H$8:$H$38,0))&amp;"",""))</f>
        <v/>
      </c>
    </row>
    <row r="785" customFormat="false" ht="15" hidden="false" customHeight="false" outlineLevel="0" collapsed="false">
      <c r="A785" s="33"/>
      <c r="B785" s="27"/>
      <c r="C785" s="27"/>
      <c r="D785" s="27"/>
      <c r="E785" s="27"/>
      <c r="F785" s="34"/>
      <c r="G785" s="27"/>
      <c r="H785" s="27"/>
      <c r="I785" s="28" t="str">
        <f aca="false">IF(C785="","",IFERROR(INDEX(Settings!$C$8:$C$19,MATCH(C785,Settings!$B$8:$B$19,0)),"?"))</f>
        <v/>
      </c>
      <c r="J785" s="28" t="str">
        <f aca="false">IF(G785="","",IFERROR(INDEX(Settings!$C$8:$C$19,MATCH(G785,Settings!$B$8:$B$19,0)),"?"))</f>
        <v/>
      </c>
      <c r="K785" s="35" t="str">
        <f aca="false">IF(A785="","",DATE(YEAR(A785),MONTH(A785),1))</f>
        <v/>
      </c>
      <c r="L785" s="28" t="str">
        <f aca="false">IF(E785="","",IFERROR(INDEX(Settings!$K$8:$K$38,MATCH(E785,Settings!$H$8:$H$38,0))&amp;"",""))</f>
        <v/>
      </c>
    </row>
    <row r="786" customFormat="false" ht="15" hidden="false" customHeight="false" outlineLevel="0" collapsed="false">
      <c r="A786" s="33"/>
      <c r="B786" s="27"/>
      <c r="C786" s="27"/>
      <c r="D786" s="27"/>
      <c r="E786" s="27"/>
      <c r="F786" s="34"/>
      <c r="G786" s="27"/>
      <c r="H786" s="27"/>
      <c r="I786" s="28" t="str">
        <f aca="false">IF(C786="","",IFERROR(INDEX(Settings!$C$8:$C$19,MATCH(C786,Settings!$B$8:$B$19,0)),"?"))</f>
        <v/>
      </c>
      <c r="J786" s="28" t="str">
        <f aca="false">IF(G786="","",IFERROR(INDEX(Settings!$C$8:$C$19,MATCH(G786,Settings!$B$8:$B$19,0)),"?"))</f>
        <v/>
      </c>
      <c r="K786" s="35" t="str">
        <f aca="false">IF(A786="","",DATE(YEAR(A786),MONTH(A786),1))</f>
        <v/>
      </c>
      <c r="L786" s="28" t="str">
        <f aca="false">IF(E786="","",IFERROR(INDEX(Settings!$K$8:$K$38,MATCH(E786,Settings!$H$8:$H$38,0))&amp;"",""))</f>
        <v/>
      </c>
    </row>
    <row r="787" customFormat="false" ht="15" hidden="false" customHeight="false" outlineLevel="0" collapsed="false">
      <c r="A787" s="33"/>
      <c r="B787" s="27"/>
      <c r="C787" s="27"/>
      <c r="D787" s="27"/>
      <c r="E787" s="27"/>
      <c r="F787" s="34"/>
      <c r="G787" s="27"/>
      <c r="H787" s="27"/>
      <c r="I787" s="28" t="str">
        <f aca="false">IF(C787="","",IFERROR(INDEX(Settings!$C$8:$C$19,MATCH(C787,Settings!$B$8:$B$19,0)),"?"))</f>
        <v/>
      </c>
      <c r="J787" s="28" t="str">
        <f aca="false">IF(G787="","",IFERROR(INDEX(Settings!$C$8:$C$19,MATCH(G787,Settings!$B$8:$B$19,0)),"?"))</f>
        <v/>
      </c>
      <c r="K787" s="35" t="str">
        <f aca="false">IF(A787="","",DATE(YEAR(A787),MONTH(A787),1))</f>
        <v/>
      </c>
      <c r="L787" s="28" t="str">
        <f aca="false">IF(E787="","",IFERROR(INDEX(Settings!$K$8:$K$38,MATCH(E787,Settings!$H$8:$H$38,0))&amp;"",""))</f>
        <v/>
      </c>
    </row>
    <row r="788" customFormat="false" ht="15" hidden="false" customHeight="false" outlineLevel="0" collapsed="false">
      <c r="A788" s="33"/>
      <c r="B788" s="27"/>
      <c r="C788" s="27"/>
      <c r="D788" s="27"/>
      <c r="E788" s="27"/>
      <c r="F788" s="34"/>
      <c r="G788" s="27"/>
      <c r="H788" s="27"/>
      <c r="I788" s="28" t="str">
        <f aca="false">IF(C788="","",IFERROR(INDEX(Settings!$C$8:$C$19,MATCH(C788,Settings!$B$8:$B$19,0)),"?"))</f>
        <v/>
      </c>
      <c r="J788" s="28" t="str">
        <f aca="false">IF(G788="","",IFERROR(INDEX(Settings!$C$8:$C$19,MATCH(G788,Settings!$B$8:$B$19,0)),"?"))</f>
        <v/>
      </c>
      <c r="K788" s="35" t="str">
        <f aca="false">IF(A788="","",DATE(YEAR(A788),MONTH(A788),1))</f>
        <v/>
      </c>
      <c r="L788" s="28" t="str">
        <f aca="false">IF(E788="","",IFERROR(INDEX(Settings!$K$8:$K$38,MATCH(E788,Settings!$H$8:$H$38,0))&amp;"",""))</f>
        <v/>
      </c>
    </row>
    <row r="789" customFormat="false" ht="15" hidden="false" customHeight="false" outlineLevel="0" collapsed="false">
      <c r="A789" s="33"/>
      <c r="B789" s="27"/>
      <c r="C789" s="27"/>
      <c r="D789" s="27"/>
      <c r="E789" s="27"/>
      <c r="F789" s="34"/>
      <c r="G789" s="27"/>
      <c r="H789" s="27"/>
      <c r="I789" s="28" t="str">
        <f aca="false">IF(C789="","",IFERROR(INDEX(Settings!$C$8:$C$19,MATCH(C789,Settings!$B$8:$B$19,0)),"?"))</f>
        <v/>
      </c>
      <c r="J789" s="28" t="str">
        <f aca="false">IF(G789="","",IFERROR(INDEX(Settings!$C$8:$C$19,MATCH(G789,Settings!$B$8:$B$19,0)),"?"))</f>
        <v/>
      </c>
      <c r="K789" s="35" t="str">
        <f aca="false">IF(A789="","",DATE(YEAR(A789),MONTH(A789),1))</f>
        <v/>
      </c>
      <c r="L789" s="28" t="str">
        <f aca="false">IF(E789="","",IFERROR(INDEX(Settings!$K$8:$K$38,MATCH(E789,Settings!$H$8:$H$38,0))&amp;"",""))</f>
        <v/>
      </c>
    </row>
    <row r="790" customFormat="false" ht="15" hidden="false" customHeight="false" outlineLevel="0" collapsed="false">
      <c r="A790" s="33"/>
      <c r="B790" s="27"/>
      <c r="C790" s="27"/>
      <c r="D790" s="27"/>
      <c r="E790" s="27"/>
      <c r="F790" s="34"/>
      <c r="G790" s="27"/>
      <c r="H790" s="27"/>
      <c r="I790" s="28" t="str">
        <f aca="false">IF(C790="","",IFERROR(INDEX(Settings!$C$8:$C$19,MATCH(C790,Settings!$B$8:$B$19,0)),"?"))</f>
        <v/>
      </c>
      <c r="J790" s="28" t="str">
        <f aca="false">IF(G790="","",IFERROR(INDEX(Settings!$C$8:$C$19,MATCH(G790,Settings!$B$8:$B$19,0)),"?"))</f>
        <v/>
      </c>
      <c r="K790" s="35" t="str">
        <f aca="false">IF(A790="","",DATE(YEAR(A790),MONTH(A790),1))</f>
        <v/>
      </c>
      <c r="L790" s="28" t="str">
        <f aca="false">IF(E790="","",IFERROR(INDEX(Settings!$K$8:$K$38,MATCH(E790,Settings!$H$8:$H$38,0))&amp;"",""))</f>
        <v/>
      </c>
    </row>
    <row r="791" customFormat="false" ht="15" hidden="false" customHeight="false" outlineLevel="0" collapsed="false">
      <c r="A791" s="33"/>
      <c r="B791" s="27"/>
      <c r="C791" s="27"/>
      <c r="D791" s="27"/>
      <c r="E791" s="27"/>
      <c r="F791" s="34"/>
      <c r="G791" s="27"/>
      <c r="H791" s="27"/>
      <c r="I791" s="28" t="str">
        <f aca="false">IF(C791="","",IFERROR(INDEX(Settings!$C$8:$C$19,MATCH(C791,Settings!$B$8:$B$19,0)),"?"))</f>
        <v/>
      </c>
      <c r="J791" s="28" t="str">
        <f aca="false">IF(G791="","",IFERROR(INDEX(Settings!$C$8:$C$19,MATCH(G791,Settings!$B$8:$B$19,0)),"?"))</f>
        <v/>
      </c>
      <c r="K791" s="35" t="str">
        <f aca="false">IF(A791="","",DATE(YEAR(A791),MONTH(A791),1))</f>
        <v/>
      </c>
      <c r="L791" s="28" t="str">
        <f aca="false">IF(E791="","",IFERROR(INDEX(Settings!$K$8:$K$38,MATCH(E791,Settings!$H$8:$H$38,0))&amp;"",""))</f>
        <v/>
      </c>
    </row>
    <row r="792" customFormat="false" ht="15" hidden="false" customHeight="false" outlineLevel="0" collapsed="false">
      <c r="A792" s="33"/>
      <c r="B792" s="27"/>
      <c r="C792" s="27"/>
      <c r="D792" s="27"/>
      <c r="E792" s="27"/>
      <c r="F792" s="34"/>
      <c r="G792" s="27"/>
      <c r="H792" s="27"/>
      <c r="I792" s="28" t="str">
        <f aca="false">IF(C792="","",IFERROR(INDEX(Settings!$C$8:$C$19,MATCH(C792,Settings!$B$8:$B$19,0)),"?"))</f>
        <v/>
      </c>
      <c r="J792" s="28" t="str">
        <f aca="false">IF(G792="","",IFERROR(INDEX(Settings!$C$8:$C$19,MATCH(G792,Settings!$B$8:$B$19,0)),"?"))</f>
        <v/>
      </c>
      <c r="K792" s="35" t="str">
        <f aca="false">IF(A792="","",DATE(YEAR(A792),MONTH(A792),1))</f>
        <v/>
      </c>
      <c r="L792" s="28" t="str">
        <f aca="false">IF(E792="","",IFERROR(INDEX(Settings!$K$8:$K$38,MATCH(E792,Settings!$H$8:$H$38,0))&amp;"",""))</f>
        <v/>
      </c>
    </row>
    <row r="793" customFormat="false" ht="15" hidden="false" customHeight="false" outlineLevel="0" collapsed="false">
      <c r="A793" s="33"/>
      <c r="B793" s="27"/>
      <c r="C793" s="27"/>
      <c r="D793" s="27"/>
      <c r="E793" s="27"/>
      <c r="F793" s="34"/>
      <c r="G793" s="27"/>
      <c r="H793" s="27"/>
      <c r="I793" s="28" t="str">
        <f aca="false">IF(C793="","",IFERROR(INDEX(Settings!$C$8:$C$19,MATCH(C793,Settings!$B$8:$B$19,0)),"?"))</f>
        <v/>
      </c>
      <c r="J793" s="28" t="str">
        <f aca="false">IF(G793="","",IFERROR(INDEX(Settings!$C$8:$C$19,MATCH(G793,Settings!$B$8:$B$19,0)),"?"))</f>
        <v/>
      </c>
      <c r="K793" s="35" t="str">
        <f aca="false">IF(A793="","",DATE(YEAR(A793),MONTH(A793),1))</f>
        <v/>
      </c>
      <c r="L793" s="28" t="str">
        <f aca="false">IF(E793="","",IFERROR(INDEX(Settings!$K$8:$K$38,MATCH(E793,Settings!$H$8:$H$38,0))&amp;"",""))</f>
        <v/>
      </c>
    </row>
    <row r="794" customFormat="false" ht="15" hidden="false" customHeight="false" outlineLevel="0" collapsed="false">
      <c r="A794" s="33"/>
      <c r="B794" s="27"/>
      <c r="C794" s="27"/>
      <c r="D794" s="27"/>
      <c r="E794" s="27"/>
      <c r="F794" s="34"/>
      <c r="G794" s="27"/>
      <c r="H794" s="27"/>
      <c r="I794" s="28" t="str">
        <f aca="false">IF(C794="","",IFERROR(INDEX(Settings!$C$8:$C$19,MATCH(C794,Settings!$B$8:$B$19,0)),"?"))</f>
        <v/>
      </c>
      <c r="J794" s="28" t="str">
        <f aca="false">IF(G794="","",IFERROR(INDEX(Settings!$C$8:$C$19,MATCH(G794,Settings!$B$8:$B$19,0)),"?"))</f>
        <v/>
      </c>
      <c r="K794" s="35" t="str">
        <f aca="false">IF(A794="","",DATE(YEAR(A794),MONTH(A794),1))</f>
        <v/>
      </c>
      <c r="L794" s="28" t="str">
        <f aca="false">IF(E794="","",IFERROR(INDEX(Settings!$K$8:$K$38,MATCH(E794,Settings!$H$8:$H$38,0))&amp;"",""))</f>
        <v/>
      </c>
    </row>
    <row r="795" customFormat="false" ht="15" hidden="false" customHeight="false" outlineLevel="0" collapsed="false">
      <c r="A795" s="33"/>
      <c r="B795" s="27"/>
      <c r="C795" s="27"/>
      <c r="D795" s="27"/>
      <c r="E795" s="27"/>
      <c r="F795" s="34"/>
      <c r="G795" s="27"/>
      <c r="H795" s="27"/>
      <c r="I795" s="28" t="str">
        <f aca="false">IF(C795="","",IFERROR(INDEX(Settings!$C$8:$C$19,MATCH(C795,Settings!$B$8:$B$19,0)),"?"))</f>
        <v/>
      </c>
      <c r="J795" s="28" t="str">
        <f aca="false">IF(G795="","",IFERROR(INDEX(Settings!$C$8:$C$19,MATCH(G795,Settings!$B$8:$B$19,0)),"?"))</f>
        <v/>
      </c>
      <c r="K795" s="35" t="str">
        <f aca="false">IF(A795="","",DATE(YEAR(A795),MONTH(A795),1))</f>
        <v/>
      </c>
      <c r="L795" s="28" t="str">
        <f aca="false">IF(E795="","",IFERROR(INDEX(Settings!$K$8:$K$38,MATCH(E795,Settings!$H$8:$H$38,0))&amp;"",""))</f>
        <v/>
      </c>
    </row>
    <row r="796" customFormat="false" ht="15" hidden="false" customHeight="false" outlineLevel="0" collapsed="false">
      <c r="A796" s="33"/>
      <c r="B796" s="27"/>
      <c r="C796" s="27"/>
      <c r="D796" s="27"/>
      <c r="E796" s="27"/>
      <c r="F796" s="34"/>
      <c r="G796" s="27"/>
      <c r="H796" s="27"/>
      <c r="I796" s="28" t="str">
        <f aca="false">IF(C796="","",IFERROR(INDEX(Settings!$C$8:$C$19,MATCH(C796,Settings!$B$8:$B$19,0)),"?"))</f>
        <v/>
      </c>
      <c r="J796" s="28" t="str">
        <f aca="false">IF(G796="","",IFERROR(INDEX(Settings!$C$8:$C$19,MATCH(G796,Settings!$B$8:$B$19,0)),"?"))</f>
        <v/>
      </c>
      <c r="K796" s="35" t="str">
        <f aca="false">IF(A796="","",DATE(YEAR(A796),MONTH(A796),1))</f>
        <v/>
      </c>
      <c r="L796" s="28" t="str">
        <f aca="false">IF(E796="","",IFERROR(INDEX(Settings!$K$8:$K$38,MATCH(E796,Settings!$H$8:$H$38,0))&amp;"",""))</f>
        <v/>
      </c>
    </row>
    <row r="797" customFormat="false" ht="15" hidden="false" customHeight="false" outlineLevel="0" collapsed="false">
      <c r="A797" s="33"/>
      <c r="B797" s="27"/>
      <c r="C797" s="27"/>
      <c r="D797" s="27"/>
      <c r="E797" s="27"/>
      <c r="F797" s="34"/>
      <c r="G797" s="27"/>
      <c r="H797" s="27"/>
      <c r="I797" s="28" t="str">
        <f aca="false">IF(C797="","",IFERROR(INDEX(Settings!$C$8:$C$19,MATCH(C797,Settings!$B$8:$B$19,0)),"?"))</f>
        <v/>
      </c>
      <c r="J797" s="28" t="str">
        <f aca="false">IF(G797="","",IFERROR(INDEX(Settings!$C$8:$C$19,MATCH(G797,Settings!$B$8:$B$19,0)),"?"))</f>
        <v/>
      </c>
      <c r="K797" s="35" t="str">
        <f aca="false">IF(A797="","",DATE(YEAR(A797),MONTH(A797),1))</f>
        <v/>
      </c>
      <c r="L797" s="28" t="str">
        <f aca="false">IF(E797="","",IFERROR(INDEX(Settings!$K$8:$K$38,MATCH(E797,Settings!$H$8:$H$38,0))&amp;"",""))</f>
        <v/>
      </c>
    </row>
    <row r="798" customFormat="false" ht="15" hidden="false" customHeight="false" outlineLevel="0" collapsed="false">
      <c r="A798" s="33"/>
      <c r="B798" s="27"/>
      <c r="C798" s="27"/>
      <c r="D798" s="27"/>
      <c r="E798" s="27"/>
      <c r="F798" s="34"/>
      <c r="G798" s="27"/>
      <c r="H798" s="27"/>
      <c r="I798" s="28" t="str">
        <f aca="false">IF(C798="","",IFERROR(INDEX(Settings!$C$8:$C$19,MATCH(C798,Settings!$B$8:$B$19,0)),"?"))</f>
        <v/>
      </c>
      <c r="J798" s="28" t="str">
        <f aca="false">IF(G798="","",IFERROR(INDEX(Settings!$C$8:$C$19,MATCH(G798,Settings!$B$8:$B$19,0)),"?"))</f>
        <v/>
      </c>
      <c r="K798" s="35" t="str">
        <f aca="false">IF(A798="","",DATE(YEAR(A798),MONTH(A798),1))</f>
        <v/>
      </c>
      <c r="L798" s="28" t="str">
        <f aca="false">IF(E798="","",IFERROR(INDEX(Settings!$K$8:$K$38,MATCH(E798,Settings!$H$8:$H$38,0))&amp;"",""))</f>
        <v/>
      </c>
    </row>
    <row r="799" customFormat="false" ht="15" hidden="false" customHeight="false" outlineLevel="0" collapsed="false">
      <c r="A799" s="33"/>
      <c r="B799" s="27"/>
      <c r="C799" s="27"/>
      <c r="D799" s="27"/>
      <c r="E799" s="27"/>
      <c r="F799" s="34"/>
      <c r="G799" s="27"/>
      <c r="H799" s="27"/>
      <c r="I799" s="28" t="str">
        <f aca="false">IF(C799="","",IFERROR(INDEX(Settings!$C$8:$C$19,MATCH(C799,Settings!$B$8:$B$19,0)),"?"))</f>
        <v/>
      </c>
      <c r="J799" s="28" t="str">
        <f aca="false">IF(G799="","",IFERROR(INDEX(Settings!$C$8:$C$19,MATCH(G799,Settings!$B$8:$B$19,0)),"?"))</f>
        <v/>
      </c>
      <c r="K799" s="35" t="str">
        <f aca="false">IF(A799="","",DATE(YEAR(A799),MONTH(A799),1))</f>
        <v/>
      </c>
      <c r="L799" s="28" t="str">
        <f aca="false">IF(E799="","",IFERROR(INDEX(Settings!$K$8:$K$38,MATCH(E799,Settings!$H$8:$H$38,0))&amp;"",""))</f>
        <v/>
      </c>
    </row>
    <row r="800" customFormat="false" ht="15" hidden="false" customHeight="false" outlineLevel="0" collapsed="false">
      <c r="A800" s="33"/>
      <c r="B800" s="27"/>
      <c r="C800" s="27"/>
      <c r="D800" s="27"/>
      <c r="E800" s="27"/>
      <c r="F800" s="34"/>
      <c r="G800" s="27"/>
      <c r="H800" s="27"/>
      <c r="I800" s="28" t="str">
        <f aca="false">IF(C800="","",IFERROR(INDEX(Settings!$C$8:$C$19,MATCH(C800,Settings!$B$8:$B$19,0)),"?"))</f>
        <v/>
      </c>
      <c r="J800" s="28" t="str">
        <f aca="false">IF(G800="","",IFERROR(INDEX(Settings!$C$8:$C$19,MATCH(G800,Settings!$B$8:$B$19,0)),"?"))</f>
        <v/>
      </c>
      <c r="K800" s="35" t="str">
        <f aca="false">IF(A800="","",DATE(YEAR(A800),MONTH(A800),1))</f>
        <v/>
      </c>
      <c r="L800" s="28" t="str">
        <f aca="false">IF(E800="","",IFERROR(INDEX(Settings!$K$8:$K$38,MATCH(E800,Settings!$H$8:$H$38,0))&amp;"",""))</f>
        <v/>
      </c>
    </row>
    <row r="801" customFormat="false" ht="15" hidden="false" customHeight="false" outlineLevel="0" collapsed="false">
      <c r="A801" s="33"/>
      <c r="B801" s="27"/>
      <c r="C801" s="27"/>
      <c r="D801" s="27"/>
      <c r="E801" s="27"/>
      <c r="F801" s="34"/>
      <c r="G801" s="27"/>
      <c r="H801" s="27"/>
      <c r="I801" s="28" t="str">
        <f aca="false">IF(C801="","",IFERROR(INDEX(Settings!$C$8:$C$19,MATCH(C801,Settings!$B$8:$B$19,0)),"?"))</f>
        <v/>
      </c>
      <c r="J801" s="28" t="str">
        <f aca="false">IF(G801="","",IFERROR(INDEX(Settings!$C$8:$C$19,MATCH(G801,Settings!$B$8:$B$19,0)),"?"))</f>
        <v/>
      </c>
      <c r="K801" s="35" t="str">
        <f aca="false">IF(A801="","",DATE(YEAR(A801),MONTH(A801),1))</f>
        <v/>
      </c>
      <c r="L801" s="28" t="str">
        <f aca="false">IF(E801="","",IFERROR(INDEX(Settings!$K$8:$K$38,MATCH(E801,Settings!$H$8:$H$38,0))&amp;"",""))</f>
        <v/>
      </c>
    </row>
    <row r="802" customFormat="false" ht="15" hidden="false" customHeight="false" outlineLevel="0" collapsed="false">
      <c r="A802" s="33"/>
      <c r="B802" s="27"/>
      <c r="C802" s="27"/>
      <c r="D802" s="27"/>
      <c r="E802" s="27"/>
      <c r="F802" s="34"/>
      <c r="G802" s="27"/>
      <c r="H802" s="27"/>
      <c r="I802" s="28" t="str">
        <f aca="false">IF(C802="","",IFERROR(INDEX(Settings!$C$8:$C$19,MATCH(C802,Settings!$B$8:$B$19,0)),"?"))</f>
        <v/>
      </c>
      <c r="J802" s="28" t="str">
        <f aca="false">IF(G802="","",IFERROR(INDEX(Settings!$C$8:$C$19,MATCH(G802,Settings!$B$8:$B$19,0)),"?"))</f>
        <v/>
      </c>
      <c r="K802" s="35" t="str">
        <f aca="false">IF(A802="","",DATE(YEAR(A802),MONTH(A802),1))</f>
        <v/>
      </c>
      <c r="L802" s="28" t="str">
        <f aca="false">IF(E802="","",IFERROR(INDEX(Settings!$K$8:$K$38,MATCH(E802,Settings!$H$8:$H$38,0))&amp;"",""))</f>
        <v/>
      </c>
    </row>
    <row r="803" customFormat="false" ht="15" hidden="false" customHeight="false" outlineLevel="0" collapsed="false">
      <c r="A803" s="33"/>
      <c r="B803" s="27"/>
      <c r="C803" s="27"/>
      <c r="D803" s="27"/>
      <c r="E803" s="27"/>
      <c r="F803" s="34"/>
      <c r="G803" s="27"/>
      <c r="H803" s="27"/>
      <c r="I803" s="28" t="str">
        <f aca="false">IF(C803="","",IFERROR(INDEX(Settings!$C$8:$C$19,MATCH(C803,Settings!$B$8:$B$19,0)),"?"))</f>
        <v/>
      </c>
      <c r="J803" s="28" t="str">
        <f aca="false">IF(G803="","",IFERROR(INDEX(Settings!$C$8:$C$19,MATCH(G803,Settings!$B$8:$B$19,0)),"?"))</f>
        <v/>
      </c>
      <c r="K803" s="35" t="str">
        <f aca="false">IF(A803="","",DATE(YEAR(A803),MONTH(A803),1))</f>
        <v/>
      </c>
      <c r="L803" s="28" t="str">
        <f aca="false">IF(E803="","",IFERROR(INDEX(Settings!$K$8:$K$38,MATCH(E803,Settings!$H$8:$H$38,0))&amp;"",""))</f>
        <v/>
      </c>
    </row>
    <row r="804" customFormat="false" ht="15" hidden="false" customHeight="false" outlineLevel="0" collapsed="false">
      <c r="A804" s="33"/>
      <c r="B804" s="27"/>
      <c r="C804" s="27"/>
      <c r="D804" s="27"/>
      <c r="E804" s="27"/>
      <c r="F804" s="34"/>
      <c r="G804" s="27"/>
      <c r="H804" s="27"/>
      <c r="I804" s="28" t="str">
        <f aca="false">IF(C804="","",IFERROR(INDEX(Settings!$C$8:$C$19,MATCH(C804,Settings!$B$8:$B$19,0)),"?"))</f>
        <v/>
      </c>
      <c r="J804" s="28" t="str">
        <f aca="false">IF(G804="","",IFERROR(INDEX(Settings!$C$8:$C$19,MATCH(G804,Settings!$B$8:$B$19,0)),"?"))</f>
        <v/>
      </c>
      <c r="K804" s="35" t="str">
        <f aca="false">IF(A804="","",DATE(YEAR(A804),MONTH(A804),1))</f>
        <v/>
      </c>
      <c r="L804" s="28" t="str">
        <f aca="false">IF(E804="","",IFERROR(INDEX(Settings!$K$8:$K$38,MATCH(E804,Settings!$H$8:$H$38,0))&amp;"",""))</f>
        <v/>
      </c>
    </row>
    <row r="805" customFormat="false" ht="15" hidden="false" customHeight="false" outlineLevel="0" collapsed="false">
      <c r="A805" s="33"/>
      <c r="B805" s="27"/>
      <c r="C805" s="27"/>
      <c r="D805" s="27"/>
      <c r="E805" s="27"/>
      <c r="F805" s="34"/>
      <c r="G805" s="27"/>
      <c r="H805" s="27"/>
      <c r="I805" s="28" t="str">
        <f aca="false">IF(C805="","",IFERROR(INDEX(Settings!$C$8:$C$19,MATCH(C805,Settings!$B$8:$B$19,0)),"?"))</f>
        <v/>
      </c>
      <c r="J805" s="28" t="str">
        <f aca="false">IF(G805="","",IFERROR(INDEX(Settings!$C$8:$C$19,MATCH(G805,Settings!$B$8:$B$19,0)),"?"))</f>
        <v/>
      </c>
      <c r="K805" s="35" t="str">
        <f aca="false">IF(A805="","",DATE(YEAR(A805),MONTH(A805),1))</f>
        <v/>
      </c>
      <c r="L805" s="28" t="str">
        <f aca="false">IF(E805="","",IFERROR(INDEX(Settings!$K$8:$K$38,MATCH(E805,Settings!$H$8:$H$38,0))&amp;"",""))</f>
        <v/>
      </c>
    </row>
    <row r="806" customFormat="false" ht="15" hidden="false" customHeight="false" outlineLevel="0" collapsed="false">
      <c r="A806" s="33"/>
      <c r="B806" s="27"/>
      <c r="C806" s="27"/>
      <c r="D806" s="27"/>
      <c r="E806" s="27"/>
      <c r="F806" s="34"/>
      <c r="G806" s="27"/>
      <c r="H806" s="27"/>
      <c r="I806" s="28" t="str">
        <f aca="false">IF(C806="","",IFERROR(INDEX(Settings!$C$8:$C$19,MATCH(C806,Settings!$B$8:$B$19,0)),"?"))</f>
        <v/>
      </c>
      <c r="J806" s="28" t="str">
        <f aca="false">IF(G806="","",IFERROR(INDEX(Settings!$C$8:$C$19,MATCH(G806,Settings!$B$8:$B$19,0)),"?"))</f>
        <v/>
      </c>
      <c r="K806" s="35" t="str">
        <f aca="false">IF(A806="","",DATE(YEAR(A806),MONTH(A806),1))</f>
        <v/>
      </c>
      <c r="L806" s="28" t="str">
        <f aca="false">IF(E806="","",IFERROR(INDEX(Settings!$K$8:$K$38,MATCH(E806,Settings!$H$8:$H$38,0))&amp;"",""))</f>
        <v/>
      </c>
    </row>
    <row r="807" customFormat="false" ht="15" hidden="false" customHeight="false" outlineLevel="0" collapsed="false">
      <c r="A807" s="33"/>
      <c r="B807" s="27"/>
      <c r="C807" s="27"/>
      <c r="D807" s="27"/>
      <c r="E807" s="27"/>
      <c r="F807" s="34"/>
      <c r="G807" s="27"/>
      <c r="H807" s="27"/>
      <c r="I807" s="28" t="str">
        <f aca="false">IF(C807="","",IFERROR(INDEX(Settings!$C$8:$C$19,MATCH(C807,Settings!$B$8:$B$19,0)),"?"))</f>
        <v/>
      </c>
      <c r="J807" s="28" t="str">
        <f aca="false">IF(G807="","",IFERROR(INDEX(Settings!$C$8:$C$19,MATCH(G807,Settings!$B$8:$B$19,0)),"?"))</f>
        <v/>
      </c>
      <c r="K807" s="35" t="str">
        <f aca="false">IF(A807="","",DATE(YEAR(A807),MONTH(A807),1))</f>
        <v/>
      </c>
      <c r="L807" s="28" t="str">
        <f aca="false">IF(E807="","",IFERROR(INDEX(Settings!$K$8:$K$38,MATCH(E807,Settings!$H$8:$H$38,0))&amp;"",""))</f>
        <v/>
      </c>
    </row>
    <row r="808" customFormat="false" ht="15" hidden="false" customHeight="false" outlineLevel="0" collapsed="false">
      <c r="A808" s="33"/>
      <c r="B808" s="27"/>
      <c r="C808" s="27"/>
      <c r="D808" s="27"/>
      <c r="E808" s="27"/>
      <c r="F808" s="34"/>
      <c r="G808" s="27"/>
      <c r="H808" s="27"/>
      <c r="I808" s="28" t="str">
        <f aca="false">IF(C808="","",IFERROR(INDEX(Settings!$C$8:$C$19,MATCH(C808,Settings!$B$8:$B$19,0)),"?"))</f>
        <v/>
      </c>
      <c r="J808" s="28" t="str">
        <f aca="false">IF(G808="","",IFERROR(INDEX(Settings!$C$8:$C$19,MATCH(G808,Settings!$B$8:$B$19,0)),"?"))</f>
        <v/>
      </c>
      <c r="K808" s="35" t="str">
        <f aca="false">IF(A808="","",DATE(YEAR(A808),MONTH(A808),1))</f>
        <v/>
      </c>
      <c r="L808" s="28" t="str">
        <f aca="false">IF(E808="","",IFERROR(INDEX(Settings!$K$8:$K$38,MATCH(E808,Settings!$H$8:$H$38,0))&amp;"",""))</f>
        <v/>
      </c>
    </row>
    <row r="809" customFormat="false" ht="15" hidden="false" customHeight="false" outlineLevel="0" collapsed="false">
      <c r="A809" s="33"/>
      <c r="B809" s="27"/>
      <c r="C809" s="27"/>
      <c r="D809" s="27"/>
      <c r="E809" s="27"/>
      <c r="F809" s="34"/>
      <c r="G809" s="27"/>
      <c r="H809" s="27"/>
      <c r="I809" s="28" t="str">
        <f aca="false">IF(C809="","",IFERROR(INDEX(Settings!$C$8:$C$19,MATCH(C809,Settings!$B$8:$B$19,0)),"?"))</f>
        <v/>
      </c>
      <c r="J809" s="28" t="str">
        <f aca="false">IF(G809="","",IFERROR(INDEX(Settings!$C$8:$C$19,MATCH(G809,Settings!$B$8:$B$19,0)),"?"))</f>
        <v/>
      </c>
      <c r="K809" s="35" t="str">
        <f aca="false">IF(A809="","",DATE(YEAR(A809),MONTH(A809),1))</f>
        <v/>
      </c>
      <c r="L809" s="28" t="str">
        <f aca="false">IF(E809="","",IFERROR(INDEX(Settings!$K$8:$K$38,MATCH(E809,Settings!$H$8:$H$38,0))&amp;"",""))</f>
        <v/>
      </c>
    </row>
    <row r="810" customFormat="false" ht="15" hidden="false" customHeight="false" outlineLevel="0" collapsed="false">
      <c r="A810" s="33"/>
      <c r="B810" s="27"/>
      <c r="C810" s="27"/>
      <c r="D810" s="27"/>
      <c r="E810" s="27"/>
      <c r="F810" s="34"/>
      <c r="G810" s="27"/>
      <c r="H810" s="27"/>
      <c r="I810" s="28" t="str">
        <f aca="false">IF(C810="","",IFERROR(INDEX(Settings!$C$8:$C$19,MATCH(C810,Settings!$B$8:$B$19,0)),"?"))</f>
        <v/>
      </c>
      <c r="J810" s="28" t="str">
        <f aca="false">IF(G810="","",IFERROR(INDEX(Settings!$C$8:$C$19,MATCH(G810,Settings!$B$8:$B$19,0)),"?"))</f>
        <v/>
      </c>
      <c r="K810" s="35" t="str">
        <f aca="false">IF(A810="","",DATE(YEAR(A810),MONTH(A810),1))</f>
        <v/>
      </c>
      <c r="L810" s="28" t="str">
        <f aca="false">IF(E810="","",IFERROR(INDEX(Settings!$K$8:$K$38,MATCH(E810,Settings!$H$8:$H$38,0))&amp;"",""))</f>
        <v/>
      </c>
    </row>
    <row r="811" customFormat="false" ht="15" hidden="false" customHeight="false" outlineLevel="0" collapsed="false">
      <c r="A811" s="33"/>
      <c r="B811" s="27"/>
      <c r="C811" s="27"/>
      <c r="D811" s="27"/>
      <c r="E811" s="27"/>
      <c r="F811" s="34"/>
      <c r="G811" s="27"/>
      <c r="H811" s="27"/>
      <c r="I811" s="28" t="str">
        <f aca="false">IF(C811="","",IFERROR(INDEX(Settings!$C$8:$C$19,MATCH(C811,Settings!$B$8:$B$19,0)),"?"))</f>
        <v/>
      </c>
      <c r="J811" s="28" t="str">
        <f aca="false">IF(G811="","",IFERROR(INDEX(Settings!$C$8:$C$19,MATCH(G811,Settings!$B$8:$B$19,0)),"?"))</f>
        <v/>
      </c>
      <c r="K811" s="35" t="str">
        <f aca="false">IF(A811="","",DATE(YEAR(A811),MONTH(A811),1))</f>
        <v/>
      </c>
      <c r="L811" s="28" t="str">
        <f aca="false">IF(E811="","",IFERROR(INDEX(Settings!$K$8:$K$38,MATCH(E811,Settings!$H$8:$H$38,0))&amp;"",""))</f>
        <v/>
      </c>
    </row>
    <row r="812" customFormat="false" ht="15" hidden="false" customHeight="false" outlineLevel="0" collapsed="false">
      <c r="A812" s="33"/>
      <c r="B812" s="27"/>
      <c r="C812" s="27"/>
      <c r="D812" s="27"/>
      <c r="E812" s="27"/>
      <c r="F812" s="34"/>
      <c r="G812" s="27"/>
      <c r="H812" s="27"/>
      <c r="I812" s="28" t="str">
        <f aca="false">IF(C812="","",IFERROR(INDEX(Settings!$C$8:$C$19,MATCH(C812,Settings!$B$8:$B$19,0)),"?"))</f>
        <v/>
      </c>
      <c r="J812" s="28" t="str">
        <f aca="false">IF(G812="","",IFERROR(INDEX(Settings!$C$8:$C$19,MATCH(G812,Settings!$B$8:$B$19,0)),"?"))</f>
        <v/>
      </c>
      <c r="K812" s="35" t="str">
        <f aca="false">IF(A812="","",DATE(YEAR(A812),MONTH(A812),1))</f>
        <v/>
      </c>
      <c r="L812" s="28" t="str">
        <f aca="false">IF(E812="","",IFERROR(INDEX(Settings!$K$8:$K$38,MATCH(E812,Settings!$H$8:$H$38,0))&amp;"",""))</f>
        <v/>
      </c>
    </row>
    <row r="813" customFormat="false" ht="15" hidden="false" customHeight="false" outlineLevel="0" collapsed="false">
      <c r="A813" s="33"/>
      <c r="B813" s="27"/>
      <c r="C813" s="27"/>
      <c r="D813" s="27"/>
      <c r="E813" s="27"/>
      <c r="F813" s="34"/>
      <c r="G813" s="27"/>
      <c r="H813" s="27"/>
      <c r="I813" s="28" t="str">
        <f aca="false">IF(C813="","",IFERROR(INDEX(Settings!$C$8:$C$19,MATCH(C813,Settings!$B$8:$B$19,0)),"?"))</f>
        <v/>
      </c>
      <c r="J813" s="28" t="str">
        <f aca="false">IF(G813="","",IFERROR(INDEX(Settings!$C$8:$C$19,MATCH(G813,Settings!$B$8:$B$19,0)),"?"))</f>
        <v/>
      </c>
      <c r="K813" s="35" t="str">
        <f aca="false">IF(A813="","",DATE(YEAR(A813),MONTH(A813),1))</f>
        <v/>
      </c>
      <c r="L813" s="28" t="str">
        <f aca="false">IF(E813="","",IFERROR(INDEX(Settings!$K$8:$K$38,MATCH(E813,Settings!$H$8:$H$38,0))&amp;"",""))</f>
        <v/>
      </c>
    </row>
    <row r="814" customFormat="false" ht="15" hidden="false" customHeight="false" outlineLevel="0" collapsed="false">
      <c r="A814" s="33"/>
      <c r="B814" s="27"/>
      <c r="C814" s="27"/>
      <c r="D814" s="27"/>
      <c r="E814" s="27"/>
      <c r="F814" s="34"/>
      <c r="G814" s="27"/>
      <c r="H814" s="27"/>
      <c r="I814" s="28" t="str">
        <f aca="false">IF(C814="","",IFERROR(INDEX(Settings!$C$8:$C$19,MATCH(C814,Settings!$B$8:$B$19,0)),"?"))</f>
        <v/>
      </c>
      <c r="J814" s="28" t="str">
        <f aca="false">IF(G814="","",IFERROR(INDEX(Settings!$C$8:$C$19,MATCH(G814,Settings!$B$8:$B$19,0)),"?"))</f>
        <v/>
      </c>
      <c r="K814" s="35" t="str">
        <f aca="false">IF(A814="","",DATE(YEAR(A814),MONTH(A814),1))</f>
        <v/>
      </c>
      <c r="L814" s="28" t="str">
        <f aca="false">IF(E814="","",IFERROR(INDEX(Settings!$K$8:$K$38,MATCH(E814,Settings!$H$8:$H$38,0))&amp;"",""))</f>
        <v/>
      </c>
    </row>
    <row r="815" customFormat="false" ht="15" hidden="false" customHeight="false" outlineLevel="0" collapsed="false">
      <c r="A815" s="33"/>
      <c r="B815" s="27"/>
      <c r="C815" s="27"/>
      <c r="D815" s="27"/>
      <c r="E815" s="27"/>
      <c r="F815" s="34"/>
      <c r="G815" s="27"/>
      <c r="H815" s="27"/>
      <c r="I815" s="28" t="str">
        <f aca="false">IF(C815="","",IFERROR(INDEX(Settings!$C$8:$C$19,MATCH(C815,Settings!$B$8:$B$19,0)),"?"))</f>
        <v/>
      </c>
      <c r="J815" s="28" t="str">
        <f aca="false">IF(G815="","",IFERROR(INDEX(Settings!$C$8:$C$19,MATCH(G815,Settings!$B$8:$B$19,0)),"?"))</f>
        <v/>
      </c>
      <c r="K815" s="35" t="str">
        <f aca="false">IF(A815="","",DATE(YEAR(A815),MONTH(A815),1))</f>
        <v/>
      </c>
      <c r="L815" s="28" t="str">
        <f aca="false">IF(E815="","",IFERROR(INDEX(Settings!$K$8:$K$38,MATCH(E815,Settings!$H$8:$H$38,0))&amp;"",""))</f>
        <v/>
      </c>
    </row>
    <row r="816" customFormat="false" ht="15" hidden="false" customHeight="false" outlineLevel="0" collapsed="false">
      <c r="A816" s="33"/>
      <c r="B816" s="27"/>
      <c r="C816" s="27"/>
      <c r="D816" s="27"/>
      <c r="E816" s="27"/>
      <c r="F816" s="34"/>
      <c r="G816" s="27"/>
      <c r="H816" s="27"/>
      <c r="I816" s="28" t="str">
        <f aca="false">IF(C816="","",IFERROR(INDEX(Settings!$C$8:$C$19,MATCH(C816,Settings!$B$8:$B$19,0)),"?"))</f>
        <v/>
      </c>
      <c r="J816" s="28" t="str">
        <f aca="false">IF(G816="","",IFERROR(INDEX(Settings!$C$8:$C$19,MATCH(G816,Settings!$B$8:$B$19,0)),"?"))</f>
        <v/>
      </c>
      <c r="K816" s="35" t="str">
        <f aca="false">IF(A816="","",DATE(YEAR(A816),MONTH(A816),1))</f>
        <v/>
      </c>
      <c r="L816" s="28" t="str">
        <f aca="false">IF(E816="","",IFERROR(INDEX(Settings!$K$8:$K$38,MATCH(E816,Settings!$H$8:$H$38,0))&amp;"",""))</f>
        <v/>
      </c>
    </row>
    <row r="817" customFormat="false" ht="15" hidden="false" customHeight="false" outlineLevel="0" collapsed="false">
      <c r="A817" s="33"/>
      <c r="B817" s="27"/>
      <c r="C817" s="27"/>
      <c r="D817" s="27"/>
      <c r="E817" s="27"/>
      <c r="F817" s="34"/>
      <c r="G817" s="27"/>
      <c r="H817" s="27"/>
      <c r="I817" s="28" t="str">
        <f aca="false">IF(C817="","",IFERROR(INDEX(Settings!$C$8:$C$19,MATCH(C817,Settings!$B$8:$B$19,0)),"?"))</f>
        <v/>
      </c>
      <c r="J817" s="28" t="str">
        <f aca="false">IF(G817="","",IFERROR(INDEX(Settings!$C$8:$C$19,MATCH(G817,Settings!$B$8:$B$19,0)),"?"))</f>
        <v/>
      </c>
      <c r="K817" s="35" t="str">
        <f aca="false">IF(A817="","",DATE(YEAR(A817),MONTH(A817),1))</f>
        <v/>
      </c>
      <c r="L817" s="28" t="str">
        <f aca="false">IF(E817="","",IFERROR(INDEX(Settings!$K$8:$K$38,MATCH(E817,Settings!$H$8:$H$38,0))&amp;"",""))</f>
        <v/>
      </c>
    </row>
    <row r="818" customFormat="false" ht="15" hidden="false" customHeight="false" outlineLevel="0" collapsed="false">
      <c r="A818" s="33"/>
      <c r="B818" s="27"/>
      <c r="C818" s="27"/>
      <c r="D818" s="27"/>
      <c r="E818" s="27"/>
      <c r="F818" s="34"/>
      <c r="G818" s="27"/>
      <c r="H818" s="27"/>
      <c r="I818" s="28" t="str">
        <f aca="false">IF(C818="","",IFERROR(INDEX(Settings!$C$8:$C$19,MATCH(C818,Settings!$B$8:$B$19,0)),"?"))</f>
        <v/>
      </c>
      <c r="J818" s="28" t="str">
        <f aca="false">IF(G818="","",IFERROR(INDEX(Settings!$C$8:$C$19,MATCH(G818,Settings!$B$8:$B$19,0)),"?"))</f>
        <v/>
      </c>
      <c r="K818" s="35" t="str">
        <f aca="false">IF(A818="","",DATE(YEAR(A818),MONTH(A818),1))</f>
        <v/>
      </c>
      <c r="L818" s="28" t="str">
        <f aca="false">IF(E818="","",IFERROR(INDEX(Settings!$K$8:$K$38,MATCH(E818,Settings!$H$8:$H$38,0))&amp;"",""))</f>
        <v/>
      </c>
    </row>
    <row r="819" customFormat="false" ht="15" hidden="false" customHeight="false" outlineLevel="0" collapsed="false">
      <c r="A819" s="33"/>
      <c r="B819" s="27"/>
      <c r="C819" s="27"/>
      <c r="D819" s="27"/>
      <c r="E819" s="27"/>
      <c r="F819" s="34"/>
      <c r="G819" s="27"/>
      <c r="H819" s="27"/>
      <c r="I819" s="28" t="str">
        <f aca="false">IF(C819="","",IFERROR(INDEX(Settings!$C$8:$C$19,MATCH(C819,Settings!$B$8:$B$19,0)),"?"))</f>
        <v/>
      </c>
      <c r="J819" s="28" t="str">
        <f aca="false">IF(G819="","",IFERROR(INDEX(Settings!$C$8:$C$19,MATCH(G819,Settings!$B$8:$B$19,0)),"?"))</f>
        <v/>
      </c>
      <c r="K819" s="35" t="str">
        <f aca="false">IF(A819="","",DATE(YEAR(A819),MONTH(A819),1))</f>
        <v/>
      </c>
      <c r="L819" s="28" t="str">
        <f aca="false">IF(E819="","",IFERROR(INDEX(Settings!$K$8:$K$38,MATCH(E819,Settings!$H$8:$H$38,0))&amp;"",""))</f>
        <v/>
      </c>
    </row>
    <row r="820" customFormat="false" ht="15" hidden="false" customHeight="false" outlineLevel="0" collapsed="false">
      <c r="A820" s="33"/>
      <c r="B820" s="27"/>
      <c r="C820" s="27"/>
      <c r="D820" s="27"/>
      <c r="E820" s="27"/>
      <c r="F820" s="34"/>
      <c r="G820" s="27"/>
      <c r="H820" s="27"/>
      <c r="I820" s="28" t="str">
        <f aca="false">IF(C820="","",IFERROR(INDEX(Settings!$C$8:$C$19,MATCH(C820,Settings!$B$8:$B$19,0)),"?"))</f>
        <v/>
      </c>
      <c r="J820" s="28" t="str">
        <f aca="false">IF(G820="","",IFERROR(INDEX(Settings!$C$8:$C$19,MATCH(G820,Settings!$B$8:$B$19,0)),"?"))</f>
        <v/>
      </c>
      <c r="K820" s="35" t="str">
        <f aca="false">IF(A820="","",DATE(YEAR(A820),MONTH(A820),1))</f>
        <v/>
      </c>
      <c r="L820" s="28" t="str">
        <f aca="false">IF(E820="","",IFERROR(INDEX(Settings!$K$8:$K$38,MATCH(E820,Settings!$H$8:$H$38,0))&amp;"",""))</f>
        <v/>
      </c>
    </row>
    <row r="821" customFormat="false" ht="15" hidden="false" customHeight="false" outlineLevel="0" collapsed="false">
      <c r="A821" s="33"/>
      <c r="B821" s="27"/>
      <c r="C821" s="27"/>
      <c r="D821" s="27"/>
      <c r="E821" s="27"/>
      <c r="F821" s="34"/>
      <c r="G821" s="27"/>
      <c r="H821" s="27"/>
      <c r="I821" s="28" t="str">
        <f aca="false">IF(C821="","",IFERROR(INDEX(Settings!$C$8:$C$19,MATCH(C821,Settings!$B$8:$B$19,0)),"?"))</f>
        <v/>
      </c>
      <c r="J821" s="28" t="str">
        <f aca="false">IF(G821="","",IFERROR(INDEX(Settings!$C$8:$C$19,MATCH(G821,Settings!$B$8:$B$19,0)),"?"))</f>
        <v/>
      </c>
      <c r="K821" s="35" t="str">
        <f aca="false">IF(A821="","",DATE(YEAR(A821),MONTH(A821),1))</f>
        <v/>
      </c>
      <c r="L821" s="28" t="str">
        <f aca="false">IF(E821="","",IFERROR(INDEX(Settings!$K$8:$K$38,MATCH(E821,Settings!$H$8:$H$38,0))&amp;"",""))</f>
        <v/>
      </c>
    </row>
    <row r="822" customFormat="false" ht="15" hidden="false" customHeight="false" outlineLevel="0" collapsed="false">
      <c r="A822" s="33"/>
      <c r="B822" s="27"/>
      <c r="C822" s="27"/>
      <c r="D822" s="27"/>
      <c r="E822" s="27"/>
      <c r="F822" s="34"/>
      <c r="G822" s="27"/>
      <c r="H822" s="27"/>
      <c r="I822" s="28" t="str">
        <f aca="false">IF(C822="","",IFERROR(INDEX(Settings!$C$8:$C$19,MATCH(C822,Settings!$B$8:$B$19,0)),"?"))</f>
        <v/>
      </c>
      <c r="J822" s="28" t="str">
        <f aca="false">IF(G822="","",IFERROR(INDEX(Settings!$C$8:$C$19,MATCH(G822,Settings!$B$8:$B$19,0)),"?"))</f>
        <v/>
      </c>
      <c r="K822" s="35" t="str">
        <f aca="false">IF(A822="","",DATE(YEAR(A822),MONTH(A822),1))</f>
        <v/>
      </c>
      <c r="L822" s="28" t="str">
        <f aca="false">IF(E822="","",IFERROR(INDEX(Settings!$K$8:$K$38,MATCH(E822,Settings!$H$8:$H$38,0))&amp;"",""))</f>
        <v/>
      </c>
    </row>
    <row r="823" customFormat="false" ht="15" hidden="false" customHeight="false" outlineLevel="0" collapsed="false">
      <c r="A823" s="33"/>
      <c r="B823" s="27"/>
      <c r="C823" s="27"/>
      <c r="D823" s="27"/>
      <c r="E823" s="27"/>
      <c r="F823" s="34"/>
      <c r="G823" s="27"/>
      <c r="H823" s="27"/>
      <c r="I823" s="28" t="str">
        <f aca="false">IF(C823="","",IFERROR(INDEX(Settings!$C$8:$C$19,MATCH(C823,Settings!$B$8:$B$19,0)),"?"))</f>
        <v/>
      </c>
      <c r="J823" s="28" t="str">
        <f aca="false">IF(G823="","",IFERROR(INDEX(Settings!$C$8:$C$19,MATCH(G823,Settings!$B$8:$B$19,0)),"?"))</f>
        <v/>
      </c>
      <c r="K823" s="35" t="str">
        <f aca="false">IF(A823="","",DATE(YEAR(A823),MONTH(A823),1))</f>
        <v/>
      </c>
      <c r="L823" s="28" t="str">
        <f aca="false">IF(E823="","",IFERROR(INDEX(Settings!$K$8:$K$38,MATCH(E823,Settings!$H$8:$H$38,0))&amp;"",""))</f>
        <v/>
      </c>
    </row>
    <row r="824" customFormat="false" ht="15" hidden="false" customHeight="false" outlineLevel="0" collapsed="false">
      <c r="A824" s="33"/>
      <c r="B824" s="27"/>
      <c r="C824" s="27"/>
      <c r="D824" s="27"/>
      <c r="E824" s="27"/>
      <c r="F824" s="34"/>
      <c r="G824" s="27"/>
      <c r="H824" s="27"/>
      <c r="I824" s="28" t="str">
        <f aca="false">IF(C824="","",IFERROR(INDEX(Settings!$C$8:$C$19,MATCH(C824,Settings!$B$8:$B$19,0)),"?"))</f>
        <v/>
      </c>
      <c r="J824" s="28" t="str">
        <f aca="false">IF(G824="","",IFERROR(INDEX(Settings!$C$8:$C$19,MATCH(G824,Settings!$B$8:$B$19,0)),"?"))</f>
        <v/>
      </c>
      <c r="K824" s="35" t="str">
        <f aca="false">IF(A824="","",DATE(YEAR(A824),MONTH(A824),1))</f>
        <v/>
      </c>
      <c r="L824" s="28" t="str">
        <f aca="false">IF(E824="","",IFERROR(INDEX(Settings!$K$8:$K$38,MATCH(E824,Settings!$H$8:$H$38,0))&amp;"",""))</f>
        <v/>
      </c>
    </row>
    <row r="825" customFormat="false" ht="15" hidden="false" customHeight="false" outlineLevel="0" collapsed="false">
      <c r="A825" s="33"/>
      <c r="B825" s="27"/>
      <c r="C825" s="27"/>
      <c r="D825" s="27"/>
      <c r="E825" s="27"/>
      <c r="F825" s="34"/>
      <c r="G825" s="27"/>
      <c r="H825" s="27"/>
      <c r="I825" s="28" t="str">
        <f aca="false">IF(C825="","",IFERROR(INDEX(Settings!$C$8:$C$19,MATCH(C825,Settings!$B$8:$B$19,0)),"?"))</f>
        <v/>
      </c>
      <c r="J825" s="28" t="str">
        <f aca="false">IF(G825="","",IFERROR(INDEX(Settings!$C$8:$C$19,MATCH(G825,Settings!$B$8:$B$19,0)),"?"))</f>
        <v/>
      </c>
      <c r="K825" s="35" t="str">
        <f aca="false">IF(A825="","",DATE(YEAR(A825),MONTH(A825),1))</f>
        <v/>
      </c>
      <c r="L825" s="28" t="str">
        <f aca="false">IF(E825="","",IFERROR(INDEX(Settings!$K$8:$K$38,MATCH(E825,Settings!$H$8:$H$38,0))&amp;"",""))</f>
        <v/>
      </c>
    </row>
    <row r="826" customFormat="false" ht="15" hidden="false" customHeight="false" outlineLevel="0" collapsed="false">
      <c r="A826" s="33"/>
      <c r="B826" s="27"/>
      <c r="C826" s="27"/>
      <c r="D826" s="27"/>
      <c r="E826" s="27"/>
      <c r="F826" s="34"/>
      <c r="G826" s="27"/>
      <c r="H826" s="27"/>
      <c r="I826" s="28" t="str">
        <f aca="false">IF(C826="","",IFERROR(INDEX(Settings!$C$8:$C$19,MATCH(C826,Settings!$B$8:$B$19,0)),"?"))</f>
        <v/>
      </c>
      <c r="J826" s="28" t="str">
        <f aca="false">IF(G826="","",IFERROR(INDEX(Settings!$C$8:$C$19,MATCH(G826,Settings!$B$8:$B$19,0)),"?"))</f>
        <v/>
      </c>
      <c r="K826" s="35" t="str">
        <f aca="false">IF(A826="","",DATE(YEAR(A826),MONTH(A826),1))</f>
        <v/>
      </c>
      <c r="L826" s="28" t="str">
        <f aca="false">IF(E826="","",IFERROR(INDEX(Settings!$K$8:$K$38,MATCH(E826,Settings!$H$8:$H$38,0))&amp;"",""))</f>
        <v/>
      </c>
    </row>
    <row r="827" customFormat="false" ht="15" hidden="false" customHeight="false" outlineLevel="0" collapsed="false">
      <c r="A827" s="33"/>
      <c r="B827" s="27"/>
      <c r="C827" s="27"/>
      <c r="D827" s="27"/>
      <c r="E827" s="27"/>
      <c r="F827" s="34"/>
      <c r="G827" s="27"/>
      <c r="H827" s="27"/>
      <c r="I827" s="28" t="str">
        <f aca="false">IF(C827="","",IFERROR(INDEX(Settings!$C$8:$C$19,MATCH(C827,Settings!$B$8:$B$19,0)),"?"))</f>
        <v/>
      </c>
      <c r="J827" s="28" t="str">
        <f aca="false">IF(G827="","",IFERROR(INDEX(Settings!$C$8:$C$19,MATCH(G827,Settings!$B$8:$B$19,0)),"?"))</f>
        <v/>
      </c>
      <c r="K827" s="35" t="str">
        <f aca="false">IF(A827="","",DATE(YEAR(A827),MONTH(A827),1))</f>
        <v/>
      </c>
      <c r="L827" s="28" t="str">
        <f aca="false">IF(E827="","",IFERROR(INDEX(Settings!$K$8:$K$38,MATCH(E827,Settings!$H$8:$H$38,0))&amp;"",""))</f>
        <v/>
      </c>
    </row>
    <row r="828" customFormat="false" ht="15" hidden="false" customHeight="false" outlineLevel="0" collapsed="false">
      <c r="A828" s="33"/>
      <c r="B828" s="27"/>
      <c r="C828" s="27"/>
      <c r="D828" s="27"/>
      <c r="E828" s="27"/>
      <c r="F828" s="34"/>
      <c r="G828" s="27"/>
      <c r="H828" s="27"/>
      <c r="I828" s="28" t="str">
        <f aca="false">IF(C828="","",IFERROR(INDEX(Settings!$C$8:$C$19,MATCH(C828,Settings!$B$8:$B$19,0)),"?"))</f>
        <v/>
      </c>
      <c r="J828" s="28" t="str">
        <f aca="false">IF(G828="","",IFERROR(INDEX(Settings!$C$8:$C$19,MATCH(G828,Settings!$B$8:$B$19,0)),"?"))</f>
        <v/>
      </c>
      <c r="K828" s="35" t="str">
        <f aca="false">IF(A828="","",DATE(YEAR(A828),MONTH(A828),1))</f>
        <v/>
      </c>
      <c r="L828" s="28" t="str">
        <f aca="false">IF(E828="","",IFERROR(INDEX(Settings!$K$8:$K$38,MATCH(E828,Settings!$H$8:$H$38,0))&amp;"",""))</f>
        <v/>
      </c>
    </row>
    <row r="829" customFormat="false" ht="15" hidden="false" customHeight="false" outlineLevel="0" collapsed="false">
      <c r="A829" s="33"/>
      <c r="B829" s="27"/>
      <c r="C829" s="27"/>
      <c r="D829" s="27"/>
      <c r="E829" s="27"/>
      <c r="F829" s="34"/>
      <c r="G829" s="27"/>
      <c r="H829" s="27"/>
      <c r="I829" s="28" t="str">
        <f aca="false">IF(C829="","",IFERROR(INDEX(Settings!$C$8:$C$19,MATCH(C829,Settings!$B$8:$B$19,0)),"?"))</f>
        <v/>
      </c>
      <c r="J829" s="28" t="str">
        <f aca="false">IF(G829="","",IFERROR(INDEX(Settings!$C$8:$C$19,MATCH(G829,Settings!$B$8:$B$19,0)),"?"))</f>
        <v/>
      </c>
      <c r="K829" s="35" t="str">
        <f aca="false">IF(A829="","",DATE(YEAR(A829),MONTH(A829),1))</f>
        <v/>
      </c>
      <c r="L829" s="28" t="str">
        <f aca="false">IF(E829="","",IFERROR(INDEX(Settings!$K$8:$K$38,MATCH(E829,Settings!$H$8:$H$38,0))&amp;"",""))</f>
        <v/>
      </c>
    </row>
    <row r="830" customFormat="false" ht="15" hidden="false" customHeight="false" outlineLevel="0" collapsed="false">
      <c r="A830" s="33"/>
      <c r="B830" s="27"/>
      <c r="C830" s="27"/>
      <c r="D830" s="27"/>
      <c r="E830" s="27"/>
      <c r="F830" s="34"/>
      <c r="G830" s="27"/>
      <c r="H830" s="27"/>
      <c r="I830" s="28" t="str">
        <f aca="false">IF(C830="","",IFERROR(INDEX(Settings!$C$8:$C$19,MATCH(C830,Settings!$B$8:$B$19,0)),"?"))</f>
        <v/>
      </c>
      <c r="J830" s="28" t="str">
        <f aca="false">IF(G830="","",IFERROR(INDEX(Settings!$C$8:$C$19,MATCH(G830,Settings!$B$8:$B$19,0)),"?"))</f>
        <v/>
      </c>
      <c r="K830" s="35" t="str">
        <f aca="false">IF(A830="","",DATE(YEAR(A830),MONTH(A830),1))</f>
        <v/>
      </c>
      <c r="L830" s="28" t="str">
        <f aca="false">IF(E830="","",IFERROR(INDEX(Settings!$K$8:$K$38,MATCH(E830,Settings!$H$8:$H$38,0))&amp;"",""))</f>
        <v/>
      </c>
    </row>
    <row r="831" customFormat="false" ht="15" hidden="false" customHeight="false" outlineLevel="0" collapsed="false">
      <c r="A831" s="33"/>
      <c r="B831" s="27"/>
      <c r="C831" s="27"/>
      <c r="D831" s="27"/>
      <c r="E831" s="27"/>
      <c r="F831" s="34"/>
      <c r="G831" s="27"/>
      <c r="H831" s="27"/>
      <c r="I831" s="28" t="str">
        <f aca="false">IF(C831="","",IFERROR(INDEX(Settings!$C$8:$C$19,MATCH(C831,Settings!$B$8:$B$19,0)),"?"))</f>
        <v/>
      </c>
      <c r="J831" s="28" t="str">
        <f aca="false">IF(G831="","",IFERROR(INDEX(Settings!$C$8:$C$19,MATCH(G831,Settings!$B$8:$B$19,0)),"?"))</f>
        <v/>
      </c>
      <c r="K831" s="35" t="str">
        <f aca="false">IF(A831="","",DATE(YEAR(A831),MONTH(A831),1))</f>
        <v/>
      </c>
      <c r="L831" s="28" t="str">
        <f aca="false">IF(E831="","",IFERROR(INDEX(Settings!$K$8:$K$38,MATCH(E831,Settings!$H$8:$H$38,0))&amp;"",""))</f>
        <v/>
      </c>
    </row>
    <row r="832" customFormat="false" ht="15" hidden="false" customHeight="false" outlineLevel="0" collapsed="false">
      <c r="A832" s="33"/>
      <c r="B832" s="27"/>
      <c r="C832" s="27"/>
      <c r="D832" s="27"/>
      <c r="E832" s="27"/>
      <c r="F832" s="34"/>
      <c r="G832" s="27"/>
      <c r="H832" s="27"/>
      <c r="I832" s="28" t="str">
        <f aca="false">IF(C832="","",IFERROR(INDEX(Settings!$C$8:$C$19,MATCH(C832,Settings!$B$8:$B$19,0)),"?"))</f>
        <v/>
      </c>
      <c r="J832" s="28" t="str">
        <f aca="false">IF(G832="","",IFERROR(INDEX(Settings!$C$8:$C$19,MATCH(G832,Settings!$B$8:$B$19,0)),"?"))</f>
        <v/>
      </c>
      <c r="K832" s="35" t="str">
        <f aca="false">IF(A832="","",DATE(YEAR(A832),MONTH(A832),1))</f>
        <v/>
      </c>
      <c r="L832" s="28" t="str">
        <f aca="false">IF(E832="","",IFERROR(INDEX(Settings!$K$8:$K$38,MATCH(E832,Settings!$H$8:$H$38,0))&amp;"",""))</f>
        <v/>
      </c>
    </row>
    <row r="833" customFormat="false" ht="15" hidden="false" customHeight="false" outlineLevel="0" collapsed="false">
      <c r="A833" s="33"/>
      <c r="B833" s="27"/>
      <c r="C833" s="27"/>
      <c r="D833" s="27"/>
      <c r="E833" s="27"/>
      <c r="F833" s="34"/>
      <c r="G833" s="27"/>
      <c r="H833" s="27"/>
      <c r="I833" s="28" t="str">
        <f aca="false">IF(C833="","",IFERROR(INDEX(Settings!$C$8:$C$19,MATCH(C833,Settings!$B$8:$B$19,0)),"?"))</f>
        <v/>
      </c>
      <c r="J833" s="28" t="str">
        <f aca="false">IF(G833="","",IFERROR(INDEX(Settings!$C$8:$C$19,MATCH(G833,Settings!$B$8:$B$19,0)),"?"))</f>
        <v/>
      </c>
      <c r="K833" s="35" t="str">
        <f aca="false">IF(A833="","",DATE(YEAR(A833),MONTH(A833),1))</f>
        <v/>
      </c>
      <c r="L833" s="28" t="str">
        <f aca="false">IF(E833="","",IFERROR(INDEX(Settings!$K$8:$K$38,MATCH(E833,Settings!$H$8:$H$38,0))&amp;"",""))</f>
        <v/>
      </c>
    </row>
    <row r="834" customFormat="false" ht="15" hidden="false" customHeight="false" outlineLevel="0" collapsed="false">
      <c r="A834" s="33"/>
      <c r="B834" s="27"/>
      <c r="C834" s="27"/>
      <c r="D834" s="27"/>
      <c r="E834" s="27"/>
      <c r="F834" s="34"/>
      <c r="G834" s="27"/>
      <c r="H834" s="27"/>
      <c r="I834" s="28" t="str">
        <f aca="false">IF(C834="","",IFERROR(INDEX(Settings!$C$8:$C$19,MATCH(C834,Settings!$B$8:$B$19,0)),"?"))</f>
        <v/>
      </c>
      <c r="J834" s="28" t="str">
        <f aca="false">IF(G834="","",IFERROR(INDEX(Settings!$C$8:$C$19,MATCH(G834,Settings!$B$8:$B$19,0)),"?"))</f>
        <v/>
      </c>
      <c r="K834" s="35" t="str">
        <f aca="false">IF(A834="","",DATE(YEAR(A834),MONTH(A834),1))</f>
        <v/>
      </c>
      <c r="L834" s="28" t="str">
        <f aca="false">IF(E834="","",IFERROR(INDEX(Settings!$K$8:$K$38,MATCH(E834,Settings!$H$8:$H$38,0))&amp;"",""))</f>
        <v/>
      </c>
    </row>
    <row r="835" customFormat="false" ht="15" hidden="false" customHeight="false" outlineLevel="0" collapsed="false">
      <c r="A835" s="33"/>
      <c r="B835" s="27"/>
      <c r="C835" s="27"/>
      <c r="D835" s="27"/>
      <c r="E835" s="27"/>
      <c r="F835" s="34"/>
      <c r="G835" s="27"/>
      <c r="H835" s="27"/>
      <c r="I835" s="28" t="str">
        <f aca="false">IF(C835="","",IFERROR(INDEX(Settings!$C$8:$C$19,MATCH(C835,Settings!$B$8:$B$19,0)),"?"))</f>
        <v/>
      </c>
      <c r="J835" s="28" t="str">
        <f aca="false">IF(G835="","",IFERROR(INDEX(Settings!$C$8:$C$19,MATCH(G835,Settings!$B$8:$B$19,0)),"?"))</f>
        <v/>
      </c>
      <c r="K835" s="35" t="str">
        <f aca="false">IF(A835="","",DATE(YEAR(A835),MONTH(A835),1))</f>
        <v/>
      </c>
      <c r="L835" s="28" t="str">
        <f aca="false">IF(E835="","",IFERROR(INDEX(Settings!$K$8:$K$38,MATCH(E835,Settings!$H$8:$H$38,0))&amp;"",""))</f>
        <v/>
      </c>
    </row>
    <row r="836" customFormat="false" ht="15" hidden="false" customHeight="false" outlineLevel="0" collapsed="false">
      <c r="A836" s="33"/>
      <c r="B836" s="27"/>
      <c r="C836" s="27"/>
      <c r="D836" s="27"/>
      <c r="E836" s="27"/>
      <c r="F836" s="34"/>
      <c r="G836" s="27"/>
      <c r="H836" s="27"/>
      <c r="I836" s="28" t="str">
        <f aca="false">IF(C836="","",IFERROR(INDEX(Settings!$C$8:$C$19,MATCH(C836,Settings!$B$8:$B$19,0)),"?"))</f>
        <v/>
      </c>
      <c r="J836" s="28" t="str">
        <f aca="false">IF(G836="","",IFERROR(INDEX(Settings!$C$8:$C$19,MATCH(G836,Settings!$B$8:$B$19,0)),"?"))</f>
        <v/>
      </c>
      <c r="K836" s="35" t="str">
        <f aca="false">IF(A836="","",DATE(YEAR(A836),MONTH(A836),1))</f>
        <v/>
      </c>
      <c r="L836" s="28" t="str">
        <f aca="false">IF(E836="","",IFERROR(INDEX(Settings!$K$8:$K$38,MATCH(E836,Settings!$H$8:$H$38,0))&amp;"",""))</f>
        <v/>
      </c>
    </row>
    <row r="837" customFormat="false" ht="15" hidden="false" customHeight="false" outlineLevel="0" collapsed="false">
      <c r="A837" s="33"/>
      <c r="B837" s="27"/>
      <c r="C837" s="27"/>
      <c r="D837" s="27"/>
      <c r="E837" s="27"/>
      <c r="F837" s="34"/>
      <c r="G837" s="27"/>
      <c r="H837" s="27"/>
      <c r="I837" s="28" t="str">
        <f aca="false">IF(C837="","",IFERROR(INDEX(Settings!$C$8:$C$19,MATCH(C837,Settings!$B$8:$B$19,0)),"?"))</f>
        <v/>
      </c>
      <c r="J837" s="28" t="str">
        <f aca="false">IF(G837="","",IFERROR(INDEX(Settings!$C$8:$C$19,MATCH(G837,Settings!$B$8:$B$19,0)),"?"))</f>
        <v/>
      </c>
      <c r="K837" s="35" t="str">
        <f aca="false">IF(A837="","",DATE(YEAR(A837),MONTH(A837),1))</f>
        <v/>
      </c>
      <c r="L837" s="28" t="str">
        <f aca="false">IF(E837="","",IFERROR(INDEX(Settings!$K$8:$K$38,MATCH(E837,Settings!$H$8:$H$38,0))&amp;"",""))</f>
        <v/>
      </c>
    </row>
    <row r="838" customFormat="false" ht="15" hidden="false" customHeight="false" outlineLevel="0" collapsed="false">
      <c r="A838" s="33"/>
      <c r="B838" s="27"/>
      <c r="C838" s="27"/>
      <c r="D838" s="27"/>
      <c r="E838" s="27"/>
      <c r="F838" s="34"/>
      <c r="G838" s="27"/>
      <c r="H838" s="27"/>
      <c r="I838" s="28" t="str">
        <f aca="false">IF(C838="","",IFERROR(INDEX(Settings!$C$8:$C$19,MATCH(C838,Settings!$B$8:$B$19,0)),"?"))</f>
        <v/>
      </c>
      <c r="J838" s="28" t="str">
        <f aca="false">IF(G838="","",IFERROR(INDEX(Settings!$C$8:$C$19,MATCH(G838,Settings!$B$8:$B$19,0)),"?"))</f>
        <v/>
      </c>
      <c r="K838" s="35" t="str">
        <f aca="false">IF(A838="","",DATE(YEAR(A838),MONTH(A838),1))</f>
        <v/>
      </c>
      <c r="L838" s="28" t="str">
        <f aca="false">IF(E838="","",IFERROR(INDEX(Settings!$K$8:$K$38,MATCH(E838,Settings!$H$8:$H$38,0))&amp;"",""))</f>
        <v/>
      </c>
    </row>
    <row r="839" customFormat="false" ht="15" hidden="false" customHeight="false" outlineLevel="0" collapsed="false">
      <c r="A839" s="33"/>
      <c r="B839" s="27"/>
      <c r="C839" s="27"/>
      <c r="D839" s="27"/>
      <c r="E839" s="27"/>
      <c r="F839" s="34"/>
      <c r="G839" s="27"/>
      <c r="H839" s="27"/>
      <c r="I839" s="28" t="str">
        <f aca="false">IF(C839="","",IFERROR(INDEX(Settings!$C$8:$C$19,MATCH(C839,Settings!$B$8:$B$19,0)),"?"))</f>
        <v/>
      </c>
      <c r="J839" s="28" t="str">
        <f aca="false">IF(G839="","",IFERROR(INDEX(Settings!$C$8:$C$19,MATCH(G839,Settings!$B$8:$B$19,0)),"?"))</f>
        <v/>
      </c>
      <c r="K839" s="35" t="str">
        <f aca="false">IF(A839="","",DATE(YEAR(A839),MONTH(A839),1))</f>
        <v/>
      </c>
      <c r="L839" s="28" t="str">
        <f aca="false">IF(E839="","",IFERROR(INDEX(Settings!$K$8:$K$38,MATCH(E839,Settings!$H$8:$H$38,0))&amp;"",""))</f>
        <v/>
      </c>
    </row>
    <row r="840" customFormat="false" ht="15" hidden="false" customHeight="false" outlineLevel="0" collapsed="false">
      <c r="A840" s="33"/>
      <c r="B840" s="27"/>
      <c r="C840" s="27"/>
      <c r="D840" s="27"/>
      <c r="E840" s="27"/>
      <c r="F840" s="34"/>
      <c r="G840" s="27"/>
      <c r="H840" s="27"/>
      <c r="I840" s="28" t="str">
        <f aca="false">IF(C840="","",IFERROR(INDEX(Settings!$C$8:$C$19,MATCH(C840,Settings!$B$8:$B$19,0)),"?"))</f>
        <v/>
      </c>
      <c r="J840" s="28" t="str">
        <f aca="false">IF(G840="","",IFERROR(INDEX(Settings!$C$8:$C$19,MATCH(G840,Settings!$B$8:$B$19,0)),"?"))</f>
        <v/>
      </c>
      <c r="K840" s="35" t="str">
        <f aca="false">IF(A840="","",DATE(YEAR(A840),MONTH(A840),1))</f>
        <v/>
      </c>
      <c r="L840" s="28" t="str">
        <f aca="false">IF(E840="","",IFERROR(INDEX(Settings!$K$8:$K$38,MATCH(E840,Settings!$H$8:$H$38,0))&amp;"",""))</f>
        <v/>
      </c>
    </row>
    <row r="841" customFormat="false" ht="15" hidden="false" customHeight="false" outlineLevel="0" collapsed="false">
      <c r="A841" s="33"/>
      <c r="B841" s="27"/>
      <c r="C841" s="27"/>
      <c r="D841" s="27"/>
      <c r="E841" s="27"/>
      <c r="F841" s="34"/>
      <c r="G841" s="27"/>
      <c r="H841" s="27"/>
      <c r="I841" s="28" t="str">
        <f aca="false">IF(C841="","",IFERROR(INDEX(Settings!$C$8:$C$19,MATCH(C841,Settings!$B$8:$B$19,0)),"?"))</f>
        <v/>
      </c>
      <c r="J841" s="28" t="str">
        <f aca="false">IF(G841="","",IFERROR(INDEX(Settings!$C$8:$C$19,MATCH(G841,Settings!$B$8:$B$19,0)),"?"))</f>
        <v/>
      </c>
      <c r="K841" s="35" t="str">
        <f aca="false">IF(A841="","",DATE(YEAR(A841),MONTH(A841),1))</f>
        <v/>
      </c>
      <c r="L841" s="28" t="str">
        <f aca="false">IF(E841="","",IFERROR(INDEX(Settings!$K$8:$K$38,MATCH(E841,Settings!$H$8:$H$38,0))&amp;"",""))</f>
        <v/>
      </c>
    </row>
    <row r="842" customFormat="false" ht="15" hidden="false" customHeight="false" outlineLevel="0" collapsed="false">
      <c r="A842" s="33"/>
      <c r="B842" s="27"/>
      <c r="C842" s="27"/>
      <c r="D842" s="27"/>
      <c r="E842" s="27"/>
      <c r="F842" s="34"/>
      <c r="G842" s="27"/>
      <c r="H842" s="27"/>
      <c r="I842" s="28" t="str">
        <f aca="false">IF(C842="","",IFERROR(INDEX(Settings!$C$8:$C$19,MATCH(C842,Settings!$B$8:$B$19,0)),"?"))</f>
        <v/>
      </c>
      <c r="J842" s="28" t="str">
        <f aca="false">IF(G842="","",IFERROR(INDEX(Settings!$C$8:$C$19,MATCH(G842,Settings!$B$8:$B$19,0)),"?"))</f>
        <v/>
      </c>
      <c r="K842" s="35" t="str">
        <f aca="false">IF(A842="","",DATE(YEAR(A842),MONTH(A842),1))</f>
        <v/>
      </c>
      <c r="L842" s="28" t="str">
        <f aca="false">IF(E842="","",IFERROR(INDEX(Settings!$K$8:$K$38,MATCH(E842,Settings!$H$8:$H$38,0))&amp;"",""))</f>
        <v/>
      </c>
    </row>
    <row r="843" customFormat="false" ht="15" hidden="false" customHeight="false" outlineLevel="0" collapsed="false">
      <c r="A843" s="33"/>
      <c r="B843" s="27"/>
      <c r="C843" s="27"/>
      <c r="D843" s="27"/>
      <c r="E843" s="27"/>
      <c r="F843" s="34"/>
      <c r="G843" s="27"/>
      <c r="H843" s="27"/>
      <c r="I843" s="28" t="str">
        <f aca="false">IF(C843="","",IFERROR(INDEX(Settings!$C$8:$C$19,MATCH(C843,Settings!$B$8:$B$19,0)),"?"))</f>
        <v/>
      </c>
      <c r="J843" s="28" t="str">
        <f aca="false">IF(G843="","",IFERROR(INDEX(Settings!$C$8:$C$19,MATCH(G843,Settings!$B$8:$B$19,0)),"?"))</f>
        <v/>
      </c>
      <c r="K843" s="35" t="str">
        <f aca="false">IF(A843="","",DATE(YEAR(A843),MONTH(A843),1))</f>
        <v/>
      </c>
      <c r="L843" s="28" t="str">
        <f aca="false">IF(E843="","",IFERROR(INDEX(Settings!$K$8:$K$38,MATCH(E843,Settings!$H$8:$H$38,0))&amp;"",""))</f>
        <v/>
      </c>
    </row>
    <row r="844" customFormat="false" ht="15" hidden="false" customHeight="false" outlineLevel="0" collapsed="false">
      <c r="A844" s="33"/>
      <c r="B844" s="27"/>
      <c r="C844" s="27"/>
      <c r="D844" s="27"/>
      <c r="E844" s="27"/>
      <c r="F844" s="34"/>
      <c r="G844" s="27"/>
      <c r="H844" s="27"/>
      <c r="I844" s="28" t="str">
        <f aca="false">IF(C844="","",IFERROR(INDEX(Settings!$C$8:$C$19,MATCH(C844,Settings!$B$8:$B$19,0)),"?"))</f>
        <v/>
      </c>
      <c r="J844" s="28" t="str">
        <f aca="false">IF(G844="","",IFERROR(INDEX(Settings!$C$8:$C$19,MATCH(G844,Settings!$B$8:$B$19,0)),"?"))</f>
        <v/>
      </c>
      <c r="K844" s="35" t="str">
        <f aca="false">IF(A844="","",DATE(YEAR(A844),MONTH(A844),1))</f>
        <v/>
      </c>
      <c r="L844" s="28" t="str">
        <f aca="false">IF(E844="","",IFERROR(INDEX(Settings!$K$8:$K$38,MATCH(E844,Settings!$H$8:$H$38,0))&amp;"",""))</f>
        <v/>
      </c>
    </row>
    <row r="845" customFormat="false" ht="15" hidden="false" customHeight="false" outlineLevel="0" collapsed="false">
      <c r="A845" s="33"/>
      <c r="B845" s="27"/>
      <c r="C845" s="27"/>
      <c r="D845" s="27"/>
      <c r="E845" s="27"/>
      <c r="F845" s="34"/>
      <c r="G845" s="27"/>
      <c r="H845" s="27"/>
      <c r="I845" s="28" t="str">
        <f aca="false">IF(C845="","",IFERROR(INDEX(Settings!$C$8:$C$19,MATCH(C845,Settings!$B$8:$B$19,0)),"?"))</f>
        <v/>
      </c>
      <c r="J845" s="28" t="str">
        <f aca="false">IF(G845="","",IFERROR(INDEX(Settings!$C$8:$C$19,MATCH(G845,Settings!$B$8:$B$19,0)),"?"))</f>
        <v/>
      </c>
      <c r="K845" s="35" t="str">
        <f aca="false">IF(A845="","",DATE(YEAR(A845),MONTH(A845),1))</f>
        <v/>
      </c>
      <c r="L845" s="28" t="str">
        <f aca="false">IF(E845="","",IFERROR(INDEX(Settings!$K$8:$K$38,MATCH(E845,Settings!$H$8:$H$38,0))&amp;"",""))</f>
        <v/>
      </c>
    </row>
    <row r="846" customFormat="false" ht="15" hidden="false" customHeight="false" outlineLevel="0" collapsed="false">
      <c r="A846" s="33"/>
      <c r="B846" s="27"/>
      <c r="C846" s="27"/>
      <c r="D846" s="27"/>
      <c r="E846" s="27"/>
      <c r="F846" s="34"/>
      <c r="G846" s="27"/>
      <c r="H846" s="27"/>
      <c r="I846" s="28" t="str">
        <f aca="false">IF(C846="","",IFERROR(INDEX(Settings!$C$8:$C$19,MATCH(C846,Settings!$B$8:$B$19,0)),"?"))</f>
        <v/>
      </c>
      <c r="J846" s="28" t="str">
        <f aca="false">IF(G846="","",IFERROR(INDEX(Settings!$C$8:$C$19,MATCH(G846,Settings!$B$8:$B$19,0)),"?"))</f>
        <v/>
      </c>
      <c r="K846" s="35" t="str">
        <f aca="false">IF(A846="","",DATE(YEAR(A846),MONTH(A846),1))</f>
        <v/>
      </c>
      <c r="L846" s="28" t="str">
        <f aca="false">IF(E846="","",IFERROR(INDEX(Settings!$K$8:$K$38,MATCH(E846,Settings!$H$8:$H$38,0))&amp;"",""))</f>
        <v/>
      </c>
    </row>
    <row r="847" customFormat="false" ht="15" hidden="false" customHeight="false" outlineLevel="0" collapsed="false">
      <c r="A847" s="33"/>
      <c r="B847" s="27"/>
      <c r="C847" s="27"/>
      <c r="D847" s="27"/>
      <c r="E847" s="27"/>
      <c r="F847" s="34"/>
      <c r="G847" s="27"/>
      <c r="H847" s="27"/>
      <c r="I847" s="28" t="str">
        <f aca="false">IF(C847="","",IFERROR(INDEX(Settings!$C$8:$C$19,MATCH(C847,Settings!$B$8:$B$19,0)),"?"))</f>
        <v/>
      </c>
      <c r="J847" s="28" t="str">
        <f aca="false">IF(G847="","",IFERROR(INDEX(Settings!$C$8:$C$19,MATCH(G847,Settings!$B$8:$B$19,0)),"?"))</f>
        <v/>
      </c>
      <c r="K847" s="35" t="str">
        <f aca="false">IF(A847="","",DATE(YEAR(A847),MONTH(A847),1))</f>
        <v/>
      </c>
      <c r="L847" s="28" t="str">
        <f aca="false">IF(E847="","",IFERROR(INDEX(Settings!$K$8:$K$38,MATCH(E847,Settings!$H$8:$H$38,0))&amp;"",""))</f>
        <v/>
      </c>
    </row>
    <row r="848" customFormat="false" ht="15" hidden="false" customHeight="false" outlineLevel="0" collapsed="false">
      <c r="A848" s="33"/>
      <c r="B848" s="27"/>
      <c r="C848" s="27"/>
      <c r="D848" s="27"/>
      <c r="E848" s="27"/>
      <c r="F848" s="34"/>
      <c r="G848" s="27"/>
      <c r="H848" s="27"/>
      <c r="I848" s="28" t="str">
        <f aca="false">IF(C848="","",IFERROR(INDEX(Settings!$C$8:$C$19,MATCH(C848,Settings!$B$8:$B$19,0)),"?"))</f>
        <v/>
      </c>
      <c r="J848" s="28" t="str">
        <f aca="false">IF(G848="","",IFERROR(INDEX(Settings!$C$8:$C$19,MATCH(G848,Settings!$B$8:$B$19,0)),"?"))</f>
        <v/>
      </c>
      <c r="K848" s="35" t="str">
        <f aca="false">IF(A848="","",DATE(YEAR(A848),MONTH(A848),1))</f>
        <v/>
      </c>
      <c r="L848" s="28" t="str">
        <f aca="false">IF(E848="","",IFERROR(INDEX(Settings!$K$8:$K$38,MATCH(E848,Settings!$H$8:$H$38,0))&amp;"",""))</f>
        <v/>
      </c>
    </row>
    <row r="849" customFormat="false" ht="15" hidden="false" customHeight="false" outlineLevel="0" collapsed="false">
      <c r="A849" s="33"/>
      <c r="B849" s="27"/>
      <c r="C849" s="27"/>
      <c r="D849" s="27"/>
      <c r="E849" s="27"/>
      <c r="F849" s="34"/>
      <c r="G849" s="27"/>
      <c r="H849" s="27"/>
      <c r="I849" s="28" t="str">
        <f aca="false">IF(C849="","",IFERROR(INDEX(Settings!$C$8:$C$19,MATCH(C849,Settings!$B$8:$B$19,0)),"?"))</f>
        <v/>
      </c>
      <c r="J849" s="28" t="str">
        <f aca="false">IF(G849="","",IFERROR(INDEX(Settings!$C$8:$C$19,MATCH(G849,Settings!$B$8:$B$19,0)),"?"))</f>
        <v/>
      </c>
      <c r="K849" s="35" t="str">
        <f aca="false">IF(A849="","",DATE(YEAR(A849),MONTH(A849),1))</f>
        <v/>
      </c>
      <c r="L849" s="28" t="str">
        <f aca="false">IF(E849="","",IFERROR(INDEX(Settings!$K$8:$K$38,MATCH(E849,Settings!$H$8:$H$38,0))&amp;"",""))</f>
        <v/>
      </c>
    </row>
    <row r="850" customFormat="false" ht="15" hidden="false" customHeight="false" outlineLevel="0" collapsed="false">
      <c r="A850" s="33"/>
      <c r="B850" s="27"/>
      <c r="C850" s="27"/>
      <c r="D850" s="27"/>
      <c r="E850" s="27"/>
      <c r="F850" s="34"/>
      <c r="G850" s="27"/>
      <c r="H850" s="27"/>
      <c r="I850" s="28" t="str">
        <f aca="false">IF(C850="","",IFERROR(INDEX(Settings!$C$8:$C$19,MATCH(C850,Settings!$B$8:$B$19,0)),"?"))</f>
        <v/>
      </c>
      <c r="J850" s="28" t="str">
        <f aca="false">IF(G850="","",IFERROR(INDEX(Settings!$C$8:$C$19,MATCH(G850,Settings!$B$8:$B$19,0)),"?"))</f>
        <v/>
      </c>
      <c r="K850" s="35" t="str">
        <f aca="false">IF(A850="","",DATE(YEAR(A850),MONTH(A850),1))</f>
        <v/>
      </c>
      <c r="L850" s="28" t="str">
        <f aca="false">IF(E850="","",IFERROR(INDEX(Settings!$K$8:$K$38,MATCH(E850,Settings!$H$8:$H$38,0))&amp;"",""))</f>
        <v/>
      </c>
    </row>
    <row r="851" customFormat="false" ht="15" hidden="false" customHeight="false" outlineLevel="0" collapsed="false">
      <c r="A851" s="33"/>
      <c r="B851" s="27"/>
      <c r="C851" s="27"/>
      <c r="D851" s="27"/>
      <c r="E851" s="27"/>
      <c r="F851" s="34"/>
      <c r="G851" s="27"/>
      <c r="H851" s="27"/>
      <c r="I851" s="28" t="str">
        <f aca="false">IF(C851="","",IFERROR(INDEX(Settings!$C$8:$C$19,MATCH(C851,Settings!$B$8:$B$19,0)),"?"))</f>
        <v/>
      </c>
      <c r="J851" s="28" t="str">
        <f aca="false">IF(G851="","",IFERROR(INDEX(Settings!$C$8:$C$19,MATCH(G851,Settings!$B$8:$B$19,0)),"?"))</f>
        <v/>
      </c>
      <c r="K851" s="35" t="str">
        <f aca="false">IF(A851="","",DATE(YEAR(A851),MONTH(A851),1))</f>
        <v/>
      </c>
      <c r="L851" s="28" t="str">
        <f aca="false">IF(E851="","",IFERROR(INDEX(Settings!$K$8:$K$38,MATCH(E851,Settings!$H$8:$H$38,0))&amp;"",""))</f>
        <v/>
      </c>
    </row>
    <row r="852" customFormat="false" ht="15" hidden="false" customHeight="false" outlineLevel="0" collapsed="false">
      <c r="A852" s="33"/>
      <c r="B852" s="27"/>
      <c r="C852" s="27"/>
      <c r="D852" s="27"/>
      <c r="E852" s="27"/>
      <c r="F852" s="34"/>
      <c r="G852" s="27"/>
      <c r="H852" s="27"/>
      <c r="I852" s="28" t="str">
        <f aca="false">IF(C852="","",IFERROR(INDEX(Settings!$C$8:$C$19,MATCH(C852,Settings!$B$8:$B$19,0)),"?"))</f>
        <v/>
      </c>
      <c r="J852" s="28" t="str">
        <f aca="false">IF(G852="","",IFERROR(INDEX(Settings!$C$8:$C$19,MATCH(G852,Settings!$B$8:$B$19,0)),"?"))</f>
        <v/>
      </c>
      <c r="K852" s="35" t="str">
        <f aca="false">IF(A852="","",DATE(YEAR(A852),MONTH(A852),1))</f>
        <v/>
      </c>
      <c r="L852" s="28" t="str">
        <f aca="false">IF(E852="","",IFERROR(INDEX(Settings!$K$8:$K$38,MATCH(E852,Settings!$H$8:$H$38,0))&amp;"",""))</f>
        <v/>
      </c>
    </row>
    <row r="853" customFormat="false" ht="15" hidden="false" customHeight="false" outlineLevel="0" collapsed="false">
      <c r="A853" s="33"/>
      <c r="B853" s="27"/>
      <c r="C853" s="27"/>
      <c r="D853" s="27"/>
      <c r="E853" s="27"/>
      <c r="F853" s="34"/>
      <c r="G853" s="27"/>
      <c r="H853" s="27"/>
      <c r="I853" s="28" t="str">
        <f aca="false">IF(C853="","",IFERROR(INDEX(Settings!$C$8:$C$19,MATCH(C853,Settings!$B$8:$B$19,0)),"?"))</f>
        <v/>
      </c>
      <c r="J853" s="28" t="str">
        <f aca="false">IF(G853="","",IFERROR(INDEX(Settings!$C$8:$C$19,MATCH(G853,Settings!$B$8:$B$19,0)),"?"))</f>
        <v/>
      </c>
      <c r="K853" s="35" t="str">
        <f aca="false">IF(A853="","",DATE(YEAR(A853),MONTH(A853),1))</f>
        <v/>
      </c>
      <c r="L853" s="28" t="str">
        <f aca="false">IF(E853="","",IFERROR(INDEX(Settings!$K$8:$K$38,MATCH(E853,Settings!$H$8:$H$38,0))&amp;"",""))</f>
        <v/>
      </c>
    </row>
    <row r="854" customFormat="false" ht="15" hidden="false" customHeight="false" outlineLevel="0" collapsed="false">
      <c r="A854" s="33"/>
      <c r="B854" s="27"/>
      <c r="C854" s="27"/>
      <c r="D854" s="27"/>
      <c r="E854" s="27"/>
      <c r="F854" s="34"/>
      <c r="G854" s="27"/>
      <c r="H854" s="27"/>
      <c r="I854" s="28" t="str">
        <f aca="false">IF(C854="","",IFERROR(INDEX(Settings!$C$8:$C$19,MATCH(C854,Settings!$B$8:$B$19,0)),"?"))</f>
        <v/>
      </c>
      <c r="J854" s="28" t="str">
        <f aca="false">IF(G854="","",IFERROR(INDEX(Settings!$C$8:$C$19,MATCH(G854,Settings!$B$8:$B$19,0)),"?"))</f>
        <v/>
      </c>
      <c r="K854" s="35" t="str">
        <f aca="false">IF(A854="","",DATE(YEAR(A854),MONTH(A854),1))</f>
        <v/>
      </c>
      <c r="L854" s="28" t="str">
        <f aca="false">IF(E854="","",IFERROR(INDEX(Settings!$K$8:$K$38,MATCH(E854,Settings!$H$8:$H$38,0))&amp;"",""))</f>
        <v/>
      </c>
    </row>
    <row r="855" customFormat="false" ht="15" hidden="false" customHeight="false" outlineLevel="0" collapsed="false">
      <c r="A855" s="33"/>
      <c r="B855" s="27"/>
      <c r="C855" s="27"/>
      <c r="D855" s="27"/>
      <c r="E855" s="27"/>
      <c r="F855" s="34"/>
      <c r="G855" s="27"/>
      <c r="H855" s="27"/>
      <c r="I855" s="28" t="str">
        <f aca="false">IF(C855="","",IFERROR(INDEX(Settings!$C$8:$C$19,MATCH(C855,Settings!$B$8:$B$19,0)),"?"))</f>
        <v/>
      </c>
      <c r="J855" s="28" t="str">
        <f aca="false">IF(G855="","",IFERROR(INDEX(Settings!$C$8:$C$19,MATCH(G855,Settings!$B$8:$B$19,0)),"?"))</f>
        <v/>
      </c>
      <c r="K855" s="35" t="str">
        <f aca="false">IF(A855="","",DATE(YEAR(A855),MONTH(A855),1))</f>
        <v/>
      </c>
      <c r="L855" s="28" t="str">
        <f aca="false">IF(E855="","",IFERROR(INDEX(Settings!$K$8:$K$38,MATCH(E855,Settings!$H$8:$H$38,0))&amp;"",""))</f>
        <v/>
      </c>
    </row>
    <row r="856" customFormat="false" ht="15" hidden="false" customHeight="false" outlineLevel="0" collapsed="false">
      <c r="A856" s="33"/>
      <c r="B856" s="27"/>
      <c r="C856" s="27"/>
      <c r="D856" s="27"/>
      <c r="E856" s="27"/>
      <c r="F856" s="34"/>
      <c r="G856" s="27"/>
      <c r="H856" s="27"/>
      <c r="I856" s="28" t="str">
        <f aca="false">IF(C856="","",IFERROR(INDEX(Settings!$C$8:$C$19,MATCH(C856,Settings!$B$8:$B$19,0)),"?"))</f>
        <v/>
      </c>
      <c r="J856" s="28" t="str">
        <f aca="false">IF(G856="","",IFERROR(INDEX(Settings!$C$8:$C$19,MATCH(G856,Settings!$B$8:$B$19,0)),"?"))</f>
        <v/>
      </c>
      <c r="K856" s="35" t="str">
        <f aca="false">IF(A856="","",DATE(YEAR(A856),MONTH(A856),1))</f>
        <v/>
      </c>
      <c r="L856" s="28" t="str">
        <f aca="false">IF(E856="","",IFERROR(INDEX(Settings!$K$8:$K$38,MATCH(E856,Settings!$H$8:$H$38,0))&amp;"",""))</f>
        <v/>
      </c>
    </row>
    <row r="857" customFormat="false" ht="15" hidden="false" customHeight="false" outlineLevel="0" collapsed="false">
      <c r="A857" s="33"/>
      <c r="B857" s="27"/>
      <c r="C857" s="27"/>
      <c r="D857" s="27"/>
      <c r="E857" s="27"/>
      <c r="F857" s="34"/>
      <c r="G857" s="27"/>
      <c r="H857" s="27"/>
      <c r="I857" s="28" t="str">
        <f aca="false">IF(C857="","",IFERROR(INDEX(Settings!$C$8:$C$19,MATCH(C857,Settings!$B$8:$B$19,0)),"?"))</f>
        <v/>
      </c>
      <c r="J857" s="28" t="str">
        <f aca="false">IF(G857="","",IFERROR(INDEX(Settings!$C$8:$C$19,MATCH(G857,Settings!$B$8:$B$19,0)),"?"))</f>
        <v/>
      </c>
      <c r="K857" s="35" t="str">
        <f aca="false">IF(A857="","",DATE(YEAR(A857),MONTH(A857),1))</f>
        <v/>
      </c>
      <c r="L857" s="28" t="str">
        <f aca="false">IF(E857="","",IFERROR(INDEX(Settings!$K$8:$K$38,MATCH(E857,Settings!$H$8:$H$38,0))&amp;"",""))</f>
        <v/>
      </c>
    </row>
    <row r="858" customFormat="false" ht="15" hidden="false" customHeight="false" outlineLevel="0" collapsed="false">
      <c r="A858" s="33"/>
      <c r="B858" s="27"/>
      <c r="C858" s="27"/>
      <c r="D858" s="27"/>
      <c r="E858" s="27"/>
      <c r="F858" s="34"/>
      <c r="G858" s="27"/>
      <c r="H858" s="27"/>
      <c r="I858" s="28" t="str">
        <f aca="false">IF(C858="","",IFERROR(INDEX(Settings!$C$8:$C$19,MATCH(C858,Settings!$B$8:$B$19,0)),"?"))</f>
        <v/>
      </c>
      <c r="J858" s="28" t="str">
        <f aca="false">IF(G858="","",IFERROR(INDEX(Settings!$C$8:$C$19,MATCH(G858,Settings!$B$8:$B$19,0)),"?"))</f>
        <v/>
      </c>
      <c r="K858" s="35" t="str">
        <f aca="false">IF(A858="","",DATE(YEAR(A858),MONTH(A858),1))</f>
        <v/>
      </c>
      <c r="L858" s="28" t="str">
        <f aca="false">IF(E858="","",IFERROR(INDEX(Settings!$K$8:$K$38,MATCH(E858,Settings!$H$8:$H$38,0))&amp;"",""))</f>
        <v/>
      </c>
    </row>
    <row r="859" customFormat="false" ht="15" hidden="false" customHeight="false" outlineLevel="0" collapsed="false">
      <c r="A859" s="33"/>
      <c r="B859" s="27"/>
      <c r="C859" s="27"/>
      <c r="D859" s="27"/>
      <c r="E859" s="27"/>
      <c r="F859" s="34"/>
      <c r="G859" s="27"/>
      <c r="H859" s="27"/>
      <c r="I859" s="28" t="str">
        <f aca="false">IF(C859="","",IFERROR(INDEX(Settings!$C$8:$C$19,MATCH(C859,Settings!$B$8:$B$19,0)),"?"))</f>
        <v/>
      </c>
      <c r="J859" s="28" t="str">
        <f aca="false">IF(G859="","",IFERROR(INDEX(Settings!$C$8:$C$19,MATCH(G859,Settings!$B$8:$B$19,0)),"?"))</f>
        <v/>
      </c>
      <c r="K859" s="35" t="str">
        <f aca="false">IF(A859="","",DATE(YEAR(A859),MONTH(A859),1))</f>
        <v/>
      </c>
      <c r="L859" s="28" t="str">
        <f aca="false">IF(E859="","",IFERROR(INDEX(Settings!$K$8:$K$38,MATCH(E859,Settings!$H$8:$H$38,0))&amp;"",""))</f>
        <v/>
      </c>
    </row>
    <row r="860" customFormat="false" ht="15" hidden="false" customHeight="false" outlineLevel="0" collapsed="false">
      <c r="A860" s="33"/>
      <c r="B860" s="27"/>
      <c r="C860" s="27"/>
      <c r="D860" s="27"/>
      <c r="E860" s="27"/>
      <c r="F860" s="34"/>
      <c r="G860" s="27"/>
      <c r="H860" s="27"/>
      <c r="I860" s="28" t="str">
        <f aca="false">IF(C860="","",IFERROR(INDEX(Settings!$C$8:$C$19,MATCH(C860,Settings!$B$8:$B$19,0)),"?"))</f>
        <v/>
      </c>
      <c r="J860" s="28" t="str">
        <f aca="false">IF(G860="","",IFERROR(INDEX(Settings!$C$8:$C$19,MATCH(G860,Settings!$B$8:$B$19,0)),"?"))</f>
        <v/>
      </c>
      <c r="K860" s="35" t="str">
        <f aca="false">IF(A860="","",DATE(YEAR(A860),MONTH(A860),1))</f>
        <v/>
      </c>
      <c r="L860" s="28" t="str">
        <f aca="false">IF(E860="","",IFERROR(INDEX(Settings!$K$8:$K$38,MATCH(E860,Settings!$H$8:$H$38,0))&amp;"",""))</f>
        <v/>
      </c>
    </row>
    <row r="861" customFormat="false" ht="15" hidden="false" customHeight="false" outlineLevel="0" collapsed="false">
      <c r="A861" s="33"/>
      <c r="B861" s="27"/>
      <c r="C861" s="27"/>
      <c r="D861" s="27"/>
      <c r="E861" s="27"/>
      <c r="F861" s="34"/>
      <c r="G861" s="27"/>
      <c r="H861" s="27"/>
      <c r="I861" s="28" t="str">
        <f aca="false">IF(C861="","",IFERROR(INDEX(Settings!$C$8:$C$19,MATCH(C861,Settings!$B$8:$B$19,0)),"?"))</f>
        <v/>
      </c>
      <c r="J861" s="28" t="str">
        <f aca="false">IF(G861="","",IFERROR(INDEX(Settings!$C$8:$C$19,MATCH(G861,Settings!$B$8:$B$19,0)),"?"))</f>
        <v/>
      </c>
      <c r="K861" s="35" t="str">
        <f aca="false">IF(A861="","",DATE(YEAR(A861),MONTH(A861),1))</f>
        <v/>
      </c>
      <c r="L861" s="28" t="str">
        <f aca="false">IF(E861="","",IFERROR(INDEX(Settings!$K$8:$K$38,MATCH(E861,Settings!$H$8:$H$38,0))&amp;"",""))</f>
        <v/>
      </c>
    </row>
    <row r="862" customFormat="false" ht="15" hidden="false" customHeight="false" outlineLevel="0" collapsed="false">
      <c r="A862" s="33"/>
      <c r="B862" s="27"/>
      <c r="C862" s="27"/>
      <c r="D862" s="27"/>
      <c r="E862" s="27"/>
      <c r="F862" s="34"/>
      <c r="G862" s="27"/>
      <c r="H862" s="27"/>
      <c r="I862" s="28" t="str">
        <f aca="false">IF(C862="","",IFERROR(INDEX(Settings!$C$8:$C$19,MATCH(C862,Settings!$B$8:$B$19,0)),"?"))</f>
        <v/>
      </c>
      <c r="J862" s="28" t="str">
        <f aca="false">IF(G862="","",IFERROR(INDEX(Settings!$C$8:$C$19,MATCH(G862,Settings!$B$8:$B$19,0)),"?"))</f>
        <v/>
      </c>
      <c r="K862" s="35" t="str">
        <f aca="false">IF(A862="","",DATE(YEAR(A862),MONTH(A862),1))</f>
        <v/>
      </c>
      <c r="L862" s="28" t="str">
        <f aca="false">IF(E862="","",IFERROR(INDEX(Settings!$K$8:$K$38,MATCH(E862,Settings!$H$8:$H$38,0))&amp;"",""))</f>
        <v/>
      </c>
    </row>
    <row r="863" customFormat="false" ht="15" hidden="false" customHeight="false" outlineLevel="0" collapsed="false">
      <c r="A863" s="33"/>
      <c r="B863" s="27"/>
      <c r="C863" s="27"/>
      <c r="D863" s="27"/>
      <c r="E863" s="27"/>
      <c r="F863" s="34"/>
      <c r="G863" s="27"/>
      <c r="H863" s="27"/>
      <c r="I863" s="28" t="str">
        <f aca="false">IF(C863="","",IFERROR(INDEX(Settings!$C$8:$C$19,MATCH(C863,Settings!$B$8:$B$19,0)),"?"))</f>
        <v/>
      </c>
      <c r="J863" s="28" t="str">
        <f aca="false">IF(G863="","",IFERROR(INDEX(Settings!$C$8:$C$19,MATCH(G863,Settings!$B$8:$B$19,0)),"?"))</f>
        <v/>
      </c>
      <c r="K863" s="35" t="str">
        <f aca="false">IF(A863="","",DATE(YEAR(A863),MONTH(A863),1))</f>
        <v/>
      </c>
      <c r="L863" s="28" t="str">
        <f aca="false">IF(E863="","",IFERROR(INDEX(Settings!$K$8:$K$38,MATCH(E863,Settings!$H$8:$H$38,0))&amp;"",""))</f>
        <v/>
      </c>
    </row>
    <row r="864" customFormat="false" ht="15" hidden="false" customHeight="false" outlineLevel="0" collapsed="false">
      <c r="A864" s="33"/>
      <c r="B864" s="27"/>
      <c r="C864" s="27"/>
      <c r="D864" s="27"/>
      <c r="E864" s="27"/>
      <c r="F864" s="34"/>
      <c r="G864" s="27"/>
      <c r="H864" s="27"/>
      <c r="I864" s="28" t="str">
        <f aca="false">IF(C864="","",IFERROR(INDEX(Settings!$C$8:$C$19,MATCH(C864,Settings!$B$8:$B$19,0)),"?"))</f>
        <v/>
      </c>
      <c r="J864" s="28" t="str">
        <f aca="false">IF(G864="","",IFERROR(INDEX(Settings!$C$8:$C$19,MATCH(G864,Settings!$B$8:$B$19,0)),"?"))</f>
        <v/>
      </c>
      <c r="K864" s="35" t="str">
        <f aca="false">IF(A864="","",DATE(YEAR(A864),MONTH(A864),1))</f>
        <v/>
      </c>
      <c r="L864" s="28" t="str">
        <f aca="false">IF(E864="","",IFERROR(INDEX(Settings!$K$8:$K$38,MATCH(E864,Settings!$H$8:$H$38,0))&amp;"",""))</f>
        <v/>
      </c>
    </row>
    <row r="865" customFormat="false" ht="15" hidden="false" customHeight="false" outlineLevel="0" collapsed="false">
      <c r="A865" s="33"/>
      <c r="B865" s="27"/>
      <c r="C865" s="27"/>
      <c r="D865" s="27"/>
      <c r="E865" s="27"/>
      <c r="F865" s="34"/>
      <c r="G865" s="27"/>
      <c r="H865" s="27"/>
      <c r="I865" s="28" t="str">
        <f aca="false">IF(C865="","",IFERROR(INDEX(Settings!$C$8:$C$19,MATCH(C865,Settings!$B$8:$B$19,0)),"?"))</f>
        <v/>
      </c>
      <c r="J865" s="28" t="str">
        <f aca="false">IF(G865="","",IFERROR(INDEX(Settings!$C$8:$C$19,MATCH(G865,Settings!$B$8:$B$19,0)),"?"))</f>
        <v/>
      </c>
      <c r="K865" s="35" t="str">
        <f aca="false">IF(A865="","",DATE(YEAR(A865),MONTH(A865),1))</f>
        <v/>
      </c>
      <c r="L865" s="28" t="str">
        <f aca="false">IF(E865="","",IFERROR(INDEX(Settings!$K$8:$K$38,MATCH(E865,Settings!$H$8:$H$38,0))&amp;"",""))</f>
        <v/>
      </c>
    </row>
    <row r="866" customFormat="false" ht="15" hidden="false" customHeight="false" outlineLevel="0" collapsed="false">
      <c r="A866" s="33"/>
      <c r="B866" s="27"/>
      <c r="C866" s="27"/>
      <c r="D866" s="27"/>
      <c r="E866" s="27"/>
      <c r="F866" s="34"/>
      <c r="G866" s="27"/>
      <c r="H866" s="27"/>
      <c r="I866" s="28" t="str">
        <f aca="false">IF(C866="","",IFERROR(INDEX(Settings!$C$8:$C$19,MATCH(C866,Settings!$B$8:$B$19,0)),"?"))</f>
        <v/>
      </c>
      <c r="J866" s="28" t="str">
        <f aca="false">IF(G866="","",IFERROR(INDEX(Settings!$C$8:$C$19,MATCH(G866,Settings!$B$8:$B$19,0)),"?"))</f>
        <v/>
      </c>
      <c r="K866" s="35" t="str">
        <f aca="false">IF(A866="","",DATE(YEAR(A866),MONTH(A866),1))</f>
        <v/>
      </c>
      <c r="L866" s="28" t="str">
        <f aca="false">IF(E866="","",IFERROR(INDEX(Settings!$K$8:$K$38,MATCH(E866,Settings!$H$8:$H$38,0))&amp;"",""))</f>
        <v/>
      </c>
    </row>
    <row r="867" customFormat="false" ht="15" hidden="false" customHeight="false" outlineLevel="0" collapsed="false">
      <c r="A867" s="33"/>
      <c r="B867" s="27"/>
      <c r="C867" s="27"/>
      <c r="D867" s="27"/>
      <c r="E867" s="27"/>
      <c r="F867" s="34"/>
      <c r="G867" s="27"/>
      <c r="H867" s="27"/>
      <c r="I867" s="28" t="str">
        <f aca="false">IF(C867="","",IFERROR(INDEX(Settings!$C$8:$C$19,MATCH(C867,Settings!$B$8:$B$19,0)),"?"))</f>
        <v/>
      </c>
      <c r="J867" s="28" t="str">
        <f aca="false">IF(G867="","",IFERROR(INDEX(Settings!$C$8:$C$19,MATCH(G867,Settings!$B$8:$B$19,0)),"?"))</f>
        <v/>
      </c>
      <c r="K867" s="35" t="str">
        <f aca="false">IF(A867="","",DATE(YEAR(A867),MONTH(A867),1))</f>
        <v/>
      </c>
      <c r="L867" s="28" t="str">
        <f aca="false">IF(E867="","",IFERROR(INDEX(Settings!$K$8:$K$38,MATCH(E867,Settings!$H$8:$H$38,0))&amp;"",""))</f>
        <v/>
      </c>
    </row>
    <row r="868" customFormat="false" ht="15" hidden="false" customHeight="false" outlineLevel="0" collapsed="false">
      <c r="A868" s="33"/>
      <c r="B868" s="27"/>
      <c r="C868" s="27"/>
      <c r="D868" s="27"/>
      <c r="E868" s="27"/>
      <c r="F868" s="34"/>
      <c r="G868" s="27"/>
      <c r="H868" s="27"/>
      <c r="I868" s="28" t="str">
        <f aca="false">IF(C868="","",IFERROR(INDEX(Settings!$C$8:$C$19,MATCH(C868,Settings!$B$8:$B$19,0)),"?"))</f>
        <v/>
      </c>
      <c r="J868" s="28" t="str">
        <f aca="false">IF(G868="","",IFERROR(INDEX(Settings!$C$8:$C$19,MATCH(G868,Settings!$B$8:$B$19,0)),"?"))</f>
        <v/>
      </c>
      <c r="K868" s="35" t="str">
        <f aca="false">IF(A868="","",DATE(YEAR(A868),MONTH(A868),1))</f>
        <v/>
      </c>
      <c r="L868" s="28" t="str">
        <f aca="false">IF(E868="","",IFERROR(INDEX(Settings!$K$8:$K$38,MATCH(E868,Settings!$H$8:$H$38,0))&amp;"",""))</f>
        <v/>
      </c>
    </row>
    <row r="869" customFormat="false" ht="15" hidden="false" customHeight="false" outlineLevel="0" collapsed="false">
      <c r="A869" s="33"/>
      <c r="B869" s="27"/>
      <c r="C869" s="27"/>
      <c r="D869" s="27"/>
      <c r="E869" s="27"/>
      <c r="F869" s="34"/>
      <c r="G869" s="27"/>
      <c r="H869" s="27"/>
      <c r="I869" s="28" t="str">
        <f aca="false">IF(C869="","",IFERROR(INDEX(Settings!$C$8:$C$19,MATCH(C869,Settings!$B$8:$B$19,0)),"?"))</f>
        <v/>
      </c>
      <c r="J869" s="28" t="str">
        <f aca="false">IF(G869="","",IFERROR(INDEX(Settings!$C$8:$C$19,MATCH(G869,Settings!$B$8:$B$19,0)),"?"))</f>
        <v/>
      </c>
      <c r="K869" s="35" t="str">
        <f aca="false">IF(A869="","",DATE(YEAR(A869),MONTH(A869),1))</f>
        <v/>
      </c>
      <c r="L869" s="28" t="str">
        <f aca="false">IF(E869="","",IFERROR(INDEX(Settings!$K$8:$K$38,MATCH(E869,Settings!$H$8:$H$38,0))&amp;"",""))</f>
        <v/>
      </c>
    </row>
    <row r="870" customFormat="false" ht="15" hidden="false" customHeight="false" outlineLevel="0" collapsed="false">
      <c r="A870" s="33"/>
      <c r="B870" s="27"/>
      <c r="C870" s="27"/>
      <c r="D870" s="27"/>
      <c r="E870" s="27"/>
      <c r="F870" s="34"/>
      <c r="G870" s="27"/>
      <c r="H870" s="27"/>
      <c r="I870" s="28" t="str">
        <f aca="false">IF(C870="","",IFERROR(INDEX(Settings!$C$8:$C$19,MATCH(C870,Settings!$B$8:$B$19,0)),"?"))</f>
        <v/>
      </c>
      <c r="J870" s="28" t="str">
        <f aca="false">IF(G870="","",IFERROR(INDEX(Settings!$C$8:$C$19,MATCH(G870,Settings!$B$8:$B$19,0)),"?"))</f>
        <v/>
      </c>
      <c r="K870" s="35" t="str">
        <f aca="false">IF(A870="","",DATE(YEAR(A870),MONTH(A870),1))</f>
        <v/>
      </c>
      <c r="L870" s="28" t="str">
        <f aca="false">IF(E870="","",IFERROR(INDEX(Settings!$K$8:$K$38,MATCH(E870,Settings!$H$8:$H$38,0))&amp;"",""))</f>
        <v/>
      </c>
    </row>
    <row r="871" customFormat="false" ht="15" hidden="false" customHeight="false" outlineLevel="0" collapsed="false">
      <c r="A871" s="33"/>
      <c r="B871" s="27"/>
      <c r="C871" s="27"/>
      <c r="D871" s="27"/>
      <c r="E871" s="27"/>
      <c r="F871" s="34"/>
      <c r="G871" s="27"/>
      <c r="H871" s="27"/>
      <c r="I871" s="28" t="str">
        <f aca="false">IF(C871="","",IFERROR(INDEX(Settings!$C$8:$C$19,MATCH(C871,Settings!$B$8:$B$19,0)),"?"))</f>
        <v/>
      </c>
      <c r="J871" s="28" t="str">
        <f aca="false">IF(G871="","",IFERROR(INDEX(Settings!$C$8:$C$19,MATCH(G871,Settings!$B$8:$B$19,0)),"?"))</f>
        <v/>
      </c>
      <c r="K871" s="35" t="str">
        <f aca="false">IF(A871="","",DATE(YEAR(A871),MONTH(A871),1))</f>
        <v/>
      </c>
      <c r="L871" s="28" t="str">
        <f aca="false">IF(E871="","",IFERROR(INDEX(Settings!$K$8:$K$38,MATCH(E871,Settings!$H$8:$H$38,0))&amp;"",""))</f>
        <v/>
      </c>
    </row>
    <row r="872" customFormat="false" ht="15" hidden="false" customHeight="false" outlineLevel="0" collapsed="false">
      <c r="A872" s="33"/>
      <c r="B872" s="27"/>
      <c r="C872" s="27"/>
      <c r="D872" s="27"/>
      <c r="E872" s="27"/>
      <c r="F872" s="34"/>
      <c r="G872" s="27"/>
      <c r="H872" s="27"/>
      <c r="I872" s="28" t="str">
        <f aca="false">IF(C872="","",IFERROR(INDEX(Settings!$C$8:$C$19,MATCH(C872,Settings!$B$8:$B$19,0)),"?"))</f>
        <v/>
      </c>
      <c r="J872" s="28" t="str">
        <f aca="false">IF(G872="","",IFERROR(INDEX(Settings!$C$8:$C$19,MATCH(G872,Settings!$B$8:$B$19,0)),"?"))</f>
        <v/>
      </c>
      <c r="K872" s="35" t="str">
        <f aca="false">IF(A872="","",DATE(YEAR(A872),MONTH(A872),1))</f>
        <v/>
      </c>
      <c r="L872" s="28" t="str">
        <f aca="false">IF(E872="","",IFERROR(INDEX(Settings!$K$8:$K$38,MATCH(E872,Settings!$H$8:$H$38,0))&amp;"",""))</f>
        <v/>
      </c>
    </row>
    <row r="873" customFormat="false" ht="15" hidden="false" customHeight="false" outlineLevel="0" collapsed="false">
      <c r="A873" s="33"/>
      <c r="B873" s="27"/>
      <c r="C873" s="27"/>
      <c r="D873" s="27"/>
      <c r="E873" s="27"/>
      <c r="F873" s="34"/>
      <c r="G873" s="27"/>
      <c r="H873" s="27"/>
      <c r="I873" s="28" t="str">
        <f aca="false">IF(C873="","",IFERROR(INDEX(Settings!$C$8:$C$19,MATCH(C873,Settings!$B$8:$B$19,0)),"?"))</f>
        <v/>
      </c>
      <c r="J873" s="28" t="str">
        <f aca="false">IF(G873="","",IFERROR(INDEX(Settings!$C$8:$C$19,MATCH(G873,Settings!$B$8:$B$19,0)),"?"))</f>
        <v/>
      </c>
      <c r="K873" s="35" t="str">
        <f aca="false">IF(A873="","",DATE(YEAR(A873),MONTH(A873),1))</f>
        <v/>
      </c>
      <c r="L873" s="28" t="str">
        <f aca="false">IF(E873="","",IFERROR(INDEX(Settings!$K$8:$K$38,MATCH(E873,Settings!$H$8:$H$38,0))&amp;"",""))</f>
        <v/>
      </c>
    </row>
    <row r="874" customFormat="false" ht="15" hidden="false" customHeight="false" outlineLevel="0" collapsed="false">
      <c r="A874" s="33"/>
      <c r="B874" s="27"/>
      <c r="C874" s="27"/>
      <c r="D874" s="27"/>
      <c r="E874" s="27"/>
      <c r="F874" s="34"/>
      <c r="G874" s="27"/>
      <c r="H874" s="27"/>
      <c r="I874" s="28" t="str">
        <f aca="false">IF(C874="","",IFERROR(INDEX(Settings!$C$8:$C$19,MATCH(C874,Settings!$B$8:$B$19,0)),"?"))</f>
        <v/>
      </c>
      <c r="J874" s="28" t="str">
        <f aca="false">IF(G874="","",IFERROR(INDEX(Settings!$C$8:$C$19,MATCH(G874,Settings!$B$8:$B$19,0)),"?"))</f>
        <v/>
      </c>
      <c r="K874" s="35" t="str">
        <f aca="false">IF(A874="","",DATE(YEAR(A874),MONTH(A874),1))</f>
        <v/>
      </c>
      <c r="L874" s="28" t="str">
        <f aca="false">IF(E874="","",IFERROR(INDEX(Settings!$K$8:$K$38,MATCH(E874,Settings!$H$8:$H$38,0))&amp;"",""))</f>
        <v/>
      </c>
    </row>
    <row r="875" customFormat="false" ht="15" hidden="false" customHeight="false" outlineLevel="0" collapsed="false">
      <c r="A875" s="33"/>
      <c r="B875" s="27"/>
      <c r="C875" s="27"/>
      <c r="D875" s="27"/>
      <c r="E875" s="27"/>
      <c r="F875" s="34"/>
      <c r="G875" s="27"/>
      <c r="H875" s="27"/>
      <c r="I875" s="28" t="str">
        <f aca="false">IF(C875="","",IFERROR(INDEX(Settings!$C$8:$C$19,MATCH(C875,Settings!$B$8:$B$19,0)),"?"))</f>
        <v/>
      </c>
      <c r="J875" s="28" t="str">
        <f aca="false">IF(G875="","",IFERROR(INDEX(Settings!$C$8:$C$19,MATCH(G875,Settings!$B$8:$B$19,0)),"?"))</f>
        <v/>
      </c>
      <c r="K875" s="35" t="str">
        <f aca="false">IF(A875="","",DATE(YEAR(A875),MONTH(A875),1))</f>
        <v/>
      </c>
      <c r="L875" s="28" t="str">
        <f aca="false">IF(E875="","",IFERROR(INDEX(Settings!$K$8:$K$38,MATCH(E875,Settings!$H$8:$H$38,0))&amp;"",""))</f>
        <v/>
      </c>
    </row>
    <row r="876" customFormat="false" ht="15" hidden="false" customHeight="false" outlineLevel="0" collapsed="false">
      <c r="A876" s="33"/>
      <c r="B876" s="27"/>
      <c r="C876" s="27"/>
      <c r="D876" s="27"/>
      <c r="E876" s="27"/>
      <c r="F876" s="34"/>
      <c r="G876" s="27"/>
      <c r="H876" s="27"/>
      <c r="I876" s="28" t="str">
        <f aca="false">IF(C876="","",IFERROR(INDEX(Settings!$C$8:$C$19,MATCH(C876,Settings!$B$8:$B$19,0)),"?"))</f>
        <v/>
      </c>
      <c r="J876" s="28" t="str">
        <f aca="false">IF(G876="","",IFERROR(INDEX(Settings!$C$8:$C$19,MATCH(G876,Settings!$B$8:$B$19,0)),"?"))</f>
        <v/>
      </c>
      <c r="K876" s="35" t="str">
        <f aca="false">IF(A876="","",DATE(YEAR(A876),MONTH(A876),1))</f>
        <v/>
      </c>
      <c r="L876" s="28" t="str">
        <f aca="false">IF(E876="","",IFERROR(INDEX(Settings!$K$8:$K$38,MATCH(E876,Settings!$H$8:$H$38,0))&amp;"",""))</f>
        <v/>
      </c>
    </row>
    <row r="877" customFormat="false" ht="15" hidden="false" customHeight="false" outlineLevel="0" collapsed="false">
      <c r="A877" s="33"/>
      <c r="B877" s="27"/>
      <c r="C877" s="27"/>
      <c r="D877" s="27"/>
      <c r="E877" s="27"/>
      <c r="F877" s="34"/>
      <c r="G877" s="27"/>
      <c r="H877" s="27"/>
      <c r="I877" s="28" t="str">
        <f aca="false">IF(C877="","",IFERROR(INDEX(Settings!$C$8:$C$19,MATCH(C877,Settings!$B$8:$B$19,0)),"?"))</f>
        <v/>
      </c>
      <c r="J877" s="28" t="str">
        <f aca="false">IF(G877="","",IFERROR(INDEX(Settings!$C$8:$C$19,MATCH(G877,Settings!$B$8:$B$19,0)),"?"))</f>
        <v/>
      </c>
      <c r="K877" s="35" t="str">
        <f aca="false">IF(A877="","",DATE(YEAR(A877),MONTH(A877),1))</f>
        <v/>
      </c>
      <c r="L877" s="28" t="str">
        <f aca="false">IF(E877="","",IFERROR(INDEX(Settings!$K$8:$K$38,MATCH(E877,Settings!$H$8:$H$38,0))&amp;"",""))</f>
        <v/>
      </c>
    </row>
    <row r="878" customFormat="false" ht="15" hidden="false" customHeight="false" outlineLevel="0" collapsed="false">
      <c r="A878" s="33"/>
      <c r="B878" s="27"/>
      <c r="C878" s="27"/>
      <c r="D878" s="27"/>
      <c r="E878" s="27"/>
      <c r="F878" s="34"/>
      <c r="G878" s="27"/>
      <c r="H878" s="27"/>
      <c r="I878" s="28" t="str">
        <f aca="false">IF(C878="","",IFERROR(INDEX(Settings!$C$8:$C$19,MATCH(C878,Settings!$B$8:$B$19,0)),"?"))</f>
        <v/>
      </c>
      <c r="J878" s="28" t="str">
        <f aca="false">IF(G878="","",IFERROR(INDEX(Settings!$C$8:$C$19,MATCH(G878,Settings!$B$8:$B$19,0)),"?"))</f>
        <v/>
      </c>
      <c r="K878" s="35" t="str">
        <f aca="false">IF(A878="","",DATE(YEAR(A878),MONTH(A878),1))</f>
        <v/>
      </c>
      <c r="L878" s="28" t="str">
        <f aca="false">IF(E878="","",IFERROR(INDEX(Settings!$K$8:$K$38,MATCH(E878,Settings!$H$8:$H$38,0))&amp;"",""))</f>
        <v/>
      </c>
    </row>
    <row r="879" customFormat="false" ht="15" hidden="false" customHeight="false" outlineLevel="0" collapsed="false">
      <c r="A879" s="33"/>
      <c r="B879" s="27"/>
      <c r="C879" s="27"/>
      <c r="D879" s="27"/>
      <c r="E879" s="27"/>
      <c r="F879" s="34"/>
      <c r="G879" s="27"/>
      <c r="H879" s="27"/>
      <c r="I879" s="28" t="str">
        <f aca="false">IF(C879="","",IFERROR(INDEX(Settings!$C$8:$C$19,MATCH(C879,Settings!$B$8:$B$19,0)),"?"))</f>
        <v/>
      </c>
      <c r="J879" s="28" t="str">
        <f aca="false">IF(G879="","",IFERROR(INDEX(Settings!$C$8:$C$19,MATCH(G879,Settings!$B$8:$B$19,0)),"?"))</f>
        <v/>
      </c>
      <c r="K879" s="35" t="str">
        <f aca="false">IF(A879="","",DATE(YEAR(A879),MONTH(A879),1))</f>
        <v/>
      </c>
      <c r="L879" s="28" t="str">
        <f aca="false">IF(E879="","",IFERROR(INDEX(Settings!$K$8:$K$38,MATCH(E879,Settings!$H$8:$H$38,0))&amp;"",""))</f>
        <v/>
      </c>
    </row>
    <row r="880" customFormat="false" ht="15" hidden="false" customHeight="false" outlineLevel="0" collapsed="false">
      <c r="A880" s="33"/>
      <c r="B880" s="27"/>
      <c r="C880" s="27"/>
      <c r="D880" s="27"/>
      <c r="E880" s="27"/>
      <c r="F880" s="34"/>
      <c r="G880" s="27"/>
      <c r="H880" s="27"/>
      <c r="I880" s="28" t="str">
        <f aca="false">IF(C880="","",IFERROR(INDEX(Settings!$C$8:$C$19,MATCH(C880,Settings!$B$8:$B$19,0)),"?"))</f>
        <v/>
      </c>
      <c r="J880" s="28" t="str">
        <f aca="false">IF(G880="","",IFERROR(INDEX(Settings!$C$8:$C$19,MATCH(G880,Settings!$B$8:$B$19,0)),"?"))</f>
        <v/>
      </c>
      <c r="K880" s="35" t="str">
        <f aca="false">IF(A880="","",DATE(YEAR(A880),MONTH(A880),1))</f>
        <v/>
      </c>
      <c r="L880" s="28" t="str">
        <f aca="false">IF(E880="","",IFERROR(INDEX(Settings!$K$8:$K$38,MATCH(E880,Settings!$H$8:$H$38,0))&amp;"",""))</f>
        <v/>
      </c>
    </row>
    <row r="881" customFormat="false" ht="15" hidden="false" customHeight="false" outlineLevel="0" collapsed="false">
      <c r="A881" s="33"/>
      <c r="B881" s="27"/>
      <c r="C881" s="27"/>
      <c r="D881" s="27"/>
      <c r="E881" s="27"/>
      <c r="F881" s="34"/>
      <c r="G881" s="27"/>
      <c r="H881" s="27"/>
      <c r="I881" s="28" t="str">
        <f aca="false">IF(C881="","",IFERROR(INDEX(Settings!$C$8:$C$19,MATCH(C881,Settings!$B$8:$B$19,0)),"?"))</f>
        <v/>
      </c>
      <c r="J881" s="28" t="str">
        <f aca="false">IF(G881="","",IFERROR(INDEX(Settings!$C$8:$C$19,MATCH(G881,Settings!$B$8:$B$19,0)),"?"))</f>
        <v/>
      </c>
      <c r="K881" s="35" t="str">
        <f aca="false">IF(A881="","",DATE(YEAR(A881),MONTH(A881),1))</f>
        <v/>
      </c>
      <c r="L881" s="28" t="str">
        <f aca="false">IF(E881="","",IFERROR(INDEX(Settings!$K$8:$K$38,MATCH(E881,Settings!$H$8:$H$38,0))&amp;"",""))</f>
        <v/>
      </c>
    </row>
    <row r="882" customFormat="false" ht="15" hidden="false" customHeight="false" outlineLevel="0" collapsed="false">
      <c r="A882" s="33"/>
      <c r="B882" s="27"/>
      <c r="C882" s="27"/>
      <c r="D882" s="27"/>
      <c r="E882" s="27"/>
      <c r="F882" s="34"/>
      <c r="G882" s="27"/>
      <c r="H882" s="27"/>
      <c r="I882" s="28" t="str">
        <f aca="false">IF(C882="","",IFERROR(INDEX(Settings!$C$8:$C$19,MATCH(C882,Settings!$B$8:$B$19,0)),"?"))</f>
        <v/>
      </c>
      <c r="J882" s="28" t="str">
        <f aca="false">IF(G882="","",IFERROR(INDEX(Settings!$C$8:$C$19,MATCH(G882,Settings!$B$8:$B$19,0)),"?"))</f>
        <v/>
      </c>
      <c r="K882" s="35" t="str">
        <f aca="false">IF(A882="","",DATE(YEAR(A882),MONTH(A882),1))</f>
        <v/>
      </c>
      <c r="L882" s="28" t="str">
        <f aca="false">IF(E882="","",IFERROR(INDEX(Settings!$K$8:$K$38,MATCH(E882,Settings!$H$8:$H$38,0))&amp;"",""))</f>
        <v/>
      </c>
    </row>
    <row r="883" customFormat="false" ht="15" hidden="false" customHeight="false" outlineLevel="0" collapsed="false">
      <c r="A883" s="33"/>
      <c r="B883" s="27"/>
      <c r="C883" s="27"/>
      <c r="D883" s="27"/>
      <c r="E883" s="27"/>
      <c r="F883" s="34"/>
      <c r="G883" s="27"/>
      <c r="H883" s="27"/>
      <c r="I883" s="28" t="str">
        <f aca="false">IF(C883="","",IFERROR(INDEX(Settings!$C$8:$C$19,MATCH(C883,Settings!$B$8:$B$19,0)),"?"))</f>
        <v/>
      </c>
      <c r="J883" s="28" t="str">
        <f aca="false">IF(G883="","",IFERROR(INDEX(Settings!$C$8:$C$19,MATCH(G883,Settings!$B$8:$B$19,0)),"?"))</f>
        <v/>
      </c>
      <c r="K883" s="35" t="str">
        <f aca="false">IF(A883="","",DATE(YEAR(A883),MONTH(A883),1))</f>
        <v/>
      </c>
      <c r="L883" s="28" t="str">
        <f aca="false">IF(E883="","",IFERROR(INDEX(Settings!$K$8:$K$38,MATCH(E883,Settings!$H$8:$H$38,0))&amp;"",""))</f>
        <v/>
      </c>
    </row>
    <row r="884" customFormat="false" ht="15" hidden="false" customHeight="false" outlineLevel="0" collapsed="false">
      <c r="A884" s="33"/>
      <c r="B884" s="27"/>
      <c r="C884" s="27"/>
      <c r="D884" s="27"/>
      <c r="E884" s="27"/>
      <c r="F884" s="34"/>
      <c r="G884" s="27"/>
      <c r="H884" s="27"/>
      <c r="I884" s="28" t="str">
        <f aca="false">IF(C884="","",IFERROR(INDEX(Settings!$C$8:$C$19,MATCH(C884,Settings!$B$8:$B$19,0)),"?"))</f>
        <v/>
      </c>
      <c r="J884" s="28" t="str">
        <f aca="false">IF(G884="","",IFERROR(INDEX(Settings!$C$8:$C$19,MATCH(G884,Settings!$B$8:$B$19,0)),"?"))</f>
        <v/>
      </c>
      <c r="K884" s="35" t="str">
        <f aca="false">IF(A884="","",DATE(YEAR(A884),MONTH(A884),1))</f>
        <v/>
      </c>
      <c r="L884" s="28" t="str">
        <f aca="false">IF(E884="","",IFERROR(INDEX(Settings!$K$8:$K$38,MATCH(E884,Settings!$H$8:$H$38,0))&amp;"",""))</f>
        <v/>
      </c>
    </row>
    <row r="885" customFormat="false" ht="15" hidden="false" customHeight="false" outlineLevel="0" collapsed="false">
      <c r="A885" s="33"/>
      <c r="B885" s="27"/>
      <c r="C885" s="27"/>
      <c r="D885" s="27"/>
      <c r="E885" s="27"/>
      <c r="F885" s="34"/>
      <c r="G885" s="27"/>
      <c r="H885" s="27"/>
      <c r="I885" s="28" t="str">
        <f aca="false">IF(C885="","",IFERROR(INDEX(Settings!$C$8:$C$19,MATCH(C885,Settings!$B$8:$B$19,0)),"?"))</f>
        <v/>
      </c>
      <c r="J885" s="28" t="str">
        <f aca="false">IF(G885="","",IFERROR(INDEX(Settings!$C$8:$C$19,MATCH(G885,Settings!$B$8:$B$19,0)),"?"))</f>
        <v/>
      </c>
      <c r="K885" s="35" t="str">
        <f aca="false">IF(A885="","",DATE(YEAR(A885),MONTH(A885),1))</f>
        <v/>
      </c>
      <c r="L885" s="28" t="str">
        <f aca="false">IF(E885="","",IFERROR(INDEX(Settings!$K$8:$K$38,MATCH(E885,Settings!$H$8:$H$38,0))&amp;"",""))</f>
        <v/>
      </c>
    </row>
    <row r="886" customFormat="false" ht="15" hidden="false" customHeight="false" outlineLevel="0" collapsed="false">
      <c r="A886" s="33"/>
      <c r="B886" s="27"/>
      <c r="C886" s="27"/>
      <c r="D886" s="27"/>
      <c r="E886" s="27"/>
      <c r="F886" s="34"/>
      <c r="G886" s="27"/>
      <c r="H886" s="27"/>
      <c r="I886" s="28" t="str">
        <f aca="false">IF(C886="","",IFERROR(INDEX(Settings!$C$8:$C$19,MATCH(C886,Settings!$B$8:$B$19,0)),"?"))</f>
        <v/>
      </c>
      <c r="J886" s="28" t="str">
        <f aca="false">IF(G886="","",IFERROR(INDEX(Settings!$C$8:$C$19,MATCH(G886,Settings!$B$8:$B$19,0)),"?"))</f>
        <v/>
      </c>
      <c r="K886" s="35" t="str">
        <f aca="false">IF(A886="","",DATE(YEAR(A886),MONTH(A886),1))</f>
        <v/>
      </c>
      <c r="L886" s="28" t="str">
        <f aca="false">IF(E886="","",IFERROR(INDEX(Settings!$K$8:$K$38,MATCH(E886,Settings!$H$8:$H$38,0))&amp;"",""))</f>
        <v/>
      </c>
    </row>
    <row r="887" customFormat="false" ht="15" hidden="false" customHeight="false" outlineLevel="0" collapsed="false">
      <c r="A887" s="33"/>
      <c r="B887" s="27"/>
      <c r="C887" s="27"/>
      <c r="D887" s="27"/>
      <c r="E887" s="27"/>
      <c r="F887" s="34"/>
      <c r="G887" s="27"/>
      <c r="H887" s="27"/>
      <c r="I887" s="28" t="str">
        <f aca="false">IF(C887="","",IFERROR(INDEX(Settings!$C$8:$C$19,MATCH(C887,Settings!$B$8:$B$19,0)),"?"))</f>
        <v/>
      </c>
      <c r="J887" s="28" t="str">
        <f aca="false">IF(G887="","",IFERROR(INDEX(Settings!$C$8:$C$19,MATCH(G887,Settings!$B$8:$B$19,0)),"?"))</f>
        <v/>
      </c>
      <c r="K887" s="35" t="str">
        <f aca="false">IF(A887="","",DATE(YEAR(A887),MONTH(A887),1))</f>
        <v/>
      </c>
      <c r="L887" s="28" t="str">
        <f aca="false">IF(E887="","",IFERROR(INDEX(Settings!$K$8:$K$38,MATCH(E887,Settings!$H$8:$H$38,0))&amp;"",""))</f>
        <v/>
      </c>
    </row>
    <row r="888" customFormat="false" ht="15" hidden="false" customHeight="false" outlineLevel="0" collapsed="false">
      <c r="A888" s="33"/>
      <c r="B888" s="27"/>
      <c r="C888" s="27"/>
      <c r="D888" s="27"/>
      <c r="E888" s="27"/>
      <c r="F888" s="34"/>
      <c r="G888" s="27"/>
      <c r="H888" s="27"/>
      <c r="I888" s="28" t="str">
        <f aca="false">IF(C888="","",IFERROR(INDEX(Settings!$C$8:$C$19,MATCH(C888,Settings!$B$8:$B$19,0)),"?"))</f>
        <v/>
      </c>
      <c r="J888" s="28" t="str">
        <f aca="false">IF(G888="","",IFERROR(INDEX(Settings!$C$8:$C$19,MATCH(G888,Settings!$B$8:$B$19,0)),"?"))</f>
        <v/>
      </c>
      <c r="K888" s="35" t="str">
        <f aca="false">IF(A888="","",DATE(YEAR(A888),MONTH(A888),1))</f>
        <v/>
      </c>
      <c r="L888" s="28" t="str">
        <f aca="false">IF(E888="","",IFERROR(INDEX(Settings!$K$8:$K$38,MATCH(E888,Settings!$H$8:$H$38,0))&amp;"",""))</f>
        <v/>
      </c>
    </row>
    <row r="889" customFormat="false" ht="15" hidden="false" customHeight="false" outlineLevel="0" collapsed="false">
      <c r="A889" s="33"/>
      <c r="B889" s="27"/>
      <c r="C889" s="27"/>
      <c r="D889" s="27"/>
      <c r="E889" s="27"/>
      <c r="F889" s="34"/>
      <c r="G889" s="27"/>
      <c r="H889" s="27"/>
      <c r="I889" s="28" t="str">
        <f aca="false">IF(C889="","",IFERROR(INDEX(Settings!$C$8:$C$19,MATCH(C889,Settings!$B$8:$B$19,0)),"?"))</f>
        <v/>
      </c>
      <c r="J889" s="28" t="str">
        <f aca="false">IF(G889="","",IFERROR(INDEX(Settings!$C$8:$C$19,MATCH(G889,Settings!$B$8:$B$19,0)),"?"))</f>
        <v/>
      </c>
      <c r="K889" s="35" t="str">
        <f aca="false">IF(A889="","",DATE(YEAR(A889),MONTH(A889),1))</f>
        <v/>
      </c>
      <c r="L889" s="28" t="str">
        <f aca="false">IF(E889="","",IFERROR(INDEX(Settings!$K$8:$K$38,MATCH(E889,Settings!$H$8:$H$38,0))&amp;"",""))</f>
        <v/>
      </c>
    </row>
    <row r="890" customFormat="false" ht="15" hidden="false" customHeight="false" outlineLevel="0" collapsed="false">
      <c r="A890" s="33"/>
      <c r="B890" s="27"/>
      <c r="C890" s="27"/>
      <c r="D890" s="27"/>
      <c r="E890" s="27"/>
      <c r="F890" s="34"/>
      <c r="G890" s="27"/>
      <c r="H890" s="27"/>
      <c r="I890" s="28" t="str">
        <f aca="false">IF(C890="","",IFERROR(INDEX(Settings!$C$8:$C$19,MATCH(C890,Settings!$B$8:$B$19,0)),"?"))</f>
        <v/>
      </c>
      <c r="J890" s="28" t="str">
        <f aca="false">IF(G890="","",IFERROR(INDEX(Settings!$C$8:$C$19,MATCH(G890,Settings!$B$8:$B$19,0)),"?"))</f>
        <v/>
      </c>
      <c r="K890" s="35" t="str">
        <f aca="false">IF(A890="","",DATE(YEAR(A890),MONTH(A890),1))</f>
        <v/>
      </c>
      <c r="L890" s="28" t="str">
        <f aca="false">IF(E890="","",IFERROR(INDEX(Settings!$K$8:$K$38,MATCH(E890,Settings!$H$8:$H$38,0))&amp;"",""))</f>
        <v/>
      </c>
    </row>
    <row r="891" customFormat="false" ht="15" hidden="false" customHeight="false" outlineLevel="0" collapsed="false">
      <c r="A891" s="33"/>
      <c r="B891" s="27"/>
      <c r="C891" s="27"/>
      <c r="D891" s="27"/>
      <c r="E891" s="27"/>
      <c r="F891" s="34"/>
      <c r="G891" s="27"/>
      <c r="H891" s="27"/>
      <c r="I891" s="28" t="str">
        <f aca="false">IF(C891="","",IFERROR(INDEX(Settings!$C$8:$C$19,MATCH(C891,Settings!$B$8:$B$19,0)),"?"))</f>
        <v/>
      </c>
      <c r="J891" s="28" t="str">
        <f aca="false">IF(G891="","",IFERROR(INDEX(Settings!$C$8:$C$19,MATCH(G891,Settings!$B$8:$B$19,0)),"?"))</f>
        <v/>
      </c>
      <c r="K891" s="35" t="str">
        <f aca="false">IF(A891="","",DATE(YEAR(A891),MONTH(A891),1))</f>
        <v/>
      </c>
      <c r="L891" s="28" t="str">
        <f aca="false">IF(E891="","",IFERROR(INDEX(Settings!$K$8:$K$38,MATCH(E891,Settings!$H$8:$H$38,0))&amp;"",""))</f>
        <v/>
      </c>
    </row>
    <row r="892" customFormat="false" ht="15" hidden="false" customHeight="false" outlineLevel="0" collapsed="false">
      <c r="A892" s="33"/>
      <c r="B892" s="27"/>
      <c r="C892" s="27"/>
      <c r="D892" s="27"/>
      <c r="E892" s="27"/>
      <c r="F892" s="34"/>
      <c r="G892" s="27"/>
      <c r="H892" s="27"/>
      <c r="I892" s="28" t="str">
        <f aca="false">IF(C892="","",IFERROR(INDEX(Settings!$C$8:$C$19,MATCH(C892,Settings!$B$8:$B$19,0)),"?"))</f>
        <v/>
      </c>
      <c r="J892" s="28" t="str">
        <f aca="false">IF(G892="","",IFERROR(INDEX(Settings!$C$8:$C$19,MATCH(G892,Settings!$B$8:$B$19,0)),"?"))</f>
        <v/>
      </c>
      <c r="K892" s="35" t="str">
        <f aca="false">IF(A892="","",DATE(YEAR(A892),MONTH(A892),1))</f>
        <v/>
      </c>
      <c r="L892" s="28" t="str">
        <f aca="false">IF(E892="","",IFERROR(INDEX(Settings!$K$8:$K$38,MATCH(E892,Settings!$H$8:$H$38,0))&amp;"",""))</f>
        <v/>
      </c>
    </row>
    <row r="893" customFormat="false" ht="15" hidden="false" customHeight="false" outlineLevel="0" collapsed="false">
      <c r="A893" s="33"/>
      <c r="B893" s="27"/>
      <c r="C893" s="27"/>
      <c r="D893" s="27"/>
      <c r="E893" s="27"/>
      <c r="F893" s="34"/>
      <c r="G893" s="27"/>
      <c r="H893" s="27"/>
      <c r="I893" s="28" t="str">
        <f aca="false">IF(C893="","",IFERROR(INDEX(Settings!$C$8:$C$19,MATCH(C893,Settings!$B$8:$B$19,0)),"?"))</f>
        <v/>
      </c>
      <c r="J893" s="28" t="str">
        <f aca="false">IF(G893="","",IFERROR(INDEX(Settings!$C$8:$C$19,MATCH(G893,Settings!$B$8:$B$19,0)),"?"))</f>
        <v/>
      </c>
      <c r="K893" s="35" t="str">
        <f aca="false">IF(A893="","",DATE(YEAR(A893),MONTH(A893),1))</f>
        <v/>
      </c>
      <c r="L893" s="28" t="str">
        <f aca="false">IF(E893="","",IFERROR(INDEX(Settings!$K$8:$K$38,MATCH(E893,Settings!$H$8:$H$38,0))&amp;"",""))</f>
        <v/>
      </c>
    </row>
    <row r="894" customFormat="false" ht="15" hidden="false" customHeight="false" outlineLevel="0" collapsed="false">
      <c r="A894" s="33"/>
      <c r="B894" s="27"/>
      <c r="C894" s="27"/>
      <c r="D894" s="27"/>
      <c r="E894" s="27"/>
      <c r="F894" s="34"/>
      <c r="G894" s="27"/>
      <c r="H894" s="27"/>
      <c r="I894" s="28" t="str">
        <f aca="false">IF(C894="","",IFERROR(INDEX(Settings!$C$8:$C$19,MATCH(C894,Settings!$B$8:$B$19,0)),"?"))</f>
        <v/>
      </c>
      <c r="J894" s="28" t="str">
        <f aca="false">IF(G894="","",IFERROR(INDEX(Settings!$C$8:$C$19,MATCH(G894,Settings!$B$8:$B$19,0)),"?"))</f>
        <v/>
      </c>
      <c r="K894" s="35" t="str">
        <f aca="false">IF(A894="","",DATE(YEAR(A894),MONTH(A894),1))</f>
        <v/>
      </c>
      <c r="L894" s="28" t="str">
        <f aca="false">IF(E894="","",IFERROR(INDEX(Settings!$K$8:$K$38,MATCH(E894,Settings!$H$8:$H$38,0))&amp;"",""))</f>
        <v/>
      </c>
    </row>
    <row r="895" customFormat="false" ht="15" hidden="false" customHeight="false" outlineLevel="0" collapsed="false">
      <c r="A895" s="33"/>
      <c r="B895" s="27"/>
      <c r="C895" s="27"/>
      <c r="D895" s="27"/>
      <c r="E895" s="27"/>
      <c r="F895" s="34"/>
      <c r="G895" s="27"/>
      <c r="H895" s="27"/>
      <c r="I895" s="28" t="str">
        <f aca="false">IF(C895="","",IFERROR(INDEX(Settings!$C$8:$C$19,MATCH(C895,Settings!$B$8:$B$19,0)),"?"))</f>
        <v/>
      </c>
      <c r="J895" s="28" t="str">
        <f aca="false">IF(G895="","",IFERROR(INDEX(Settings!$C$8:$C$19,MATCH(G895,Settings!$B$8:$B$19,0)),"?"))</f>
        <v/>
      </c>
      <c r="K895" s="35" t="str">
        <f aca="false">IF(A895="","",DATE(YEAR(A895),MONTH(A895),1))</f>
        <v/>
      </c>
      <c r="L895" s="28" t="str">
        <f aca="false">IF(E895="","",IFERROR(INDEX(Settings!$K$8:$K$38,MATCH(E895,Settings!$H$8:$H$38,0))&amp;"",""))</f>
        <v/>
      </c>
    </row>
    <row r="896" customFormat="false" ht="15" hidden="false" customHeight="false" outlineLevel="0" collapsed="false">
      <c r="A896" s="33"/>
      <c r="B896" s="27"/>
      <c r="C896" s="27"/>
      <c r="D896" s="27"/>
      <c r="E896" s="27"/>
      <c r="F896" s="34"/>
      <c r="G896" s="27"/>
      <c r="H896" s="27"/>
      <c r="I896" s="28" t="str">
        <f aca="false">IF(C896="","",IFERROR(INDEX(Settings!$C$8:$C$19,MATCH(C896,Settings!$B$8:$B$19,0)),"?"))</f>
        <v/>
      </c>
      <c r="J896" s="28" t="str">
        <f aca="false">IF(G896="","",IFERROR(INDEX(Settings!$C$8:$C$19,MATCH(G896,Settings!$B$8:$B$19,0)),"?"))</f>
        <v/>
      </c>
      <c r="K896" s="35" t="str">
        <f aca="false">IF(A896="","",DATE(YEAR(A896),MONTH(A896),1))</f>
        <v/>
      </c>
      <c r="L896" s="28" t="str">
        <f aca="false">IF(E896="","",IFERROR(INDEX(Settings!$K$8:$K$38,MATCH(E896,Settings!$H$8:$H$38,0))&amp;"",""))</f>
        <v/>
      </c>
    </row>
    <row r="897" customFormat="false" ht="15" hidden="false" customHeight="false" outlineLevel="0" collapsed="false">
      <c r="A897" s="33"/>
      <c r="B897" s="27"/>
      <c r="C897" s="27"/>
      <c r="D897" s="27"/>
      <c r="E897" s="27"/>
      <c r="F897" s="34"/>
      <c r="G897" s="27"/>
      <c r="H897" s="27"/>
      <c r="I897" s="28" t="str">
        <f aca="false">IF(C897="","",IFERROR(INDEX(Settings!$C$8:$C$19,MATCH(C897,Settings!$B$8:$B$19,0)),"?"))</f>
        <v/>
      </c>
      <c r="J897" s="28" t="str">
        <f aca="false">IF(G897="","",IFERROR(INDEX(Settings!$C$8:$C$19,MATCH(G897,Settings!$B$8:$B$19,0)),"?"))</f>
        <v/>
      </c>
      <c r="K897" s="35" t="str">
        <f aca="false">IF(A897="","",DATE(YEAR(A897),MONTH(A897),1))</f>
        <v/>
      </c>
      <c r="L897" s="28" t="str">
        <f aca="false">IF(E897="","",IFERROR(INDEX(Settings!$K$8:$K$38,MATCH(E897,Settings!$H$8:$H$38,0))&amp;"",""))</f>
        <v/>
      </c>
    </row>
    <row r="898" customFormat="false" ht="15" hidden="false" customHeight="false" outlineLevel="0" collapsed="false">
      <c r="A898" s="33"/>
      <c r="B898" s="27"/>
      <c r="C898" s="27"/>
      <c r="D898" s="27"/>
      <c r="E898" s="27"/>
      <c r="F898" s="34"/>
      <c r="G898" s="27"/>
      <c r="H898" s="27"/>
      <c r="I898" s="28" t="str">
        <f aca="false">IF(C898="","",IFERROR(INDEX(Settings!$C$8:$C$19,MATCH(C898,Settings!$B$8:$B$19,0)),"?"))</f>
        <v/>
      </c>
      <c r="J898" s="28" t="str">
        <f aca="false">IF(G898="","",IFERROR(INDEX(Settings!$C$8:$C$19,MATCH(G898,Settings!$B$8:$B$19,0)),"?"))</f>
        <v/>
      </c>
      <c r="K898" s="35" t="str">
        <f aca="false">IF(A898="","",DATE(YEAR(A898),MONTH(A898),1))</f>
        <v/>
      </c>
      <c r="L898" s="28" t="str">
        <f aca="false">IF(E898="","",IFERROR(INDEX(Settings!$K$8:$K$38,MATCH(E898,Settings!$H$8:$H$38,0))&amp;"",""))</f>
        <v/>
      </c>
    </row>
    <row r="899" customFormat="false" ht="15" hidden="false" customHeight="false" outlineLevel="0" collapsed="false">
      <c r="A899" s="33"/>
      <c r="B899" s="27"/>
      <c r="C899" s="27"/>
      <c r="D899" s="27"/>
      <c r="E899" s="27"/>
      <c r="F899" s="34"/>
      <c r="G899" s="27"/>
      <c r="H899" s="27"/>
      <c r="I899" s="28" t="str">
        <f aca="false">IF(C899="","",IFERROR(INDEX(Settings!$C$8:$C$19,MATCH(C899,Settings!$B$8:$B$19,0)),"?"))</f>
        <v/>
      </c>
      <c r="J899" s="28" t="str">
        <f aca="false">IF(G899="","",IFERROR(INDEX(Settings!$C$8:$C$19,MATCH(G899,Settings!$B$8:$B$19,0)),"?"))</f>
        <v/>
      </c>
      <c r="K899" s="35" t="str">
        <f aca="false">IF(A899="","",DATE(YEAR(A899),MONTH(A899),1))</f>
        <v/>
      </c>
      <c r="L899" s="28" t="str">
        <f aca="false">IF(E899="","",IFERROR(INDEX(Settings!$K$8:$K$38,MATCH(E899,Settings!$H$8:$H$38,0))&amp;"",""))</f>
        <v/>
      </c>
    </row>
    <row r="900" customFormat="false" ht="15" hidden="false" customHeight="false" outlineLevel="0" collapsed="false">
      <c r="A900" s="33"/>
      <c r="B900" s="27"/>
      <c r="C900" s="27"/>
      <c r="D900" s="27"/>
      <c r="E900" s="27"/>
      <c r="F900" s="34"/>
      <c r="G900" s="27"/>
      <c r="H900" s="27"/>
      <c r="I900" s="28" t="str">
        <f aca="false">IF(C900="","",IFERROR(INDEX(Settings!$C$8:$C$19,MATCH(C900,Settings!$B$8:$B$19,0)),"?"))</f>
        <v/>
      </c>
      <c r="J900" s="28" t="str">
        <f aca="false">IF(G900="","",IFERROR(INDEX(Settings!$C$8:$C$19,MATCH(G900,Settings!$B$8:$B$19,0)),"?"))</f>
        <v/>
      </c>
      <c r="K900" s="35" t="str">
        <f aca="false">IF(A900="","",DATE(YEAR(A900),MONTH(A900),1))</f>
        <v/>
      </c>
      <c r="L900" s="28" t="str">
        <f aca="false">IF(E900="","",IFERROR(INDEX(Settings!$K$8:$K$38,MATCH(E900,Settings!$H$8:$H$38,0))&amp;"",""))</f>
        <v/>
      </c>
    </row>
    <row r="901" customFormat="false" ht="15" hidden="false" customHeight="false" outlineLevel="0" collapsed="false">
      <c r="A901" s="33"/>
      <c r="B901" s="27"/>
      <c r="C901" s="27"/>
      <c r="D901" s="27"/>
      <c r="E901" s="27"/>
      <c r="F901" s="34"/>
      <c r="G901" s="27"/>
      <c r="H901" s="27"/>
      <c r="I901" s="28" t="str">
        <f aca="false">IF(C901="","",IFERROR(INDEX(Settings!$C$8:$C$19,MATCH(C901,Settings!$B$8:$B$19,0)),"?"))</f>
        <v/>
      </c>
      <c r="J901" s="28" t="str">
        <f aca="false">IF(G901="","",IFERROR(INDEX(Settings!$C$8:$C$19,MATCH(G901,Settings!$B$8:$B$19,0)),"?"))</f>
        <v/>
      </c>
      <c r="K901" s="35" t="str">
        <f aca="false">IF(A901="","",DATE(YEAR(A901),MONTH(A901),1))</f>
        <v/>
      </c>
      <c r="L901" s="28" t="str">
        <f aca="false">IF(E901="","",IFERROR(INDEX(Settings!$K$8:$K$38,MATCH(E901,Settings!$H$8:$H$38,0))&amp;"",""))</f>
        <v/>
      </c>
    </row>
    <row r="902" customFormat="false" ht="15" hidden="false" customHeight="false" outlineLevel="0" collapsed="false">
      <c r="A902" s="33"/>
      <c r="B902" s="27"/>
      <c r="C902" s="27"/>
      <c r="D902" s="27"/>
      <c r="E902" s="27"/>
      <c r="F902" s="34"/>
      <c r="G902" s="27"/>
      <c r="H902" s="27"/>
      <c r="I902" s="28" t="str">
        <f aca="false">IF(C902="","",IFERROR(INDEX(Settings!$C$8:$C$19,MATCH(C902,Settings!$B$8:$B$19,0)),"?"))</f>
        <v/>
      </c>
      <c r="J902" s="28" t="str">
        <f aca="false">IF(G902="","",IFERROR(INDEX(Settings!$C$8:$C$19,MATCH(G902,Settings!$B$8:$B$19,0)),"?"))</f>
        <v/>
      </c>
      <c r="K902" s="35" t="str">
        <f aca="false">IF(A902="","",DATE(YEAR(A902),MONTH(A902),1))</f>
        <v/>
      </c>
      <c r="L902" s="28" t="str">
        <f aca="false">IF(E902="","",IFERROR(INDEX(Settings!$K$8:$K$38,MATCH(E902,Settings!$H$8:$H$38,0))&amp;"",""))</f>
        <v/>
      </c>
    </row>
    <row r="903" customFormat="false" ht="15" hidden="false" customHeight="false" outlineLevel="0" collapsed="false">
      <c r="A903" s="33"/>
      <c r="B903" s="27"/>
      <c r="C903" s="27"/>
      <c r="D903" s="27"/>
      <c r="E903" s="27"/>
      <c r="F903" s="34"/>
      <c r="G903" s="27"/>
      <c r="H903" s="27"/>
      <c r="I903" s="28" t="str">
        <f aca="false">IF(C903="","",IFERROR(INDEX(Settings!$C$8:$C$19,MATCH(C903,Settings!$B$8:$B$19,0)),"?"))</f>
        <v/>
      </c>
      <c r="J903" s="28" t="str">
        <f aca="false">IF(G903="","",IFERROR(INDEX(Settings!$C$8:$C$19,MATCH(G903,Settings!$B$8:$B$19,0)),"?"))</f>
        <v/>
      </c>
      <c r="K903" s="35" t="str">
        <f aca="false">IF(A903="","",DATE(YEAR(A903),MONTH(A903),1))</f>
        <v/>
      </c>
      <c r="L903" s="28" t="str">
        <f aca="false">IF(E903="","",IFERROR(INDEX(Settings!$K$8:$K$38,MATCH(E903,Settings!$H$8:$H$38,0))&amp;"",""))</f>
        <v/>
      </c>
    </row>
    <row r="904" customFormat="false" ht="15" hidden="false" customHeight="false" outlineLevel="0" collapsed="false">
      <c r="A904" s="33"/>
      <c r="B904" s="27"/>
      <c r="C904" s="27"/>
      <c r="D904" s="27"/>
      <c r="E904" s="27"/>
      <c r="F904" s="34"/>
      <c r="G904" s="27"/>
      <c r="H904" s="27"/>
      <c r="I904" s="28" t="str">
        <f aca="false">IF(C904="","",IFERROR(INDEX(Settings!$C$8:$C$19,MATCH(C904,Settings!$B$8:$B$19,0)),"?"))</f>
        <v/>
      </c>
      <c r="J904" s="28" t="str">
        <f aca="false">IF(G904="","",IFERROR(INDEX(Settings!$C$8:$C$19,MATCH(G904,Settings!$B$8:$B$19,0)),"?"))</f>
        <v/>
      </c>
      <c r="K904" s="35" t="str">
        <f aca="false">IF(A904="","",DATE(YEAR(A904),MONTH(A904),1))</f>
        <v/>
      </c>
      <c r="L904" s="28" t="str">
        <f aca="false">IF(E904="","",IFERROR(INDEX(Settings!$K$8:$K$38,MATCH(E904,Settings!$H$8:$H$38,0))&amp;"",""))</f>
        <v/>
      </c>
    </row>
    <row r="905" customFormat="false" ht="15" hidden="false" customHeight="false" outlineLevel="0" collapsed="false">
      <c r="A905" s="33"/>
      <c r="B905" s="27"/>
      <c r="C905" s="27"/>
      <c r="D905" s="27"/>
      <c r="E905" s="27"/>
      <c r="F905" s="34"/>
      <c r="G905" s="27"/>
      <c r="H905" s="27"/>
      <c r="I905" s="28" t="str">
        <f aca="false">IF(C905="","",IFERROR(INDEX(Settings!$C$8:$C$19,MATCH(C905,Settings!$B$8:$B$19,0)),"?"))</f>
        <v/>
      </c>
      <c r="J905" s="28" t="str">
        <f aca="false">IF(G905="","",IFERROR(INDEX(Settings!$C$8:$C$19,MATCH(G905,Settings!$B$8:$B$19,0)),"?"))</f>
        <v/>
      </c>
      <c r="K905" s="35" t="str">
        <f aca="false">IF(A905="","",DATE(YEAR(A905),MONTH(A905),1))</f>
        <v/>
      </c>
      <c r="L905" s="28" t="str">
        <f aca="false">IF(E905="","",IFERROR(INDEX(Settings!$K$8:$K$38,MATCH(E905,Settings!$H$8:$H$38,0))&amp;"",""))</f>
        <v/>
      </c>
    </row>
    <row r="906" customFormat="false" ht="15" hidden="false" customHeight="false" outlineLevel="0" collapsed="false">
      <c r="A906" s="33"/>
      <c r="B906" s="27"/>
      <c r="C906" s="27"/>
      <c r="D906" s="27"/>
      <c r="E906" s="27"/>
      <c r="F906" s="34"/>
      <c r="G906" s="27"/>
      <c r="H906" s="27"/>
      <c r="I906" s="28" t="str">
        <f aca="false">IF(C906="","",IFERROR(INDEX(Settings!$C$8:$C$19,MATCH(C906,Settings!$B$8:$B$19,0)),"?"))</f>
        <v/>
      </c>
      <c r="J906" s="28" t="str">
        <f aca="false">IF(G906="","",IFERROR(INDEX(Settings!$C$8:$C$19,MATCH(G906,Settings!$B$8:$B$19,0)),"?"))</f>
        <v/>
      </c>
      <c r="K906" s="35" t="str">
        <f aca="false">IF(A906="","",DATE(YEAR(A906),MONTH(A906),1))</f>
        <v/>
      </c>
      <c r="L906" s="28" t="str">
        <f aca="false">IF(E906="","",IFERROR(INDEX(Settings!$K$8:$K$38,MATCH(E906,Settings!$H$8:$H$38,0))&amp;"",""))</f>
        <v/>
      </c>
    </row>
    <row r="907" customFormat="false" ht="15" hidden="false" customHeight="false" outlineLevel="0" collapsed="false">
      <c r="A907" s="33"/>
      <c r="B907" s="27"/>
      <c r="C907" s="27"/>
      <c r="D907" s="27"/>
      <c r="E907" s="27"/>
      <c r="F907" s="34"/>
      <c r="G907" s="27"/>
      <c r="H907" s="27"/>
      <c r="I907" s="28" t="str">
        <f aca="false">IF(C907="","",IFERROR(INDEX(Settings!$C$8:$C$19,MATCH(C907,Settings!$B$8:$B$19,0)),"?"))</f>
        <v/>
      </c>
      <c r="J907" s="28" t="str">
        <f aca="false">IF(G907="","",IFERROR(INDEX(Settings!$C$8:$C$19,MATCH(G907,Settings!$B$8:$B$19,0)),"?"))</f>
        <v/>
      </c>
      <c r="K907" s="35" t="str">
        <f aca="false">IF(A907="","",DATE(YEAR(A907),MONTH(A907),1))</f>
        <v/>
      </c>
      <c r="L907" s="28" t="str">
        <f aca="false">IF(E907="","",IFERROR(INDEX(Settings!$K$8:$K$38,MATCH(E907,Settings!$H$8:$H$38,0))&amp;"",""))</f>
        <v/>
      </c>
    </row>
    <row r="908" customFormat="false" ht="15" hidden="false" customHeight="false" outlineLevel="0" collapsed="false">
      <c r="A908" s="33"/>
      <c r="B908" s="27"/>
      <c r="C908" s="27"/>
      <c r="D908" s="27"/>
      <c r="E908" s="27"/>
      <c r="F908" s="34"/>
      <c r="G908" s="27"/>
      <c r="H908" s="27"/>
      <c r="I908" s="28" t="str">
        <f aca="false">IF(C908="","",IFERROR(INDEX(Settings!$C$8:$C$19,MATCH(C908,Settings!$B$8:$B$19,0)),"?"))</f>
        <v/>
      </c>
      <c r="J908" s="28" t="str">
        <f aca="false">IF(G908="","",IFERROR(INDEX(Settings!$C$8:$C$19,MATCH(G908,Settings!$B$8:$B$19,0)),"?"))</f>
        <v/>
      </c>
      <c r="K908" s="35" t="str">
        <f aca="false">IF(A908="","",DATE(YEAR(A908),MONTH(A908),1))</f>
        <v/>
      </c>
      <c r="L908" s="28" t="str">
        <f aca="false">IF(E908="","",IFERROR(INDEX(Settings!$K$8:$K$38,MATCH(E908,Settings!$H$8:$H$38,0))&amp;"",""))</f>
        <v/>
      </c>
    </row>
    <row r="909" customFormat="false" ht="15" hidden="false" customHeight="false" outlineLevel="0" collapsed="false">
      <c r="A909" s="33"/>
      <c r="B909" s="27"/>
      <c r="C909" s="27"/>
      <c r="D909" s="27"/>
      <c r="E909" s="27"/>
      <c r="F909" s="34"/>
      <c r="G909" s="27"/>
      <c r="H909" s="27"/>
      <c r="I909" s="28" t="str">
        <f aca="false">IF(C909="","",IFERROR(INDEX(Settings!$C$8:$C$19,MATCH(C909,Settings!$B$8:$B$19,0)),"?"))</f>
        <v/>
      </c>
      <c r="J909" s="28" t="str">
        <f aca="false">IF(G909="","",IFERROR(INDEX(Settings!$C$8:$C$19,MATCH(G909,Settings!$B$8:$B$19,0)),"?"))</f>
        <v/>
      </c>
      <c r="K909" s="35" t="str">
        <f aca="false">IF(A909="","",DATE(YEAR(A909),MONTH(A909),1))</f>
        <v/>
      </c>
      <c r="L909" s="28" t="str">
        <f aca="false">IF(E909="","",IFERROR(INDEX(Settings!$K$8:$K$38,MATCH(E909,Settings!$H$8:$H$38,0))&amp;"",""))</f>
        <v/>
      </c>
    </row>
    <row r="910" customFormat="false" ht="15" hidden="false" customHeight="false" outlineLevel="0" collapsed="false">
      <c r="A910" s="33"/>
      <c r="B910" s="27"/>
      <c r="C910" s="27"/>
      <c r="D910" s="27"/>
      <c r="E910" s="27"/>
      <c r="F910" s="34"/>
      <c r="G910" s="27"/>
      <c r="H910" s="27"/>
      <c r="I910" s="28" t="str">
        <f aca="false">IF(C910="","",IFERROR(INDEX(Settings!$C$8:$C$19,MATCH(C910,Settings!$B$8:$B$19,0)),"?"))</f>
        <v/>
      </c>
      <c r="J910" s="28" t="str">
        <f aca="false">IF(G910="","",IFERROR(INDEX(Settings!$C$8:$C$19,MATCH(G910,Settings!$B$8:$B$19,0)),"?"))</f>
        <v/>
      </c>
      <c r="K910" s="35" t="str">
        <f aca="false">IF(A910="","",DATE(YEAR(A910),MONTH(A910),1))</f>
        <v/>
      </c>
      <c r="L910" s="28" t="str">
        <f aca="false">IF(E910="","",IFERROR(INDEX(Settings!$K$8:$K$38,MATCH(E910,Settings!$H$8:$H$38,0))&amp;"",""))</f>
        <v/>
      </c>
    </row>
    <row r="911" customFormat="false" ht="15" hidden="false" customHeight="false" outlineLevel="0" collapsed="false">
      <c r="A911" s="33"/>
      <c r="B911" s="27"/>
      <c r="C911" s="27"/>
      <c r="D911" s="27"/>
      <c r="E911" s="27"/>
      <c r="F911" s="34"/>
      <c r="G911" s="27"/>
      <c r="H911" s="27"/>
      <c r="I911" s="28" t="str">
        <f aca="false">IF(C911="","",IFERROR(INDEX(Settings!$C$8:$C$19,MATCH(C911,Settings!$B$8:$B$19,0)),"?"))</f>
        <v/>
      </c>
      <c r="J911" s="28" t="str">
        <f aca="false">IF(G911="","",IFERROR(INDEX(Settings!$C$8:$C$19,MATCH(G911,Settings!$B$8:$B$19,0)),"?"))</f>
        <v/>
      </c>
      <c r="K911" s="35" t="str">
        <f aca="false">IF(A911="","",DATE(YEAR(A911),MONTH(A911),1))</f>
        <v/>
      </c>
      <c r="L911" s="28" t="str">
        <f aca="false">IF(E911="","",IFERROR(INDEX(Settings!$K$8:$K$38,MATCH(E911,Settings!$H$8:$H$38,0))&amp;"",""))</f>
        <v/>
      </c>
    </row>
    <row r="912" customFormat="false" ht="15" hidden="false" customHeight="false" outlineLevel="0" collapsed="false">
      <c r="A912" s="33"/>
      <c r="B912" s="27"/>
      <c r="C912" s="27"/>
      <c r="D912" s="27"/>
      <c r="E912" s="27"/>
      <c r="F912" s="34"/>
      <c r="G912" s="27"/>
      <c r="H912" s="27"/>
      <c r="I912" s="28" t="str">
        <f aca="false">IF(C912="","",IFERROR(INDEX(Settings!$C$8:$C$19,MATCH(C912,Settings!$B$8:$B$19,0)),"?"))</f>
        <v/>
      </c>
      <c r="J912" s="28" t="str">
        <f aca="false">IF(G912="","",IFERROR(INDEX(Settings!$C$8:$C$19,MATCH(G912,Settings!$B$8:$B$19,0)),"?"))</f>
        <v/>
      </c>
      <c r="K912" s="35" t="str">
        <f aca="false">IF(A912="","",DATE(YEAR(A912),MONTH(A912),1))</f>
        <v/>
      </c>
      <c r="L912" s="28" t="str">
        <f aca="false">IF(E912="","",IFERROR(INDEX(Settings!$K$8:$K$38,MATCH(E912,Settings!$H$8:$H$38,0))&amp;"",""))</f>
        <v/>
      </c>
    </row>
    <row r="913" customFormat="false" ht="15" hidden="false" customHeight="false" outlineLevel="0" collapsed="false">
      <c r="A913" s="33"/>
      <c r="B913" s="27"/>
      <c r="C913" s="27"/>
      <c r="D913" s="27"/>
      <c r="E913" s="27"/>
      <c r="F913" s="34"/>
      <c r="G913" s="27"/>
      <c r="H913" s="27"/>
      <c r="I913" s="28" t="str">
        <f aca="false">IF(C913="","",IFERROR(INDEX(Settings!$C$8:$C$19,MATCH(C913,Settings!$B$8:$B$19,0)),"?"))</f>
        <v/>
      </c>
      <c r="J913" s="28" t="str">
        <f aca="false">IF(G913="","",IFERROR(INDEX(Settings!$C$8:$C$19,MATCH(G913,Settings!$B$8:$B$19,0)),"?"))</f>
        <v/>
      </c>
      <c r="K913" s="35" t="str">
        <f aca="false">IF(A913="","",DATE(YEAR(A913),MONTH(A913),1))</f>
        <v/>
      </c>
      <c r="L913" s="28" t="str">
        <f aca="false">IF(E913="","",IFERROR(INDEX(Settings!$K$8:$K$38,MATCH(E913,Settings!$H$8:$H$38,0))&amp;"",""))</f>
        <v/>
      </c>
    </row>
    <row r="914" customFormat="false" ht="15" hidden="false" customHeight="false" outlineLevel="0" collapsed="false">
      <c r="A914" s="33"/>
      <c r="B914" s="27"/>
      <c r="C914" s="27"/>
      <c r="D914" s="27"/>
      <c r="E914" s="27"/>
      <c r="F914" s="34"/>
      <c r="G914" s="27"/>
      <c r="H914" s="27"/>
      <c r="I914" s="28" t="str">
        <f aca="false">IF(C914="","",IFERROR(INDEX(Settings!$C$8:$C$19,MATCH(C914,Settings!$B$8:$B$19,0)),"?"))</f>
        <v/>
      </c>
      <c r="J914" s="28" t="str">
        <f aca="false">IF(G914="","",IFERROR(INDEX(Settings!$C$8:$C$19,MATCH(G914,Settings!$B$8:$B$19,0)),"?"))</f>
        <v/>
      </c>
      <c r="K914" s="35" t="str">
        <f aca="false">IF(A914="","",DATE(YEAR(A914),MONTH(A914),1))</f>
        <v/>
      </c>
      <c r="L914" s="28" t="str">
        <f aca="false">IF(E914="","",IFERROR(INDEX(Settings!$K$8:$K$38,MATCH(E914,Settings!$H$8:$H$38,0))&amp;"",""))</f>
        <v/>
      </c>
    </row>
    <row r="915" customFormat="false" ht="15" hidden="false" customHeight="false" outlineLevel="0" collapsed="false">
      <c r="A915" s="33"/>
      <c r="B915" s="27"/>
      <c r="C915" s="27"/>
      <c r="D915" s="27"/>
      <c r="E915" s="27"/>
      <c r="F915" s="34"/>
      <c r="G915" s="27"/>
      <c r="H915" s="27"/>
      <c r="I915" s="28" t="str">
        <f aca="false">IF(C915="","",IFERROR(INDEX(Settings!$C$8:$C$19,MATCH(C915,Settings!$B$8:$B$19,0)),"?"))</f>
        <v/>
      </c>
      <c r="J915" s="28" t="str">
        <f aca="false">IF(G915="","",IFERROR(INDEX(Settings!$C$8:$C$19,MATCH(G915,Settings!$B$8:$B$19,0)),"?"))</f>
        <v/>
      </c>
      <c r="K915" s="35" t="str">
        <f aca="false">IF(A915="","",DATE(YEAR(A915),MONTH(A915),1))</f>
        <v/>
      </c>
      <c r="L915" s="28" t="str">
        <f aca="false">IF(E915="","",IFERROR(INDEX(Settings!$K$8:$K$38,MATCH(E915,Settings!$H$8:$H$38,0))&amp;"",""))</f>
        <v/>
      </c>
    </row>
    <row r="916" customFormat="false" ht="15" hidden="false" customHeight="false" outlineLevel="0" collapsed="false">
      <c r="A916" s="33"/>
      <c r="B916" s="27"/>
      <c r="C916" s="27"/>
      <c r="D916" s="27"/>
      <c r="E916" s="27"/>
      <c r="F916" s="34"/>
      <c r="G916" s="27"/>
      <c r="H916" s="27"/>
      <c r="I916" s="28" t="str">
        <f aca="false">IF(C916="","",IFERROR(INDEX(Settings!$C$8:$C$19,MATCH(C916,Settings!$B$8:$B$19,0)),"?"))</f>
        <v/>
      </c>
      <c r="J916" s="28" t="str">
        <f aca="false">IF(G916="","",IFERROR(INDEX(Settings!$C$8:$C$19,MATCH(G916,Settings!$B$8:$B$19,0)),"?"))</f>
        <v/>
      </c>
      <c r="K916" s="35" t="str">
        <f aca="false">IF(A916="","",DATE(YEAR(A916),MONTH(A916),1))</f>
        <v/>
      </c>
      <c r="L916" s="28" t="str">
        <f aca="false">IF(E916="","",IFERROR(INDEX(Settings!$K$8:$K$38,MATCH(E916,Settings!$H$8:$H$38,0))&amp;"",""))</f>
        <v/>
      </c>
    </row>
    <row r="917" customFormat="false" ht="15" hidden="false" customHeight="false" outlineLevel="0" collapsed="false">
      <c r="A917" s="33"/>
      <c r="B917" s="27"/>
      <c r="C917" s="27"/>
      <c r="D917" s="27"/>
      <c r="E917" s="27"/>
      <c r="F917" s="34"/>
      <c r="G917" s="27"/>
      <c r="H917" s="27"/>
      <c r="I917" s="28" t="str">
        <f aca="false">IF(C917="","",IFERROR(INDEX(Settings!$C$8:$C$19,MATCH(C917,Settings!$B$8:$B$19,0)),"?"))</f>
        <v/>
      </c>
      <c r="J917" s="28" t="str">
        <f aca="false">IF(G917="","",IFERROR(INDEX(Settings!$C$8:$C$19,MATCH(G917,Settings!$B$8:$B$19,0)),"?"))</f>
        <v/>
      </c>
      <c r="K917" s="35" t="str">
        <f aca="false">IF(A917="","",DATE(YEAR(A917),MONTH(A917),1))</f>
        <v/>
      </c>
      <c r="L917" s="28" t="str">
        <f aca="false">IF(E917="","",IFERROR(INDEX(Settings!$K$8:$K$38,MATCH(E917,Settings!$H$8:$H$38,0))&amp;"",""))</f>
        <v/>
      </c>
    </row>
    <row r="918" customFormat="false" ht="15" hidden="false" customHeight="false" outlineLevel="0" collapsed="false">
      <c r="A918" s="33"/>
      <c r="B918" s="27"/>
      <c r="C918" s="27"/>
      <c r="D918" s="27"/>
      <c r="E918" s="27"/>
      <c r="F918" s="34"/>
      <c r="G918" s="27"/>
      <c r="H918" s="27"/>
      <c r="I918" s="28" t="str">
        <f aca="false">IF(C918="","",IFERROR(INDEX(Settings!$C$8:$C$19,MATCH(C918,Settings!$B$8:$B$19,0)),"?"))</f>
        <v/>
      </c>
      <c r="J918" s="28" t="str">
        <f aca="false">IF(G918="","",IFERROR(INDEX(Settings!$C$8:$C$19,MATCH(G918,Settings!$B$8:$B$19,0)),"?"))</f>
        <v/>
      </c>
      <c r="K918" s="35" t="str">
        <f aca="false">IF(A918="","",DATE(YEAR(A918),MONTH(A918),1))</f>
        <v/>
      </c>
      <c r="L918" s="28" t="str">
        <f aca="false">IF(E918="","",IFERROR(INDEX(Settings!$K$8:$K$38,MATCH(E918,Settings!$H$8:$H$38,0))&amp;"",""))</f>
        <v/>
      </c>
    </row>
    <row r="919" customFormat="false" ht="15" hidden="false" customHeight="false" outlineLevel="0" collapsed="false">
      <c r="A919" s="33"/>
      <c r="B919" s="27"/>
      <c r="C919" s="27"/>
      <c r="D919" s="27"/>
      <c r="E919" s="27"/>
      <c r="F919" s="34"/>
      <c r="G919" s="27"/>
      <c r="H919" s="27"/>
      <c r="I919" s="28" t="str">
        <f aca="false">IF(C919="","",IFERROR(INDEX(Settings!$C$8:$C$19,MATCH(C919,Settings!$B$8:$B$19,0)),"?"))</f>
        <v/>
      </c>
      <c r="J919" s="28" t="str">
        <f aca="false">IF(G919="","",IFERROR(INDEX(Settings!$C$8:$C$19,MATCH(G919,Settings!$B$8:$B$19,0)),"?"))</f>
        <v/>
      </c>
      <c r="K919" s="35" t="str">
        <f aca="false">IF(A919="","",DATE(YEAR(A919),MONTH(A919),1))</f>
        <v/>
      </c>
      <c r="L919" s="28" t="str">
        <f aca="false">IF(E919="","",IFERROR(INDEX(Settings!$K$8:$K$38,MATCH(E919,Settings!$H$8:$H$38,0))&amp;"",""))</f>
        <v/>
      </c>
    </row>
    <row r="920" customFormat="false" ht="15" hidden="false" customHeight="false" outlineLevel="0" collapsed="false">
      <c r="A920" s="33"/>
      <c r="B920" s="27"/>
      <c r="C920" s="27"/>
      <c r="D920" s="27"/>
      <c r="E920" s="27"/>
      <c r="F920" s="34"/>
      <c r="G920" s="27"/>
      <c r="H920" s="27"/>
      <c r="I920" s="28" t="str">
        <f aca="false">IF(C920="","",IFERROR(INDEX(Settings!$C$8:$C$19,MATCH(C920,Settings!$B$8:$B$19,0)),"?"))</f>
        <v/>
      </c>
      <c r="J920" s="28" t="str">
        <f aca="false">IF(G920="","",IFERROR(INDEX(Settings!$C$8:$C$19,MATCH(G920,Settings!$B$8:$B$19,0)),"?"))</f>
        <v/>
      </c>
      <c r="K920" s="35" t="str">
        <f aca="false">IF(A920="","",DATE(YEAR(A920),MONTH(A920),1))</f>
        <v/>
      </c>
      <c r="L920" s="28" t="str">
        <f aca="false">IF(E920="","",IFERROR(INDEX(Settings!$K$8:$K$38,MATCH(E920,Settings!$H$8:$H$38,0))&amp;"",""))</f>
        <v/>
      </c>
    </row>
    <row r="921" customFormat="false" ht="15" hidden="false" customHeight="false" outlineLevel="0" collapsed="false">
      <c r="A921" s="33"/>
      <c r="B921" s="27"/>
      <c r="C921" s="27"/>
      <c r="D921" s="27"/>
      <c r="E921" s="27"/>
      <c r="F921" s="34"/>
      <c r="G921" s="27"/>
      <c r="H921" s="27"/>
      <c r="I921" s="28" t="str">
        <f aca="false">IF(C921="","",IFERROR(INDEX(Settings!$C$8:$C$19,MATCH(C921,Settings!$B$8:$B$19,0)),"?"))</f>
        <v/>
      </c>
      <c r="J921" s="28" t="str">
        <f aca="false">IF(G921="","",IFERROR(INDEX(Settings!$C$8:$C$19,MATCH(G921,Settings!$B$8:$B$19,0)),"?"))</f>
        <v/>
      </c>
      <c r="K921" s="35" t="str">
        <f aca="false">IF(A921="","",DATE(YEAR(A921),MONTH(A921),1))</f>
        <v/>
      </c>
      <c r="L921" s="28" t="str">
        <f aca="false">IF(E921="","",IFERROR(INDEX(Settings!$K$8:$K$38,MATCH(E921,Settings!$H$8:$H$38,0))&amp;"",""))</f>
        <v/>
      </c>
    </row>
    <row r="922" customFormat="false" ht="15" hidden="false" customHeight="false" outlineLevel="0" collapsed="false">
      <c r="A922" s="33"/>
      <c r="B922" s="27"/>
      <c r="C922" s="27"/>
      <c r="D922" s="27"/>
      <c r="E922" s="27"/>
      <c r="F922" s="34"/>
      <c r="G922" s="27"/>
      <c r="H922" s="27"/>
      <c r="I922" s="28" t="str">
        <f aca="false">IF(C922="","",IFERROR(INDEX(Settings!$C$8:$C$19,MATCH(C922,Settings!$B$8:$B$19,0)),"?"))</f>
        <v/>
      </c>
      <c r="J922" s="28" t="str">
        <f aca="false">IF(G922="","",IFERROR(INDEX(Settings!$C$8:$C$19,MATCH(G922,Settings!$B$8:$B$19,0)),"?"))</f>
        <v/>
      </c>
      <c r="K922" s="35" t="str">
        <f aca="false">IF(A922="","",DATE(YEAR(A922),MONTH(A922),1))</f>
        <v/>
      </c>
      <c r="L922" s="28" t="str">
        <f aca="false">IF(E922="","",IFERROR(INDEX(Settings!$K$8:$K$38,MATCH(E922,Settings!$H$8:$H$38,0))&amp;"",""))</f>
        <v/>
      </c>
    </row>
    <row r="923" customFormat="false" ht="15" hidden="false" customHeight="false" outlineLevel="0" collapsed="false">
      <c r="A923" s="33"/>
      <c r="B923" s="27"/>
      <c r="C923" s="27"/>
      <c r="D923" s="27"/>
      <c r="E923" s="27"/>
      <c r="F923" s="34"/>
      <c r="G923" s="27"/>
      <c r="H923" s="27"/>
      <c r="I923" s="28" t="str">
        <f aca="false">IF(C923="","",IFERROR(INDEX(Settings!$C$8:$C$19,MATCH(C923,Settings!$B$8:$B$19,0)),"?"))</f>
        <v/>
      </c>
      <c r="J923" s="28" t="str">
        <f aca="false">IF(G923="","",IFERROR(INDEX(Settings!$C$8:$C$19,MATCH(G923,Settings!$B$8:$B$19,0)),"?"))</f>
        <v/>
      </c>
      <c r="K923" s="35" t="str">
        <f aca="false">IF(A923="","",DATE(YEAR(A923),MONTH(A923),1))</f>
        <v/>
      </c>
      <c r="L923" s="28" t="str">
        <f aca="false">IF(E923="","",IFERROR(INDEX(Settings!$K$8:$K$38,MATCH(E923,Settings!$H$8:$H$38,0))&amp;"",""))</f>
        <v/>
      </c>
    </row>
    <row r="924" customFormat="false" ht="15" hidden="false" customHeight="false" outlineLevel="0" collapsed="false">
      <c r="A924" s="33"/>
      <c r="B924" s="27"/>
      <c r="C924" s="27"/>
      <c r="D924" s="27"/>
      <c r="E924" s="27"/>
      <c r="F924" s="34"/>
      <c r="G924" s="27"/>
      <c r="H924" s="27"/>
      <c r="I924" s="28" t="str">
        <f aca="false">IF(C924="","",IFERROR(INDEX(Settings!$C$8:$C$19,MATCH(C924,Settings!$B$8:$B$19,0)),"?"))</f>
        <v/>
      </c>
      <c r="J924" s="28" t="str">
        <f aca="false">IF(G924="","",IFERROR(INDEX(Settings!$C$8:$C$19,MATCH(G924,Settings!$B$8:$B$19,0)),"?"))</f>
        <v/>
      </c>
      <c r="K924" s="35" t="str">
        <f aca="false">IF(A924="","",DATE(YEAR(A924),MONTH(A924),1))</f>
        <v/>
      </c>
      <c r="L924" s="28" t="str">
        <f aca="false">IF(E924="","",IFERROR(INDEX(Settings!$K$8:$K$38,MATCH(E924,Settings!$H$8:$H$38,0))&amp;"",""))</f>
        <v/>
      </c>
    </row>
    <row r="925" customFormat="false" ht="15" hidden="false" customHeight="false" outlineLevel="0" collapsed="false">
      <c r="A925" s="33"/>
      <c r="B925" s="27"/>
      <c r="C925" s="27"/>
      <c r="D925" s="27"/>
      <c r="E925" s="27"/>
      <c r="F925" s="34"/>
      <c r="G925" s="27"/>
      <c r="H925" s="27"/>
      <c r="I925" s="28" t="str">
        <f aca="false">IF(C925="","",IFERROR(INDEX(Settings!$C$8:$C$19,MATCH(C925,Settings!$B$8:$B$19,0)),"?"))</f>
        <v/>
      </c>
      <c r="J925" s="28" t="str">
        <f aca="false">IF(G925="","",IFERROR(INDEX(Settings!$C$8:$C$19,MATCH(G925,Settings!$B$8:$B$19,0)),"?"))</f>
        <v/>
      </c>
      <c r="K925" s="35" t="str">
        <f aca="false">IF(A925="","",DATE(YEAR(A925),MONTH(A925),1))</f>
        <v/>
      </c>
      <c r="L925" s="28" t="str">
        <f aca="false">IF(E925="","",IFERROR(INDEX(Settings!$K$8:$K$38,MATCH(E925,Settings!$H$8:$H$38,0))&amp;"",""))</f>
        <v/>
      </c>
    </row>
    <row r="926" customFormat="false" ht="15" hidden="false" customHeight="false" outlineLevel="0" collapsed="false">
      <c r="A926" s="33"/>
      <c r="B926" s="27"/>
      <c r="C926" s="27"/>
      <c r="D926" s="27"/>
      <c r="E926" s="27"/>
      <c r="F926" s="34"/>
      <c r="G926" s="27"/>
      <c r="H926" s="27"/>
      <c r="I926" s="28" t="str">
        <f aca="false">IF(C926="","",IFERROR(INDEX(Settings!$C$8:$C$19,MATCH(C926,Settings!$B$8:$B$19,0)),"?"))</f>
        <v/>
      </c>
      <c r="J926" s="28" t="str">
        <f aca="false">IF(G926="","",IFERROR(INDEX(Settings!$C$8:$C$19,MATCH(G926,Settings!$B$8:$B$19,0)),"?"))</f>
        <v/>
      </c>
      <c r="K926" s="35" t="str">
        <f aca="false">IF(A926="","",DATE(YEAR(A926),MONTH(A926),1))</f>
        <v/>
      </c>
      <c r="L926" s="28" t="str">
        <f aca="false">IF(E926="","",IFERROR(INDEX(Settings!$K$8:$K$38,MATCH(E926,Settings!$H$8:$H$38,0))&amp;"",""))</f>
        <v/>
      </c>
    </row>
    <row r="927" customFormat="false" ht="15" hidden="false" customHeight="false" outlineLevel="0" collapsed="false">
      <c r="A927" s="33"/>
      <c r="B927" s="27"/>
      <c r="C927" s="27"/>
      <c r="D927" s="27"/>
      <c r="E927" s="27"/>
      <c r="F927" s="34"/>
      <c r="G927" s="27"/>
      <c r="H927" s="27"/>
      <c r="I927" s="28" t="str">
        <f aca="false">IF(C927="","",IFERROR(INDEX(Settings!$C$8:$C$19,MATCH(C927,Settings!$B$8:$B$19,0)),"?"))</f>
        <v/>
      </c>
      <c r="J927" s="28" t="str">
        <f aca="false">IF(G927="","",IFERROR(INDEX(Settings!$C$8:$C$19,MATCH(G927,Settings!$B$8:$B$19,0)),"?"))</f>
        <v/>
      </c>
      <c r="K927" s="35" t="str">
        <f aca="false">IF(A927="","",DATE(YEAR(A927),MONTH(A927),1))</f>
        <v/>
      </c>
      <c r="L927" s="28" t="str">
        <f aca="false">IF(E927="","",IFERROR(INDEX(Settings!$K$8:$K$38,MATCH(E927,Settings!$H$8:$H$38,0))&amp;"",""))</f>
        <v/>
      </c>
    </row>
    <row r="928" customFormat="false" ht="15" hidden="false" customHeight="false" outlineLevel="0" collapsed="false">
      <c r="A928" s="33"/>
      <c r="B928" s="27"/>
      <c r="C928" s="27"/>
      <c r="D928" s="27"/>
      <c r="E928" s="27"/>
      <c r="F928" s="34"/>
      <c r="G928" s="27"/>
      <c r="H928" s="27"/>
      <c r="I928" s="28" t="str">
        <f aca="false">IF(C928="","",IFERROR(INDEX(Settings!$C$8:$C$19,MATCH(C928,Settings!$B$8:$B$19,0)),"?"))</f>
        <v/>
      </c>
      <c r="J928" s="28" t="str">
        <f aca="false">IF(G928="","",IFERROR(INDEX(Settings!$C$8:$C$19,MATCH(G928,Settings!$B$8:$B$19,0)),"?"))</f>
        <v/>
      </c>
      <c r="K928" s="35" t="str">
        <f aca="false">IF(A928="","",DATE(YEAR(A928),MONTH(A928),1))</f>
        <v/>
      </c>
      <c r="L928" s="28" t="str">
        <f aca="false">IF(E928="","",IFERROR(INDEX(Settings!$K$8:$K$38,MATCH(E928,Settings!$H$8:$H$38,0))&amp;"",""))</f>
        <v/>
      </c>
    </row>
    <row r="929" customFormat="false" ht="15" hidden="false" customHeight="false" outlineLevel="0" collapsed="false">
      <c r="A929" s="33"/>
      <c r="B929" s="27"/>
      <c r="C929" s="27"/>
      <c r="D929" s="27"/>
      <c r="E929" s="27"/>
      <c r="F929" s="34"/>
      <c r="G929" s="27"/>
      <c r="H929" s="27"/>
      <c r="I929" s="28" t="str">
        <f aca="false">IF(C929="","",IFERROR(INDEX(Settings!$C$8:$C$19,MATCH(C929,Settings!$B$8:$B$19,0)),"?"))</f>
        <v/>
      </c>
      <c r="J929" s="28" t="str">
        <f aca="false">IF(G929="","",IFERROR(INDEX(Settings!$C$8:$C$19,MATCH(G929,Settings!$B$8:$B$19,0)),"?"))</f>
        <v/>
      </c>
      <c r="K929" s="35" t="str">
        <f aca="false">IF(A929="","",DATE(YEAR(A929),MONTH(A929),1))</f>
        <v/>
      </c>
      <c r="L929" s="28" t="str">
        <f aca="false">IF(E929="","",IFERROR(INDEX(Settings!$K$8:$K$38,MATCH(E929,Settings!$H$8:$H$38,0))&amp;"",""))</f>
        <v/>
      </c>
    </row>
    <row r="930" customFormat="false" ht="15" hidden="false" customHeight="false" outlineLevel="0" collapsed="false">
      <c r="A930" s="33"/>
      <c r="B930" s="27"/>
      <c r="C930" s="27"/>
      <c r="D930" s="27"/>
      <c r="E930" s="27"/>
      <c r="F930" s="34"/>
      <c r="G930" s="27"/>
      <c r="H930" s="27"/>
      <c r="I930" s="28" t="str">
        <f aca="false">IF(C930="","",IFERROR(INDEX(Settings!$C$8:$C$19,MATCH(C930,Settings!$B$8:$B$19,0)),"?"))</f>
        <v/>
      </c>
      <c r="J930" s="28" t="str">
        <f aca="false">IF(G930="","",IFERROR(INDEX(Settings!$C$8:$C$19,MATCH(G930,Settings!$B$8:$B$19,0)),"?"))</f>
        <v/>
      </c>
      <c r="K930" s="35" t="str">
        <f aca="false">IF(A930="","",DATE(YEAR(A930),MONTH(A930),1))</f>
        <v/>
      </c>
      <c r="L930" s="28" t="str">
        <f aca="false">IF(E930="","",IFERROR(INDEX(Settings!$K$8:$K$38,MATCH(E930,Settings!$H$8:$H$38,0))&amp;"",""))</f>
        <v/>
      </c>
    </row>
    <row r="931" customFormat="false" ht="15" hidden="false" customHeight="false" outlineLevel="0" collapsed="false">
      <c r="A931" s="33"/>
      <c r="B931" s="27"/>
      <c r="C931" s="27"/>
      <c r="D931" s="27"/>
      <c r="E931" s="27"/>
      <c r="F931" s="34"/>
      <c r="G931" s="27"/>
      <c r="H931" s="27"/>
      <c r="I931" s="28" t="str">
        <f aca="false">IF(C931="","",IFERROR(INDEX(Settings!$C$8:$C$19,MATCH(C931,Settings!$B$8:$B$19,0)),"?"))</f>
        <v/>
      </c>
      <c r="J931" s="28" t="str">
        <f aca="false">IF(G931="","",IFERROR(INDEX(Settings!$C$8:$C$19,MATCH(G931,Settings!$B$8:$B$19,0)),"?"))</f>
        <v/>
      </c>
      <c r="K931" s="35" t="str">
        <f aca="false">IF(A931="","",DATE(YEAR(A931),MONTH(A931),1))</f>
        <v/>
      </c>
      <c r="L931" s="28" t="str">
        <f aca="false">IF(E931="","",IFERROR(INDEX(Settings!$K$8:$K$38,MATCH(E931,Settings!$H$8:$H$38,0))&amp;"",""))</f>
        <v/>
      </c>
    </row>
    <row r="932" customFormat="false" ht="15" hidden="false" customHeight="false" outlineLevel="0" collapsed="false">
      <c r="A932" s="33"/>
      <c r="B932" s="27"/>
      <c r="C932" s="27"/>
      <c r="D932" s="27"/>
      <c r="E932" s="27"/>
      <c r="F932" s="34"/>
      <c r="G932" s="27"/>
      <c r="H932" s="27"/>
      <c r="I932" s="28" t="str">
        <f aca="false">IF(C932="","",IFERROR(INDEX(Settings!$C$8:$C$19,MATCH(C932,Settings!$B$8:$B$19,0)),"?"))</f>
        <v/>
      </c>
      <c r="J932" s="28" t="str">
        <f aca="false">IF(G932="","",IFERROR(INDEX(Settings!$C$8:$C$19,MATCH(G932,Settings!$B$8:$B$19,0)),"?"))</f>
        <v/>
      </c>
      <c r="K932" s="35" t="str">
        <f aca="false">IF(A932="","",DATE(YEAR(A932),MONTH(A932),1))</f>
        <v/>
      </c>
      <c r="L932" s="28" t="str">
        <f aca="false">IF(E932="","",IFERROR(INDEX(Settings!$K$8:$K$38,MATCH(E932,Settings!$H$8:$H$38,0))&amp;"",""))</f>
        <v/>
      </c>
    </row>
    <row r="933" customFormat="false" ht="15" hidden="false" customHeight="false" outlineLevel="0" collapsed="false">
      <c r="A933" s="33"/>
      <c r="B933" s="27"/>
      <c r="C933" s="27"/>
      <c r="D933" s="27"/>
      <c r="E933" s="27"/>
      <c r="F933" s="34"/>
      <c r="G933" s="27"/>
      <c r="H933" s="27"/>
      <c r="I933" s="28" t="str">
        <f aca="false">IF(C933="","",IFERROR(INDEX(Settings!$C$8:$C$19,MATCH(C933,Settings!$B$8:$B$19,0)),"?"))</f>
        <v/>
      </c>
      <c r="J933" s="28" t="str">
        <f aca="false">IF(G933="","",IFERROR(INDEX(Settings!$C$8:$C$19,MATCH(G933,Settings!$B$8:$B$19,0)),"?"))</f>
        <v/>
      </c>
      <c r="K933" s="35" t="str">
        <f aca="false">IF(A933="","",DATE(YEAR(A933),MONTH(A933),1))</f>
        <v/>
      </c>
      <c r="L933" s="28" t="str">
        <f aca="false">IF(E933="","",IFERROR(INDEX(Settings!$K$8:$K$38,MATCH(E933,Settings!$H$8:$H$38,0))&amp;"",""))</f>
        <v/>
      </c>
    </row>
    <row r="934" customFormat="false" ht="15" hidden="false" customHeight="false" outlineLevel="0" collapsed="false">
      <c r="A934" s="33"/>
      <c r="B934" s="27"/>
      <c r="C934" s="27"/>
      <c r="D934" s="27"/>
      <c r="E934" s="27"/>
      <c r="F934" s="34"/>
      <c r="G934" s="27"/>
      <c r="H934" s="27"/>
      <c r="I934" s="28" t="str">
        <f aca="false">IF(C934="","",IFERROR(INDEX(Settings!$C$8:$C$19,MATCH(C934,Settings!$B$8:$B$19,0)),"?"))</f>
        <v/>
      </c>
      <c r="J934" s="28" t="str">
        <f aca="false">IF(G934="","",IFERROR(INDEX(Settings!$C$8:$C$19,MATCH(G934,Settings!$B$8:$B$19,0)),"?"))</f>
        <v/>
      </c>
      <c r="K934" s="35" t="str">
        <f aca="false">IF(A934="","",DATE(YEAR(A934),MONTH(A934),1))</f>
        <v/>
      </c>
      <c r="L934" s="28" t="str">
        <f aca="false">IF(E934="","",IFERROR(INDEX(Settings!$K$8:$K$38,MATCH(E934,Settings!$H$8:$H$38,0))&amp;"",""))</f>
        <v/>
      </c>
    </row>
    <row r="935" customFormat="false" ht="15" hidden="false" customHeight="false" outlineLevel="0" collapsed="false">
      <c r="A935" s="33"/>
      <c r="B935" s="27"/>
      <c r="C935" s="27"/>
      <c r="D935" s="27"/>
      <c r="E935" s="27"/>
      <c r="F935" s="34"/>
      <c r="G935" s="27"/>
      <c r="H935" s="27"/>
      <c r="I935" s="28" t="str">
        <f aca="false">IF(C935="","",IFERROR(INDEX(Settings!$C$8:$C$19,MATCH(C935,Settings!$B$8:$B$19,0)),"?"))</f>
        <v/>
      </c>
      <c r="J935" s="28" t="str">
        <f aca="false">IF(G935="","",IFERROR(INDEX(Settings!$C$8:$C$19,MATCH(G935,Settings!$B$8:$B$19,0)),"?"))</f>
        <v/>
      </c>
      <c r="K935" s="35" t="str">
        <f aca="false">IF(A935="","",DATE(YEAR(A935),MONTH(A935),1))</f>
        <v/>
      </c>
      <c r="L935" s="28" t="str">
        <f aca="false">IF(E935="","",IFERROR(INDEX(Settings!$K$8:$K$38,MATCH(E935,Settings!$H$8:$H$38,0))&amp;"",""))</f>
        <v/>
      </c>
    </row>
    <row r="936" customFormat="false" ht="15" hidden="false" customHeight="false" outlineLevel="0" collapsed="false">
      <c r="A936" s="33"/>
      <c r="B936" s="27"/>
      <c r="C936" s="27"/>
      <c r="D936" s="27"/>
      <c r="E936" s="27"/>
      <c r="F936" s="34"/>
      <c r="G936" s="27"/>
      <c r="H936" s="27"/>
      <c r="I936" s="28" t="str">
        <f aca="false">IF(C936="","",IFERROR(INDEX(Settings!$C$8:$C$19,MATCH(C936,Settings!$B$8:$B$19,0)),"?"))</f>
        <v/>
      </c>
      <c r="J936" s="28" t="str">
        <f aca="false">IF(G936="","",IFERROR(INDEX(Settings!$C$8:$C$19,MATCH(G936,Settings!$B$8:$B$19,0)),"?"))</f>
        <v/>
      </c>
      <c r="K936" s="35" t="str">
        <f aca="false">IF(A936="","",DATE(YEAR(A936),MONTH(A936),1))</f>
        <v/>
      </c>
      <c r="L936" s="28" t="str">
        <f aca="false">IF(E936="","",IFERROR(INDEX(Settings!$K$8:$K$38,MATCH(E936,Settings!$H$8:$H$38,0))&amp;"",""))</f>
        <v/>
      </c>
    </row>
    <row r="937" customFormat="false" ht="15" hidden="false" customHeight="false" outlineLevel="0" collapsed="false">
      <c r="A937" s="33"/>
      <c r="B937" s="27"/>
      <c r="C937" s="27"/>
      <c r="D937" s="27"/>
      <c r="E937" s="27"/>
      <c r="F937" s="34"/>
      <c r="G937" s="27"/>
      <c r="H937" s="27"/>
      <c r="I937" s="28" t="str">
        <f aca="false">IF(C937="","",IFERROR(INDEX(Settings!$C$8:$C$19,MATCH(C937,Settings!$B$8:$B$19,0)),"?"))</f>
        <v/>
      </c>
      <c r="J937" s="28" t="str">
        <f aca="false">IF(G937="","",IFERROR(INDEX(Settings!$C$8:$C$19,MATCH(G937,Settings!$B$8:$B$19,0)),"?"))</f>
        <v/>
      </c>
      <c r="K937" s="35" t="str">
        <f aca="false">IF(A937="","",DATE(YEAR(A937),MONTH(A937),1))</f>
        <v/>
      </c>
      <c r="L937" s="28" t="str">
        <f aca="false">IF(E937="","",IFERROR(INDEX(Settings!$K$8:$K$38,MATCH(E937,Settings!$H$8:$H$38,0))&amp;"",""))</f>
        <v/>
      </c>
    </row>
    <row r="938" customFormat="false" ht="15" hidden="false" customHeight="false" outlineLevel="0" collapsed="false">
      <c r="A938" s="33"/>
      <c r="B938" s="27"/>
      <c r="C938" s="27"/>
      <c r="D938" s="27"/>
      <c r="E938" s="27"/>
      <c r="F938" s="34"/>
      <c r="G938" s="27"/>
      <c r="H938" s="27"/>
      <c r="I938" s="28" t="str">
        <f aca="false">IF(C938="","",IFERROR(INDEX(Settings!$C$8:$C$19,MATCH(C938,Settings!$B$8:$B$19,0)),"?"))</f>
        <v/>
      </c>
      <c r="J938" s="28" t="str">
        <f aca="false">IF(G938="","",IFERROR(INDEX(Settings!$C$8:$C$19,MATCH(G938,Settings!$B$8:$B$19,0)),"?"))</f>
        <v/>
      </c>
      <c r="K938" s="35" t="str">
        <f aca="false">IF(A938="","",DATE(YEAR(A938),MONTH(A938),1))</f>
        <v/>
      </c>
      <c r="L938" s="28" t="str">
        <f aca="false">IF(E938="","",IFERROR(INDEX(Settings!$K$8:$K$38,MATCH(E938,Settings!$H$8:$H$38,0))&amp;"",""))</f>
        <v/>
      </c>
    </row>
    <row r="939" customFormat="false" ht="15" hidden="false" customHeight="false" outlineLevel="0" collapsed="false">
      <c r="A939" s="33"/>
      <c r="B939" s="27"/>
      <c r="C939" s="27"/>
      <c r="D939" s="27"/>
      <c r="E939" s="27"/>
      <c r="F939" s="34"/>
      <c r="G939" s="27"/>
      <c r="H939" s="27"/>
      <c r="I939" s="28" t="str">
        <f aca="false">IF(C939="","",IFERROR(INDEX(Settings!$C$8:$C$19,MATCH(C939,Settings!$B$8:$B$19,0)),"?"))</f>
        <v/>
      </c>
      <c r="J939" s="28" t="str">
        <f aca="false">IF(G939="","",IFERROR(INDEX(Settings!$C$8:$C$19,MATCH(G939,Settings!$B$8:$B$19,0)),"?"))</f>
        <v/>
      </c>
      <c r="K939" s="35" t="str">
        <f aca="false">IF(A939="","",DATE(YEAR(A939),MONTH(A939),1))</f>
        <v/>
      </c>
      <c r="L939" s="28" t="str">
        <f aca="false">IF(E939="","",IFERROR(INDEX(Settings!$K$8:$K$38,MATCH(E939,Settings!$H$8:$H$38,0))&amp;"",""))</f>
        <v/>
      </c>
    </row>
    <row r="940" customFormat="false" ht="15" hidden="false" customHeight="false" outlineLevel="0" collapsed="false">
      <c r="A940" s="33"/>
      <c r="B940" s="27"/>
      <c r="C940" s="27"/>
      <c r="D940" s="27"/>
      <c r="E940" s="27"/>
      <c r="F940" s="34"/>
      <c r="G940" s="27"/>
      <c r="H940" s="27"/>
      <c r="I940" s="28" t="str">
        <f aca="false">IF(C940="","",IFERROR(INDEX(Settings!$C$8:$C$19,MATCH(C940,Settings!$B$8:$B$19,0)),"?"))</f>
        <v/>
      </c>
      <c r="J940" s="28" t="str">
        <f aca="false">IF(G940="","",IFERROR(INDEX(Settings!$C$8:$C$19,MATCH(G940,Settings!$B$8:$B$19,0)),"?"))</f>
        <v/>
      </c>
      <c r="K940" s="35" t="str">
        <f aca="false">IF(A940="","",DATE(YEAR(A940),MONTH(A940),1))</f>
        <v/>
      </c>
      <c r="L940" s="28" t="str">
        <f aca="false">IF(E940="","",IFERROR(INDEX(Settings!$K$8:$K$38,MATCH(E940,Settings!$H$8:$H$38,0))&amp;"",""))</f>
        <v/>
      </c>
    </row>
    <row r="941" customFormat="false" ht="15" hidden="false" customHeight="false" outlineLevel="0" collapsed="false">
      <c r="A941" s="33"/>
      <c r="B941" s="27"/>
      <c r="C941" s="27"/>
      <c r="D941" s="27"/>
      <c r="E941" s="27"/>
      <c r="F941" s="34"/>
      <c r="G941" s="27"/>
      <c r="H941" s="27"/>
      <c r="I941" s="28" t="str">
        <f aca="false">IF(C941="","",IFERROR(INDEX(Settings!$C$8:$C$19,MATCH(C941,Settings!$B$8:$B$19,0)),"?"))</f>
        <v/>
      </c>
      <c r="J941" s="28" t="str">
        <f aca="false">IF(G941="","",IFERROR(INDEX(Settings!$C$8:$C$19,MATCH(G941,Settings!$B$8:$B$19,0)),"?"))</f>
        <v/>
      </c>
      <c r="K941" s="35" t="str">
        <f aca="false">IF(A941="","",DATE(YEAR(A941),MONTH(A941),1))</f>
        <v/>
      </c>
      <c r="L941" s="28" t="str">
        <f aca="false">IF(E941="","",IFERROR(INDEX(Settings!$K$8:$K$38,MATCH(E941,Settings!$H$8:$H$38,0))&amp;"",""))</f>
        <v/>
      </c>
    </row>
    <row r="942" customFormat="false" ht="15" hidden="false" customHeight="false" outlineLevel="0" collapsed="false">
      <c r="A942" s="33"/>
      <c r="B942" s="27"/>
      <c r="C942" s="27"/>
      <c r="D942" s="27"/>
      <c r="E942" s="27"/>
      <c r="F942" s="34"/>
      <c r="G942" s="27"/>
      <c r="H942" s="27"/>
      <c r="I942" s="28" t="str">
        <f aca="false">IF(C942="","",IFERROR(INDEX(Settings!$C$8:$C$19,MATCH(C942,Settings!$B$8:$B$19,0)),"?"))</f>
        <v/>
      </c>
      <c r="J942" s="28" t="str">
        <f aca="false">IF(G942="","",IFERROR(INDEX(Settings!$C$8:$C$19,MATCH(G942,Settings!$B$8:$B$19,0)),"?"))</f>
        <v/>
      </c>
      <c r="K942" s="35" t="str">
        <f aca="false">IF(A942="","",DATE(YEAR(A942),MONTH(A942),1))</f>
        <v/>
      </c>
      <c r="L942" s="28" t="str">
        <f aca="false">IF(E942="","",IFERROR(INDEX(Settings!$K$8:$K$38,MATCH(E942,Settings!$H$8:$H$38,0))&amp;"",""))</f>
        <v/>
      </c>
    </row>
    <row r="943" customFormat="false" ht="15" hidden="false" customHeight="false" outlineLevel="0" collapsed="false">
      <c r="A943" s="33"/>
      <c r="B943" s="27"/>
      <c r="C943" s="27"/>
      <c r="D943" s="27"/>
      <c r="E943" s="27"/>
      <c r="F943" s="34"/>
      <c r="G943" s="27"/>
      <c r="H943" s="27"/>
      <c r="I943" s="28" t="str">
        <f aca="false">IF(C943="","",IFERROR(INDEX(Settings!$C$8:$C$19,MATCH(C943,Settings!$B$8:$B$19,0)),"?"))</f>
        <v/>
      </c>
      <c r="J943" s="28" t="str">
        <f aca="false">IF(G943="","",IFERROR(INDEX(Settings!$C$8:$C$19,MATCH(G943,Settings!$B$8:$B$19,0)),"?"))</f>
        <v/>
      </c>
      <c r="K943" s="35" t="str">
        <f aca="false">IF(A943="","",DATE(YEAR(A943),MONTH(A943),1))</f>
        <v/>
      </c>
      <c r="L943" s="28" t="str">
        <f aca="false">IF(E943="","",IFERROR(INDEX(Settings!$K$8:$K$38,MATCH(E943,Settings!$H$8:$H$38,0))&amp;"",""))</f>
        <v/>
      </c>
    </row>
    <row r="944" customFormat="false" ht="15" hidden="false" customHeight="false" outlineLevel="0" collapsed="false">
      <c r="A944" s="33"/>
      <c r="B944" s="27"/>
      <c r="C944" s="27"/>
      <c r="D944" s="27"/>
      <c r="E944" s="27"/>
      <c r="F944" s="34"/>
      <c r="G944" s="27"/>
      <c r="H944" s="27"/>
      <c r="I944" s="28" t="str">
        <f aca="false">IF(C944="","",IFERROR(INDEX(Settings!$C$8:$C$19,MATCH(C944,Settings!$B$8:$B$19,0)),"?"))</f>
        <v/>
      </c>
      <c r="J944" s="28" t="str">
        <f aca="false">IF(G944="","",IFERROR(INDEX(Settings!$C$8:$C$19,MATCH(G944,Settings!$B$8:$B$19,0)),"?"))</f>
        <v/>
      </c>
      <c r="K944" s="35" t="str">
        <f aca="false">IF(A944="","",DATE(YEAR(A944),MONTH(A944),1))</f>
        <v/>
      </c>
      <c r="L944" s="28" t="str">
        <f aca="false">IF(E944="","",IFERROR(INDEX(Settings!$K$8:$K$38,MATCH(E944,Settings!$H$8:$H$38,0))&amp;"",""))</f>
        <v/>
      </c>
    </row>
    <row r="945" customFormat="false" ht="15" hidden="false" customHeight="false" outlineLevel="0" collapsed="false">
      <c r="A945" s="33"/>
      <c r="B945" s="27"/>
      <c r="C945" s="27"/>
      <c r="D945" s="27"/>
      <c r="E945" s="27"/>
      <c r="F945" s="34"/>
      <c r="G945" s="27"/>
      <c r="H945" s="27"/>
      <c r="I945" s="28" t="str">
        <f aca="false">IF(C945="","",IFERROR(INDEX(Settings!$C$8:$C$19,MATCH(C945,Settings!$B$8:$B$19,0)),"?"))</f>
        <v/>
      </c>
      <c r="J945" s="28" t="str">
        <f aca="false">IF(G945="","",IFERROR(INDEX(Settings!$C$8:$C$19,MATCH(G945,Settings!$B$8:$B$19,0)),"?"))</f>
        <v/>
      </c>
      <c r="K945" s="35" t="str">
        <f aca="false">IF(A945="","",DATE(YEAR(A945),MONTH(A945),1))</f>
        <v/>
      </c>
      <c r="L945" s="28" t="str">
        <f aca="false">IF(E945="","",IFERROR(INDEX(Settings!$K$8:$K$38,MATCH(E945,Settings!$H$8:$H$38,0))&amp;"",""))</f>
        <v/>
      </c>
    </row>
    <row r="946" customFormat="false" ht="15" hidden="false" customHeight="false" outlineLevel="0" collapsed="false">
      <c r="A946" s="33"/>
      <c r="B946" s="27"/>
      <c r="C946" s="27"/>
      <c r="D946" s="27"/>
      <c r="E946" s="27"/>
      <c r="F946" s="34"/>
      <c r="G946" s="27"/>
      <c r="H946" s="27"/>
      <c r="I946" s="28" t="str">
        <f aca="false">IF(C946="","",IFERROR(INDEX(Settings!$C$8:$C$19,MATCH(C946,Settings!$B$8:$B$19,0)),"?"))</f>
        <v/>
      </c>
      <c r="J946" s="28" t="str">
        <f aca="false">IF(G946="","",IFERROR(INDEX(Settings!$C$8:$C$19,MATCH(G946,Settings!$B$8:$B$19,0)),"?"))</f>
        <v/>
      </c>
      <c r="K946" s="35" t="str">
        <f aca="false">IF(A946="","",DATE(YEAR(A946),MONTH(A946),1))</f>
        <v/>
      </c>
      <c r="L946" s="28" t="str">
        <f aca="false">IF(E946="","",IFERROR(INDEX(Settings!$K$8:$K$38,MATCH(E946,Settings!$H$8:$H$38,0))&amp;"",""))</f>
        <v/>
      </c>
    </row>
    <row r="947" customFormat="false" ht="15" hidden="false" customHeight="false" outlineLevel="0" collapsed="false">
      <c r="A947" s="33"/>
      <c r="B947" s="27"/>
      <c r="C947" s="27"/>
      <c r="D947" s="27"/>
      <c r="E947" s="27"/>
      <c r="F947" s="34"/>
      <c r="G947" s="27"/>
      <c r="H947" s="27"/>
      <c r="I947" s="28" t="str">
        <f aca="false">IF(C947="","",IFERROR(INDEX(Settings!$C$8:$C$19,MATCH(C947,Settings!$B$8:$B$19,0)),"?"))</f>
        <v/>
      </c>
      <c r="J947" s="28" t="str">
        <f aca="false">IF(G947="","",IFERROR(INDEX(Settings!$C$8:$C$19,MATCH(G947,Settings!$B$8:$B$19,0)),"?"))</f>
        <v/>
      </c>
      <c r="K947" s="35" t="str">
        <f aca="false">IF(A947="","",DATE(YEAR(A947),MONTH(A947),1))</f>
        <v/>
      </c>
      <c r="L947" s="28" t="str">
        <f aca="false">IF(E947="","",IFERROR(INDEX(Settings!$K$8:$K$38,MATCH(E947,Settings!$H$8:$H$38,0))&amp;"",""))</f>
        <v/>
      </c>
    </row>
    <row r="948" customFormat="false" ht="15" hidden="false" customHeight="false" outlineLevel="0" collapsed="false">
      <c r="A948" s="33"/>
      <c r="B948" s="27"/>
      <c r="C948" s="27"/>
      <c r="D948" s="27"/>
      <c r="E948" s="27"/>
      <c r="F948" s="34"/>
      <c r="G948" s="27"/>
      <c r="H948" s="27"/>
      <c r="I948" s="28" t="str">
        <f aca="false">IF(C948="","",IFERROR(INDEX(Settings!$C$8:$C$19,MATCH(C948,Settings!$B$8:$B$19,0)),"?"))</f>
        <v/>
      </c>
      <c r="J948" s="28" t="str">
        <f aca="false">IF(G948="","",IFERROR(INDEX(Settings!$C$8:$C$19,MATCH(G948,Settings!$B$8:$B$19,0)),"?"))</f>
        <v/>
      </c>
      <c r="K948" s="35" t="str">
        <f aca="false">IF(A948="","",DATE(YEAR(A948),MONTH(A948),1))</f>
        <v/>
      </c>
      <c r="L948" s="28" t="str">
        <f aca="false">IF(E948="","",IFERROR(INDEX(Settings!$K$8:$K$38,MATCH(E948,Settings!$H$8:$H$38,0))&amp;"",""))</f>
        <v/>
      </c>
    </row>
    <row r="949" customFormat="false" ht="15" hidden="false" customHeight="false" outlineLevel="0" collapsed="false">
      <c r="A949" s="33"/>
      <c r="B949" s="27"/>
      <c r="C949" s="27"/>
      <c r="D949" s="27"/>
      <c r="E949" s="27"/>
      <c r="F949" s="34"/>
      <c r="G949" s="27"/>
      <c r="H949" s="27"/>
      <c r="I949" s="28" t="str">
        <f aca="false">IF(C949="","",IFERROR(INDEX(Settings!$C$8:$C$19,MATCH(C949,Settings!$B$8:$B$19,0)),"?"))</f>
        <v/>
      </c>
      <c r="J949" s="28" t="str">
        <f aca="false">IF(G949="","",IFERROR(INDEX(Settings!$C$8:$C$19,MATCH(G949,Settings!$B$8:$B$19,0)),"?"))</f>
        <v/>
      </c>
      <c r="K949" s="35" t="str">
        <f aca="false">IF(A949="","",DATE(YEAR(A949),MONTH(A949),1))</f>
        <v/>
      </c>
      <c r="L949" s="28" t="str">
        <f aca="false">IF(E949="","",IFERROR(INDEX(Settings!$K$8:$K$38,MATCH(E949,Settings!$H$8:$H$38,0))&amp;"",""))</f>
        <v/>
      </c>
    </row>
    <row r="950" customFormat="false" ht="15" hidden="false" customHeight="false" outlineLevel="0" collapsed="false">
      <c r="A950" s="33"/>
      <c r="B950" s="27"/>
      <c r="C950" s="27"/>
      <c r="D950" s="27"/>
      <c r="E950" s="27"/>
      <c r="F950" s="34"/>
      <c r="G950" s="27"/>
      <c r="H950" s="27"/>
      <c r="I950" s="28" t="str">
        <f aca="false">IF(C950="","",IFERROR(INDEX(Settings!$C$8:$C$19,MATCH(C950,Settings!$B$8:$B$19,0)),"?"))</f>
        <v/>
      </c>
      <c r="J950" s="28" t="str">
        <f aca="false">IF(G950="","",IFERROR(INDEX(Settings!$C$8:$C$19,MATCH(G950,Settings!$B$8:$B$19,0)),"?"))</f>
        <v/>
      </c>
      <c r="K950" s="35" t="str">
        <f aca="false">IF(A950="","",DATE(YEAR(A950),MONTH(A950),1))</f>
        <v/>
      </c>
      <c r="L950" s="28" t="str">
        <f aca="false">IF(E950="","",IFERROR(INDEX(Settings!$K$8:$K$38,MATCH(E950,Settings!$H$8:$H$38,0))&amp;"",""))</f>
        <v/>
      </c>
    </row>
    <row r="951" customFormat="false" ht="15" hidden="false" customHeight="false" outlineLevel="0" collapsed="false">
      <c r="A951" s="33"/>
      <c r="B951" s="27"/>
      <c r="C951" s="27"/>
      <c r="D951" s="27"/>
      <c r="E951" s="27"/>
      <c r="F951" s="34"/>
      <c r="G951" s="27"/>
      <c r="H951" s="27"/>
      <c r="I951" s="28" t="str">
        <f aca="false">IF(C951="","",IFERROR(INDEX(Settings!$C$8:$C$19,MATCH(C951,Settings!$B$8:$B$19,0)),"?"))</f>
        <v/>
      </c>
      <c r="J951" s="28" t="str">
        <f aca="false">IF(G951="","",IFERROR(INDEX(Settings!$C$8:$C$19,MATCH(G951,Settings!$B$8:$B$19,0)),"?"))</f>
        <v/>
      </c>
      <c r="K951" s="35" t="str">
        <f aca="false">IF(A951="","",DATE(YEAR(A951),MONTH(A951),1))</f>
        <v/>
      </c>
      <c r="L951" s="28" t="str">
        <f aca="false">IF(E951="","",IFERROR(INDEX(Settings!$K$8:$K$38,MATCH(E951,Settings!$H$8:$H$38,0))&amp;"",""))</f>
        <v/>
      </c>
    </row>
    <row r="952" customFormat="false" ht="15" hidden="false" customHeight="false" outlineLevel="0" collapsed="false">
      <c r="A952" s="33"/>
      <c r="B952" s="27"/>
      <c r="C952" s="27"/>
      <c r="D952" s="27"/>
      <c r="E952" s="27"/>
      <c r="F952" s="34"/>
      <c r="G952" s="27"/>
      <c r="H952" s="27"/>
      <c r="I952" s="28" t="str">
        <f aca="false">IF(C952="","",IFERROR(INDEX(Settings!$C$8:$C$19,MATCH(C952,Settings!$B$8:$B$19,0)),"?"))</f>
        <v/>
      </c>
      <c r="J952" s="28" t="str">
        <f aca="false">IF(G952="","",IFERROR(INDEX(Settings!$C$8:$C$19,MATCH(G952,Settings!$B$8:$B$19,0)),"?"))</f>
        <v/>
      </c>
      <c r="K952" s="35" t="str">
        <f aca="false">IF(A952="","",DATE(YEAR(A952),MONTH(A952),1))</f>
        <v/>
      </c>
      <c r="L952" s="28" t="str">
        <f aca="false">IF(E952="","",IFERROR(INDEX(Settings!$K$8:$K$38,MATCH(E952,Settings!$H$8:$H$38,0))&amp;"",""))</f>
        <v/>
      </c>
    </row>
    <row r="953" customFormat="false" ht="15" hidden="false" customHeight="false" outlineLevel="0" collapsed="false">
      <c r="A953" s="33"/>
      <c r="B953" s="27"/>
      <c r="C953" s="27"/>
      <c r="D953" s="27"/>
      <c r="E953" s="27"/>
      <c r="F953" s="34"/>
      <c r="G953" s="27"/>
      <c r="H953" s="27"/>
      <c r="I953" s="28" t="str">
        <f aca="false">IF(C953="","",IFERROR(INDEX(Settings!$C$8:$C$19,MATCH(C953,Settings!$B$8:$B$19,0)),"?"))</f>
        <v/>
      </c>
      <c r="J953" s="28" t="str">
        <f aca="false">IF(G953="","",IFERROR(INDEX(Settings!$C$8:$C$19,MATCH(G953,Settings!$B$8:$B$19,0)),"?"))</f>
        <v/>
      </c>
      <c r="K953" s="35" t="str">
        <f aca="false">IF(A953="","",DATE(YEAR(A953),MONTH(A953),1))</f>
        <v/>
      </c>
      <c r="L953" s="28" t="str">
        <f aca="false">IF(E953="","",IFERROR(INDEX(Settings!$K$8:$K$38,MATCH(E953,Settings!$H$8:$H$38,0))&amp;"",""))</f>
        <v/>
      </c>
    </row>
    <row r="954" customFormat="false" ht="15" hidden="false" customHeight="false" outlineLevel="0" collapsed="false">
      <c r="A954" s="33"/>
      <c r="B954" s="27"/>
      <c r="C954" s="27"/>
      <c r="D954" s="27"/>
      <c r="E954" s="27"/>
      <c r="F954" s="34"/>
      <c r="G954" s="27"/>
      <c r="H954" s="27"/>
      <c r="I954" s="28" t="str">
        <f aca="false">IF(C954="","",IFERROR(INDEX(Settings!$C$8:$C$19,MATCH(C954,Settings!$B$8:$B$19,0)),"?"))</f>
        <v/>
      </c>
      <c r="J954" s="28" t="str">
        <f aca="false">IF(G954="","",IFERROR(INDEX(Settings!$C$8:$C$19,MATCH(G954,Settings!$B$8:$B$19,0)),"?"))</f>
        <v/>
      </c>
      <c r="K954" s="35" t="str">
        <f aca="false">IF(A954="","",DATE(YEAR(A954),MONTH(A954),1))</f>
        <v/>
      </c>
      <c r="L954" s="28" t="str">
        <f aca="false">IF(E954="","",IFERROR(INDEX(Settings!$K$8:$K$38,MATCH(E954,Settings!$H$8:$H$38,0))&amp;"",""))</f>
        <v/>
      </c>
    </row>
    <row r="955" customFormat="false" ht="15" hidden="false" customHeight="false" outlineLevel="0" collapsed="false">
      <c r="A955" s="33"/>
      <c r="B955" s="27"/>
      <c r="C955" s="27"/>
      <c r="D955" s="27"/>
      <c r="E955" s="27"/>
      <c r="F955" s="34"/>
      <c r="G955" s="27"/>
      <c r="H955" s="27"/>
      <c r="I955" s="28" t="str">
        <f aca="false">IF(C955="","",IFERROR(INDEX(Settings!$C$8:$C$19,MATCH(C955,Settings!$B$8:$B$19,0)),"?"))</f>
        <v/>
      </c>
      <c r="J955" s="28" t="str">
        <f aca="false">IF(G955="","",IFERROR(INDEX(Settings!$C$8:$C$19,MATCH(G955,Settings!$B$8:$B$19,0)),"?"))</f>
        <v/>
      </c>
      <c r="K955" s="35" t="str">
        <f aca="false">IF(A955="","",DATE(YEAR(A955),MONTH(A955),1))</f>
        <v/>
      </c>
      <c r="L955" s="28" t="str">
        <f aca="false">IF(E955="","",IFERROR(INDEX(Settings!$K$8:$K$38,MATCH(E955,Settings!$H$8:$H$38,0))&amp;"",""))</f>
        <v/>
      </c>
    </row>
    <row r="956" customFormat="false" ht="15" hidden="false" customHeight="false" outlineLevel="0" collapsed="false">
      <c r="A956" s="33"/>
      <c r="B956" s="27"/>
      <c r="C956" s="27"/>
      <c r="D956" s="27"/>
      <c r="E956" s="27"/>
      <c r="F956" s="34"/>
      <c r="G956" s="27"/>
      <c r="H956" s="27"/>
      <c r="I956" s="28" t="str">
        <f aca="false">IF(C956="","",IFERROR(INDEX(Settings!$C$8:$C$19,MATCH(C956,Settings!$B$8:$B$19,0)),"?"))</f>
        <v/>
      </c>
      <c r="J956" s="28" t="str">
        <f aca="false">IF(G956="","",IFERROR(INDEX(Settings!$C$8:$C$19,MATCH(G956,Settings!$B$8:$B$19,0)),"?"))</f>
        <v/>
      </c>
      <c r="K956" s="35" t="str">
        <f aca="false">IF(A956="","",DATE(YEAR(A956),MONTH(A956),1))</f>
        <v/>
      </c>
      <c r="L956" s="28" t="str">
        <f aca="false">IF(E956="","",IFERROR(INDEX(Settings!$K$8:$K$38,MATCH(E956,Settings!$H$8:$H$38,0))&amp;"",""))</f>
        <v/>
      </c>
    </row>
    <row r="957" customFormat="false" ht="15" hidden="false" customHeight="false" outlineLevel="0" collapsed="false">
      <c r="A957" s="33"/>
      <c r="B957" s="27"/>
      <c r="C957" s="27"/>
      <c r="D957" s="27"/>
      <c r="E957" s="27"/>
      <c r="F957" s="34"/>
      <c r="G957" s="27"/>
      <c r="H957" s="27"/>
      <c r="I957" s="28" t="str">
        <f aca="false">IF(C957="","",IFERROR(INDEX(Settings!$C$8:$C$19,MATCH(C957,Settings!$B$8:$B$19,0)),"?"))</f>
        <v/>
      </c>
      <c r="J957" s="28" t="str">
        <f aca="false">IF(G957="","",IFERROR(INDEX(Settings!$C$8:$C$19,MATCH(G957,Settings!$B$8:$B$19,0)),"?"))</f>
        <v/>
      </c>
      <c r="K957" s="35" t="str">
        <f aca="false">IF(A957="","",DATE(YEAR(A957),MONTH(A957),1))</f>
        <v/>
      </c>
      <c r="L957" s="28" t="str">
        <f aca="false">IF(E957="","",IFERROR(INDEX(Settings!$K$8:$K$38,MATCH(E957,Settings!$H$8:$H$38,0))&amp;"",""))</f>
        <v/>
      </c>
    </row>
    <row r="958" customFormat="false" ht="15" hidden="false" customHeight="false" outlineLevel="0" collapsed="false">
      <c r="A958" s="33"/>
      <c r="B958" s="27"/>
      <c r="C958" s="27"/>
      <c r="D958" s="27"/>
      <c r="E958" s="27"/>
      <c r="F958" s="34"/>
      <c r="G958" s="27"/>
      <c r="H958" s="27"/>
      <c r="I958" s="28" t="str">
        <f aca="false">IF(C958="","",IFERROR(INDEX(Settings!$C$8:$C$19,MATCH(C958,Settings!$B$8:$B$19,0)),"?"))</f>
        <v/>
      </c>
      <c r="J958" s="28" t="str">
        <f aca="false">IF(G958="","",IFERROR(INDEX(Settings!$C$8:$C$19,MATCH(G958,Settings!$B$8:$B$19,0)),"?"))</f>
        <v/>
      </c>
      <c r="K958" s="35" t="str">
        <f aca="false">IF(A958="","",DATE(YEAR(A958),MONTH(A958),1))</f>
        <v/>
      </c>
      <c r="L958" s="28" t="str">
        <f aca="false">IF(E958="","",IFERROR(INDEX(Settings!$K$8:$K$38,MATCH(E958,Settings!$H$8:$H$38,0))&amp;"",""))</f>
        <v/>
      </c>
    </row>
    <row r="959" customFormat="false" ht="15" hidden="false" customHeight="false" outlineLevel="0" collapsed="false">
      <c r="A959" s="33"/>
      <c r="B959" s="27"/>
      <c r="C959" s="27"/>
      <c r="D959" s="27"/>
      <c r="E959" s="27"/>
      <c r="F959" s="34"/>
      <c r="G959" s="27"/>
      <c r="H959" s="27"/>
      <c r="I959" s="28" t="str">
        <f aca="false">IF(C959="","",IFERROR(INDEX(Settings!$C$8:$C$19,MATCH(C959,Settings!$B$8:$B$19,0)),"?"))</f>
        <v/>
      </c>
      <c r="J959" s="28" t="str">
        <f aca="false">IF(G959="","",IFERROR(INDEX(Settings!$C$8:$C$19,MATCH(G959,Settings!$B$8:$B$19,0)),"?"))</f>
        <v/>
      </c>
      <c r="K959" s="35" t="str">
        <f aca="false">IF(A959="","",DATE(YEAR(A959),MONTH(A959),1))</f>
        <v/>
      </c>
      <c r="L959" s="28" t="str">
        <f aca="false">IF(E959="","",IFERROR(INDEX(Settings!$K$8:$K$38,MATCH(E959,Settings!$H$8:$H$38,0))&amp;"",""))</f>
        <v/>
      </c>
    </row>
    <row r="960" customFormat="false" ht="15" hidden="false" customHeight="false" outlineLevel="0" collapsed="false">
      <c r="A960" s="33"/>
      <c r="B960" s="27"/>
      <c r="C960" s="27"/>
      <c r="D960" s="27"/>
      <c r="E960" s="27"/>
      <c r="F960" s="34"/>
      <c r="G960" s="27"/>
      <c r="H960" s="27"/>
      <c r="I960" s="28" t="str">
        <f aca="false">IF(C960="","",IFERROR(INDEX(Settings!$C$8:$C$19,MATCH(C960,Settings!$B$8:$B$19,0)),"?"))</f>
        <v/>
      </c>
      <c r="J960" s="28" t="str">
        <f aca="false">IF(G960="","",IFERROR(INDEX(Settings!$C$8:$C$19,MATCH(G960,Settings!$B$8:$B$19,0)),"?"))</f>
        <v/>
      </c>
      <c r="K960" s="35" t="str">
        <f aca="false">IF(A960="","",DATE(YEAR(A960),MONTH(A960),1))</f>
        <v/>
      </c>
      <c r="L960" s="28" t="str">
        <f aca="false">IF(E960="","",IFERROR(INDEX(Settings!$K$8:$K$38,MATCH(E960,Settings!$H$8:$H$38,0))&amp;"",""))</f>
        <v/>
      </c>
    </row>
    <row r="961" customFormat="false" ht="15" hidden="false" customHeight="false" outlineLevel="0" collapsed="false">
      <c r="A961" s="33"/>
      <c r="B961" s="27"/>
      <c r="C961" s="27"/>
      <c r="D961" s="27"/>
      <c r="E961" s="27"/>
      <c r="F961" s="34"/>
      <c r="G961" s="27"/>
      <c r="H961" s="27"/>
      <c r="I961" s="28" t="str">
        <f aca="false">IF(C961="","",IFERROR(INDEX(Settings!$C$8:$C$19,MATCH(C961,Settings!$B$8:$B$19,0)),"?"))</f>
        <v/>
      </c>
      <c r="J961" s="28" t="str">
        <f aca="false">IF(G961="","",IFERROR(INDEX(Settings!$C$8:$C$19,MATCH(G961,Settings!$B$8:$B$19,0)),"?"))</f>
        <v/>
      </c>
      <c r="K961" s="35" t="str">
        <f aca="false">IF(A961="","",DATE(YEAR(A961),MONTH(A961),1))</f>
        <v/>
      </c>
      <c r="L961" s="28" t="str">
        <f aca="false">IF(E961="","",IFERROR(INDEX(Settings!$K$8:$K$38,MATCH(E961,Settings!$H$8:$H$38,0))&amp;"",""))</f>
        <v/>
      </c>
    </row>
    <row r="962" customFormat="false" ht="15" hidden="false" customHeight="false" outlineLevel="0" collapsed="false">
      <c r="A962" s="33"/>
      <c r="B962" s="27"/>
      <c r="C962" s="27"/>
      <c r="D962" s="27"/>
      <c r="E962" s="27"/>
      <c r="F962" s="34"/>
      <c r="G962" s="27"/>
      <c r="H962" s="27"/>
      <c r="I962" s="28" t="str">
        <f aca="false">IF(C962="","",IFERROR(INDEX(Settings!$C$8:$C$19,MATCH(C962,Settings!$B$8:$B$19,0)),"?"))</f>
        <v/>
      </c>
      <c r="J962" s="28" t="str">
        <f aca="false">IF(G962="","",IFERROR(INDEX(Settings!$C$8:$C$19,MATCH(G962,Settings!$B$8:$B$19,0)),"?"))</f>
        <v/>
      </c>
      <c r="K962" s="35" t="str">
        <f aca="false">IF(A962="","",DATE(YEAR(A962),MONTH(A962),1))</f>
        <v/>
      </c>
      <c r="L962" s="28" t="str">
        <f aca="false">IF(E962="","",IFERROR(INDEX(Settings!$K$8:$K$38,MATCH(E962,Settings!$H$8:$H$38,0))&amp;"",""))</f>
        <v/>
      </c>
    </row>
    <row r="963" customFormat="false" ht="15" hidden="false" customHeight="false" outlineLevel="0" collapsed="false">
      <c r="A963" s="33"/>
      <c r="B963" s="27"/>
      <c r="C963" s="27"/>
      <c r="D963" s="27"/>
      <c r="E963" s="27"/>
      <c r="F963" s="34"/>
      <c r="G963" s="27"/>
      <c r="H963" s="27"/>
      <c r="I963" s="28" t="str">
        <f aca="false">IF(C963="","",IFERROR(INDEX(Settings!$C$8:$C$19,MATCH(C963,Settings!$B$8:$B$19,0)),"?"))</f>
        <v/>
      </c>
      <c r="J963" s="28" t="str">
        <f aca="false">IF(G963="","",IFERROR(INDEX(Settings!$C$8:$C$19,MATCH(G963,Settings!$B$8:$B$19,0)),"?"))</f>
        <v/>
      </c>
      <c r="K963" s="35" t="str">
        <f aca="false">IF(A963="","",DATE(YEAR(A963),MONTH(A963),1))</f>
        <v/>
      </c>
      <c r="L963" s="28" t="str">
        <f aca="false">IF(E963="","",IFERROR(INDEX(Settings!$K$8:$K$38,MATCH(E963,Settings!$H$8:$H$38,0))&amp;"",""))</f>
        <v/>
      </c>
    </row>
    <row r="964" customFormat="false" ht="15" hidden="false" customHeight="false" outlineLevel="0" collapsed="false">
      <c r="A964" s="33"/>
      <c r="B964" s="27"/>
      <c r="C964" s="27"/>
      <c r="D964" s="27"/>
      <c r="E964" s="27"/>
      <c r="F964" s="34"/>
      <c r="G964" s="27"/>
      <c r="H964" s="27"/>
      <c r="I964" s="28" t="str">
        <f aca="false">IF(C964="","",IFERROR(INDEX(Settings!$C$8:$C$19,MATCH(C964,Settings!$B$8:$B$19,0)),"?"))</f>
        <v/>
      </c>
      <c r="J964" s="28" t="str">
        <f aca="false">IF(G964="","",IFERROR(INDEX(Settings!$C$8:$C$19,MATCH(G964,Settings!$B$8:$B$19,0)),"?"))</f>
        <v/>
      </c>
      <c r="K964" s="35" t="str">
        <f aca="false">IF(A964="","",DATE(YEAR(A964),MONTH(A964),1))</f>
        <v/>
      </c>
      <c r="L964" s="28" t="str">
        <f aca="false">IF(E964="","",IFERROR(INDEX(Settings!$K$8:$K$38,MATCH(E964,Settings!$H$8:$H$38,0))&amp;"",""))</f>
        <v/>
      </c>
    </row>
    <row r="965" customFormat="false" ht="15" hidden="false" customHeight="false" outlineLevel="0" collapsed="false">
      <c r="A965" s="33"/>
      <c r="B965" s="27"/>
      <c r="C965" s="27"/>
      <c r="D965" s="27"/>
      <c r="E965" s="27"/>
      <c r="F965" s="34"/>
      <c r="G965" s="27"/>
      <c r="H965" s="27"/>
      <c r="I965" s="28" t="str">
        <f aca="false">IF(C965="","",IFERROR(INDEX(Settings!$C$8:$C$19,MATCH(C965,Settings!$B$8:$B$19,0)),"?"))</f>
        <v/>
      </c>
      <c r="J965" s="28" t="str">
        <f aca="false">IF(G965="","",IFERROR(INDEX(Settings!$C$8:$C$19,MATCH(G965,Settings!$B$8:$B$19,0)),"?"))</f>
        <v/>
      </c>
      <c r="K965" s="35" t="str">
        <f aca="false">IF(A965="","",DATE(YEAR(A965),MONTH(A965),1))</f>
        <v/>
      </c>
      <c r="L965" s="28" t="str">
        <f aca="false">IF(E965="","",IFERROR(INDEX(Settings!$K$8:$K$38,MATCH(E965,Settings!$H$8:$H$38,0))&amp;"",""))</f>
        <v/>
      </c>
    </row>
    <row r="966" customFormat="false" ht="15" hidden="false" customHeight="false" outlineLevel="0" collapsed="false">
      <c r="A966" s="33"/>
      <c r="B966" s="27"/>
      <c r="C966" s="27"/>
      <c r="D966" s="27"/>
      <c r="E966" s="27"/>
      <c r="F966" s="34"/>
      <c r="G966" s="27"/>
      <c r="H966" s="27"/>
      <c r="I966" s="28" t="str">
        <f aca="false">IF(C966="","",IFERROR(INDEX(Settings!$C$8:$C$19,MATCH(C966,Settings!$B$8:$B$19,0)),"?"))</f>
        <v/>
      </c>
      <c r="J966" s="28" t="str">
        <f aca="false">IF(G966="","",IFERROR(INDEX(Settings!$C$8:$C$19,MATCH(G966,Settings!$B$8:$B$19,0)),"?"))</f>
        <v/>
      </c>
      <c r="K966" s="35" t="str">
        <f aca="false">IF(A966="","",DATE(YEAR(A966),MONTH(A966),1))</f>
        <v/>
      </c>
      <c r="L966" s="28" t="str">
        <f aca="false">IF(E966="","",IFERROR(INDEX(Settings!$K$8:$K$38,MATCH(E966,Settings!$H$8:$H$38,0))&amp;"",""))</f>
        <v/>
      </c>
    </row>
    <row r="967" customFormat="false" ht="15" hidden="false" customHeight="false" outlineLevel="0" collapsed="false">
      <c r="A967" s="33"/>
      <c r="B967" s="27"/>
      <c r="C967" s="27"/>
      <c r="D967" s="27"/>
      <c r="E967" s="27"/>
      <c r="F967" s="34"/>
      <c r="G967" s="27"/>
      <c r="H967" s="27"/>
      <c r="I967" s="28" t="str">
        <f aca="false">IF(C967="","",IFERROR(INDEX(Settings!$C$8:$C$19,MATCH(C967,Settings!$B$8:$B$19,0)),"?"))</f>
        <v/>
      </c>
      <c r="J967" s="28" t="str">
        <f aca="false">IF(G967="","",IFERROR(INDEX(Settings!$C$8:$C$19,MATCH(G967,Settings!$B$8:$B$19,0)),"?"))</f>
        <v/>
      </c>
      <c r="K967" s="35" t="str">
        <f aca="false">IF(A967="","",DATE(YEAR(A967),MONTH(A967),1))</f>
        <v/>
      </c>
      <c r="L967" s="28" t="str">
        <f aca="false">IF(E967="","",IFERROR(INDEX(Settings!$K$8:$K$38,MATCH(E967,Settings!$H$8:$H$38,0))&amp;"",""))</f>
        <v/>
      </c>
    </row>
    <row r="968" customFormat="false" ht="15" hidden="false" customHeight="false" outlineLevel="0" collapsed="false">
      <c r="A968" s="33"/>
      <c r="B968" s="27"/>
      <c r="C968" s="27"/>
      <c r="D968" s="27"/>
      <c r="E968" s="27"/>
      <c r="F968" s="34"/>
      <c r="G968" s="27"/>
      <c r="H968" s="27"/>
      <c r="I968" s="28" t="str">
        <f aca="false">IF(C968="","",IFERROR(INDEX(Settings!$C$8:$C$19,MATCH(C968,Settings!$B$8:$B$19,0)),"?"))</f>
        <v/>
      </c>
      <c r="J968" s="28" t="str">
        <f aca="false">IF(G968="","",IFERROR(INDEX(Settings!$C$8:$C$19,MATCH(G968,Settings!$B$8:$B$19,0)),"?"))</f>
        <v/>
      </c>
      <c r="K968" s="35" t="str">
        <f aca="false">IF(A968="","",DATE(YEAR(A968),MONTH(A968),1))</f>
        <v/>
      </c>
      <c r="L968" s="28" t="str">
        <f aca="false">IF(E968="","",IFERROR(INDEX(Settings!$K$8:$K$38,MATCH(E968,Settings!$H$8:$H$38,0))&amp;"",""))</f>
        <v/>
      </c>
    </row>
    <row r="969" customFormat="false" ht="15" hidden="false" customHeight="false" outlineLevel="0" collapsed="false">
      <c r="A969" s="33"/>
      <c r="B969" s="27"/>
      <c r="C969" s="27"/>
      <c r="D969" s="27"/>
      <c r="E969" s="27"/>
      <c r="F969" s="34"/>
      <c r="G969" s="27"/>
      <c r="H969" s="27"/>
      <c r="I969" s="28" t="str">
        <f aca="false">IF(C969="","",IFERROR(INDEX(Settings!$C$8:$C$19,MATCH(C969,Settings!$B$8:$B$19,0)),"?"))</f>
        <v/>
      </c>
      <c r="J969" s="28" t="str">
        <f aca="false">IF(G969="","",IFERROR(INDEX(Settings!$C$8:$C$19,MATCH(G969,Settings!$B$8:$B$19,0)),"?"))</f>
        <v/>
      </c>
      <c r="K969" s="35" t="str">
        <f aca="false">IF(A969="","",DATE(YEAR(A969),MONTH(A969),1))</f>
        <v/>
      </c>
      <c r="L969" s="28" t="str">
        <f aca="false">IF(E969="","",IFERROR(INDEX(Settings!$K$8:$K$38,MATCH(E969,Settings!$H$8:$H$38,0))&amp;"",""))</f>
        <v/>
      </c>
    </row>
    <row r="970" customFormat="false" ht="15" hidden="false" customHeight="false" outlineLevel="0" collapsed="false">
      <c r="A970" s="33"/>
      <c r="B970" s="27"/>
      <c r="C970" s="27"/>
      <c r="D970" s="27"/>
      <c r="E970" s="27"/>
      <c r="F970" s="34"/>
      <c r="G970" s="27"/>
      <c r="H970" s="27"/>
      <c r="I970" s="28" t="str">
        <f aca="false">IF(C970="","",IFERROR(INDEX(Settings!$C$8:$C$19,MATCH(C970,Settings!$B$8:$B$19,0)),"?"))</f>
        <v/>
      </c>
      <c r="J970" s="28" t="str">
        <f aca="false">IF(G970="","",IFERROR(INDEX(Settings!$C$8:$C$19,MATCH(G970,Settings!$B$8:$B$19,0)),"?"))</f>
        <v/>
      </c>
      <c r="K970" s="35" t="str">
        <f aca="false">IF(A970="","",DATE(YEAR(A970),MONTH(A970),1))</f>
        <v/>
      </c>
      <c r="L970" s="28" t="str">
        <f aca="false">IF(E970="","",IFERROR(INDEX(Settings!$K$8:$K$38,MATCH(E970,Settings!$H$8:$H$38,0))&amp;"",""))</f>
        <v/>
      </c>
    </row>
    <row r="971" customFormat="false" ht="15" hidden="false" customHeight="false" outlineLevel="0" collapsed="false">
      <c r="A971" s="33"/>
      <c r="B971" s="27"/>
      <c r="C971" s="27"/>
      <c r="D971" s="27"/>
      <c r="E971" s="27"/>
      <c r="F971" s="34"/>
      <c r="G971" s="27"/>
      <c r="H971" s="27"/>
      <c r="I971" s="28" t="str">
        <f aca="false">IF(C971="","",IFERROR(INDEX(Settings!$C$8:$C$19,MATCH(C971,Settings!$B$8:$B$19,0)),"?"))</f>
        <v/>
      </c>
      <c r="J971" s="28" t="str">
        <f aca="false">IF(G971="","",IFERROR(INDEX(Settings!$C$8:$C$19,MATCH(G971,Settings!$B$8:$B$19,0)),"?"))</f>
        <v/>
      </c>
      <c r="K971" s="35" t="str">
        <f aca="false">IF(A971="","",DATE(YEAR(A971),MONTH(A971),1))</f>
        <v/>
      </c>
      <c r="L971" s="28" t="str">
        <f aca="false">IF(E971="","",IFERROR(INDEX(Settings!$K$8:$K$38,MATCH(E971,Settings!$H$8:$H$38,0))&amp;"",""))</f>
        <v/>
      </c>
    </row>
    <row r="972" customFormat="false" ht="15" hidden="false" customHeight="false" outlineLevel="0" collapsed="false">
      <c r="A972" s="33"/>
      <c r="B972" s="27"/>
      <c r="C972" s="27"/>
      <c r="D972" s="27"/>
      <c r="E972" s="27"/>
      <c r="F972" s="34"/>
      <c r="G972" s="27"/>
      <c r="H972" s="27"/>
      <c r="I972" s="28" t="str">
        <f aca="false">IF(C972="","",IFERROR(INDEX(Settings!$C$8:$C$19,MATCH(C972,Settings!$B$8:$B$19,0)),"?"))</f>
        <v/>
      </c>
      <c r="J972" s="28" t="str">
        <f aca="false">IF(G972="","",IFERROR(INDEX(Settings!$C$8:$C$19,MATCH(G972,Settings!$B$8:$B$19,0)),"?"))</f>
        <v/>
      </c>
      <c r="K972" s="35" t="str">
        <f aca="false">IF(A972="","",DATE(YEAR(A972),MONTH(A972),1))</f>
        <v/>
      </c>
      <c r="L972" s="28" t="str">
        <f aca="false">IF(E972="","",IFERROR(INDEX(Settings!$K$8:$K$38,MATCH(E972,Settings!$H$8:$H$38,0))&amp;"",""))</f>
        <v/>
      </c>
    </row>
    <row r="973" customFormat="false" ht="15" hidden="false" customHeight="false" outlineLevel="0" collapsed="false">
      <c r="A973" s="33"/>
      <c r="B973" s="27"/>
      <c r="C973" s="27"/>
      <c r="D973" s="27"/>
      <c r="E973" s="27"/>
      <c r="F973" s="34"/>
      <c r="G973" s="27"/>
      <c r="H973" s="27"/>
      <c r="I973" s="28" t="str">
        <f aca="false">IF(C973="","",IFERROR(INDEX(Settings!$C$8:$C$19,MATCH(C973,Settings!$B$8:$B$19,0)),"?"))</f>
        <v/>
      </c>
      <c r="J973" s="28" t="str">
        <f aca="false">IF(G973="","",IFERROR(INDEX(Settings!$C$8:$C$19,MATCH(G973,Settings!$B$8:$B$19,0)),"?"))</f>
        <v/>
      </c>
      <c r="K973" s="35" t="str">
        <f aca="false">IF(A973="","",DATE(YEAR(A973),MONTH(A973),1))</f>
        <v/>
      </c>
      <c r="L973" s="28" t="str">
        <f aca="false">IF(E973="","",IFERROR(INDEX(Settings!$K$8:$K$38,MATCH(E973,Settings!$H$8:$H$38,0))&amp;"",""))</f>
        <v/>
      </c>
    </row>
    <row r="974" customFormat="false" ht="15" hidden="false" customHeight="false" outlineLevel="0" collapsed="false">
      <c r="A974" s="33"/>
      <c r="B974" s="27"/>
      <c r="C974" s="27"/>
      <c r="D974" s="27"/>
      <c r="E974" s="27"/>
      <c r="F974" s="34"/>
      <c r="G974" s="27"/>
      <c r="H974" s="27"/>
      <c r="I974" s="28" t="str">
        <f aca="false">IF(C974="","",IFERROR(INDEX(Settings!$C$8:$C$19,MATCH(C974,Settings!$B$8:$B$19,0)),"?"))</f>
        <v/>
      </c>
      <c r="J974" s="28" t="str">
        <f aca="false">IF(G974="","",IFERROR(INDEX(Settings!$C$8:$C$19,MATCH(G974,Settings!$B$8:$B$19,0)),"?"))</f>
        <v/>
      </c>
      <c r="K974" s="35" t="str">
        <f aca="false">IF(A974="","",DATE(YEAR(A974),MONTH(A974),1))</f>
        <v/>
      </c>
      <c r="L974" s="28" t="str">
        <f aca="false">IF(E974="","",IFERROR(INDEX(Settings!$K$8:$K$38,MATCH(E974,Settings!$H$8:$H$38,0))&amp;"",""))</f>
        <v/>
      </c>
    </row>
    <row r="975" customFormat="false" ht="15" hidden="false" customHeight="false" outlineLevel="0" collapsed="false">
      <c r="A975" s="33"/>
      <c r="B975" s="27"/>
      <c r="C975" s="27"/>
      <c r="D975" s="27"/>
      <c r="E975" s="27"/>
      <c r="F975" s="34"/>
      <c r="G975" s="27"/>
      <c r="H975" s="27"/>
      <c r="I975" s="28" t="str">
        <f aca="false">IF(C975="","",IFERROR(INDEX(Settings!$C$8:$C$19,MATCH(C975,Settings!$B$8:$B$19,0)),"?"))</f>
        <v/>
      </c>
      <c r="J975" s="28" t="str">
        <f aca="false">IF(G975="","",IFERROR(INDEX(Settings!$C$8:$C$19,MATCH(G975,Settings!$B$8:$B$19,0)),"?"))</f>
        <v/>
      </c>
      <c r="K975" s="35" t="str">
        <f aca="false">IF(A975="","",DATE(YEAR(A975),MONTH(A975),1))</f>
        <v/>
      </c>
      <c r="L975" s="28" t="str">
        <f aca="false">IF(E975="","",IFERROR(INDEX(Settings!$K$8:$K$38,MATCH(E975,Settings!$H$8:$H$38,0))&amp;"",""))</f>
        <v/>
      </c>
    </row>
    <row r="976" customFormat="false" ht="15" hidden="false" customHeight="false" outlineLevel="0" collapsed="false">
      <c r="A976" s="33"/>
      <c r="B976" s="27"/>
      <c r="C976" s="27"/>
      <c r="D976" s="27"/>
      <c r="E976" s="27"/>
      <c r="F976" s="34"/>
      <c r="G976" s="27"/>
      <c r="H976" s="27"/>
      <c r="I976" s="28" t="str">
        <f aca="false">IF(C976="","",IFERROR(INDEX(Settings!$C$8:$C$19,MATCH(C976,Settings!$B$8:$B$19,0)),"?"))</f>
        <v/>
      </c>
      <c r="J976" s="28" t="str">
        <f aca="false">IF(G976="","",IFERROR(INDEX(Settings!$C$8:$C$19,MATCH(G976,Settings!$B$8:$B$19,0)),"?"))</f>
        <v/>
      </c>
      <c r="K976" s="35" t="str">
        <f aca="false">IF(A976="","",DATE(YEAR(A976),MONTH(A976),1))</f>
        <v/>
      </c>
      <c r="L976" s="28" t="str">
        <f aca="false">IF(E976="","",IFERROR(INDEX(Settings!$K$8:$K$38,MATCH(E976,Settings!$H$8:$H$38,0))&amp;"",""))</f>
        <v/>
      </c>
    </row>
    <row r="977" customFormat="false" ht="15" hidden="false" customHeight="false" outlineLevel="0" collapsed="false">
      <c r="A977" s="33"/>
      <c r="B977" s="27"/>
      <c r="C977" s="27"/>
      <c r="D977" s="27"/>
      <c r="E977" s="27"/>
      <c r="F977" s="34"/>
      <c r="G977" s="27"/>
      <c r="H977" s="27"/>
      <c r="I977" s="28" t="str">
        <f aca="false">IF(C977="","",IFERROR(INDEX(Settings!$C$8:$C$19,MATCH(C977,Settings!$B$8:$B$19,0)),"?"))</f>
        <v/>
      </c>
      <c r="J977" s="28" t="str">
        <f aca="false">IF(G977="","",IFERROR(INDEX(Settings!$C$8:$C$19,MATCH(G977,Settings!$B$8:$B$19,0)),"?"))</f>
        <v/>
      </c>
      <c r="K977" s="35" t="str">
        <f aca="false">IF(A977="","",DATE(YEAR(A977),MONTH(A977),1))</f>
        <v/>
      </c>
      <c r="L977" s="28" t="str">
        <f aca="false">IF(E977="","",IFERROR(INDEX(Settings!$K$8:$K$38,MATCH(E977,Settings!$H$8:$H$38,0))&amp;"",""))</f>
        <v/>
      </c>
    </row>
    <row r="978" customFormat="false" ht="15" hidden="false" customHeight="false" outlineLevel="0" collapsed="false">
      <c r="A978" s="33"/>
      <c r="B978" s="27"/>
      <c r="C978" s="27"/>
      <c r="D978" s="27"/>
      <c r="E978" s="27"/>
      <c r="F978" s="34"/>
      <c r="G978" s="27"/>
      <c r="H978" s="27"/>
      <c r="I978" s="28" t="str">
        <f aca="false">IF(C978="","",IFERROR(INDEX(Settings!$C$8:$C$19,MATCH(C978,Settings!$B$8:$B$19,0)),"?"))</f>
        <v/>
      </c>
      <c r="J978" s="28" t="str">
        <f aca="false">IF(G978="","",IFERROR(INDEX(Settings!$C$8:$C$19,MATCH(G978,Settings!$B$8:$B$19,0)),"?"))</f>
        <v/>
      </c>
      <c r="K978" s="35" t="str">
        <f aca="false">IF(A978="","",DATE(YEAR(A978),MONTH(A978),1))</f>
        <v/>
      </c>
      <c r="L978" s="28" t="str">
        <f aca="false">IF(E978="","",IFERROR(INDEX(Settings!$K$8:$K$38,MATCH(E978,Settings!$H$8:$H$38,0))&amp;"",""))</f>
        <v/>
      </c>
    </row>
    <row r="979" customFormat="false" ht="15" hidden="false" customHeight="false" outlineLevel="0" collapsed="false">
      <c r="A979" s="33"/>
      <c r="B979" s="27"/>
      <c r="C979" s="27"/>
      <c r="D979" s="27"/>
      <c r="E979" s="27"/>
      <c r="F979" s="34"/>
      <c r="G979" s="27"/>
      <c r="H979" s="27"/>
      <c r="I979" s="28" t="str">
        <f aca="false">IF(C979="","",IFERROR(INDEX(Settings!$C$8:$C$19,MATCH(C979,Settings!$B$8:$B$19,0)),"?"))</f>
        <v/>
      </c>
      <c r="J979" s="28" t="str">
        <f aca="false">IF(G979="","",IFERROR(INDEX(Settings!$C$8:$C$19,MATCH(G979,Settings!$B$8:$B$19,0)),"?"))</f>
        <v/>
      </c>
      <c r="K979" s="35" t="str">
        <f aca="false">IF(A979="","",DATE(YEAR(A979),MONTH(A979),1))</f>
        <v/>
      </c>
      <c r="L979" s="28" t="str">
        <f aca="false">IF(E979="","",IFERROR(INDEX(Settings!$K$8:$K$38,MATCH(E979,Settings!$H$8:$H$38,0))&amp;"",""))</f>
        <v/>
      </c>
    </row>
    <row r="980" customFormat="false" ht="15" hidden="false" customHeight="false" outlineLevel="0" collapsed="false">
      <c r="A980" s="33"/>
      <c r="B980" s="27"/>
      <c r="C980" s="27"/>
      <c r="D980" s="27"/>
      <c r="E980" s="27"/>
      <c r="F980" s="34"/>
      <c r="G980" s="27"/>
      <c r="H980" s="27"/>
      <c r="I980" s="28" t="str">
        <f aca="false">IF(C980="","",IFERROR(INDEX(Settings!$C$8:$C$19,MATCH(C980,Settings!$B$8:$B$19,0)),"?"))</f>
        <v/>
      </c>
      <c r="J980" s="28" t="str">
        <f aca="false">IF(G980="","",IFERROR(INDEX(Settings!$C$8:$C$19,MATCH(G980,Settings!$B$8:$B$19,0)),"?"))</f>
        <v/>
      </c>
      <c r="K980" s="35" t="str">
        <f aca="false">IF(A980="","",DATE(YEAR(A980),MONTH(A980),1))</f>
        <v/>
      </c>
      <c r="L980" s="28" t="str">
        <f aca="false">IF(E980="","",IFERROR(INDEX(Settings!$K$8:$K$38,MATCH(E980,Settings!$H$8:$H$38,0))&amp;"",""))</f>
        <v/>
      </c>
    </row>
    <row r="981" customFormat="false" ht="15" hidden="false" customHeight="false" outlineLevel="0" collapsed="false">
      <c r="A981" s="33"/>
      <c r="B981" s="27"/>
      <c r="C981" s="27"/>
      <c r="D981" s="27"/>
      <c r="E981" s="27"/>
      <c r="F981" s="34"/>
      <c r="G981" s="27"/>
      <c r="H981" s="27"/>
      <c r="I981" s="28" t="str">
        <f aca="false">IF(C981="","",IFERROR(INDEX(Settings!$C$8:$C$19,MATCH(C981,Settings!$B$8:$B$19,0)),"?"))</f>
        <v/>
      </c>
      <c r="J981" s="28" t="str">
        <f aca="false">IF(G981="","",IFERROR(INDEX(Settings!$C$8:$C$19,MATCH(G981,Settings!$B$8:$B$19,0)),"?"))</f>
        <v/>
      </c>
      <c r="K981" s="35" t="str">
        <f aca="false">IF(A981="","",DATE(YEAR(A981),MONTH(A981),1))</f>
        <v/>
      </c>
      <c r="L981" s="28" t="str">
        <f aca="false">IF(E981="","",IFERROR(INDEX(Settings!$K$8:$K$38,MATCH(E981,Settings!$H$8:$H$38,0))&amp;"",""))</f>
        <v/>
      </c>
    </row>
    <row r="982" customFormat="false" ht="15" hidden="false" customHeight="false" outlineLevel="0" collapsed="false">
      <c r="A982" s="33"/>
      <c r="B982" s="27"/>
      <c r="C982" s="27"/>
      <c r="D982" s="27"/>
      <c r="E982" s="27"/>
      <c r="F982" s="34"/>
      <c r="G982" s="27"/>
      <c r="H982" s="27"/>
      <c r="I982" s="28" t="str">
        <f aca="false">IF(C982="","",IFERROR(INDEX(Settings!$C$8:$C$19,MATCH(C982,Settings!$B$8:$B$19,0)),"?"))</f>
        <v/>
      </c>
      <c r="J982" s="28" t="str">
        <f aca="false">IF(G982="","",IFERROR(INDEX(Settings!$C$8:$C$19,MATCH(G982,Settings!$B$8:$B$19,0)),"?"))</f>
        <v/>
      </c>
      <c r="K982" s="35" t="str">
        <f aca="false">IF(A982="","",DATE(YEAR(A982),MONTH(A982),1))</f>
        <v/>
      </c>
      <c r="L982" s="28" t="str">
        <f aca="false">IF(E982="","",IFERROR(INDEX(Settings!$K$8:$K$38,MATCH(E982,Settings!$H$8:$H$38,0))&amp;"",""))</f>
        <v/>
      </c>
    </row>
    <row r="983" customFormat="false" ht="15" hidden="false" customHeight="false" outlineLevel="0" collapsed="false">
      <c r="A983" s="33"/>
      <c r="B983" s="27"/>
      <c r="C983" s="27"/>
      <c r="D983" s="27"/>
      <c r="E983" s="27"/>
      <c r="F983" s="34"/>
      <c r="G983" s="27"/>
      <c r="H983" s="27"/>
      <c r="I983" s="28" t="str">
        <f aca="false">IF(C983="","",IFERROR(INDEX(Settings!$C$8:$C$19,MATCH(C983,Settings!$B$8:$B$19,0)),"?"))</f>
        <v/>
      </c>
      <c r="J983" s="28" t="str">
        <f aca="false">IF(G983="","",IFERROR(INDEX(Settings!$C$8:$C$19,MATCH(G983,Settings!$B$8:$B$19,0)),"?"))</f>
        <v/>
      </c>
      <c r="K983" s="35" t="str">
        <f aca="false">IF(A983="","",DATE(YEAR(A983),MONTH(A983),1))</f>
        <v/>
      </c>
      <c r="L983" s="28" t="str">
        <f aca="false">IF(E983="","",IFERROR(INDEX(Settings!$K$8:$K$38,MATCH(E983,Settings!$H$8:$H$38,0))&amp;"",""))</f>
        <v/>
      </c>
    </row>
    <row r="984" customFormat="false" ht="15" hidden="false" customHeight="false" outlineLevel="0" collapsed="false">
      <c r="A984" s="33"/>
      <c r="B984" s="27"/>
      <c r="C984" s="27"/>
      <c r="D984" s="27"/>
      <c r="E984" s="27"/>
      <c r="F984" s="34"/>
      <c r="G984" s="27"/>
      <c r="H984" s="27"/>
      <c r="I984" s="28" t="str">
        <f aca="false">IF(C984="","",IFERROR(INDEX(Settings!$C$8:$C$19,MATCH(C984,Settings!$B$8:$B$19,0)),"?"))</f>
        <v/>
      </c>
      <c r="J984" s="28" t="str">
        <f aca="false">IF(G984="","",IFERROR(INDEX(Settings!$C$8:$C$19,MATCH(G984,Settings!$B$8:$B$19,0)),"?"))</f>
        <v/>
      </c>
      <c r="K984" s="35" t="str">
        <f aca="false">IF(A984="","",DATE(YEAR(A984),MONTH(A984),1))</f>
        <v/>
      </c>
      <c r="L984" s="28" t="str">
        <f aca="false">IF(E984="","",IFERROR(INDEX(Settings!$K$8:$K$38,MATCH(E984,Settings!$H$8:$H$38,0))&amp;"",""))</f>
        <v/>
      </c>
    </row>
    <row r="985" customFormat="false" ht="15" hidden="false" customHeight="false" outlineLevel="0" collapsed="false">
      <c r="A985" s="33"/>
      <c r="B985" s="27"/>
      <c r="C985" s="27"/>
      <c r="D985" s="27"/>
      <c r="E985" s="27"/>
      <c r="F985" s="34"/>
      <c r="G985" s="27"/>
      <c r="H985" s="27"/>
      <c r="I985" s="28" t="str">
        <f aca="false">IF(C985="","",IFERROR(INDEX(Settings!$C$8:$C$19,MATCH(C985,Settings!$B$8:$B$19,0)),"?"))</f>
        <v/>
      </c>
      <c r="J985" s="28" t="str">
        <f aca="false">IF(G985="","",IFERROR(INDEX(Settings!$C$8:$C$19,MATCH(G985,Settings!$B$8:$B$19,0)),"?"))</f>
        <v/>
      </c>
      <c r="K985" s="35" t="str">
        <f aca="false">IF(A985="","",DATE(YEAR(A985),MONTH(A985),1))</f>
        <v/>
      </c>
      <c r="L985" s="28" t="str">
        <f aca="false">IF(E985="","",IFERROR(INDEX(Settings!$K$8:$K$38,MATCH(E985,Settings!$H$8:$H$38,0))&amp;"",""))</f>
        <v/>
      </c>
    </row>
    <row r="986" customFormat="false" ht="15" hidden="false" customHeight="false" outlineLevel="0" collapsed="false">
      <c r="A986" s="33"/>
      <c r="B986" s="27"/>
      <c r="C986" s="27"/>
      <c r="D986" s="27"/>
      <c r="E986" s="27"/>
      <c r="F986" s="34"/>
      <c r="G986" s="27"/>
      <c r="H986" s="27"/>
      <c r="I986" s="28" t="str">
        <f aca="false">IF(C986="","",IFERROR(INDEX(Settings!$C$8:$C$19,MATCH(C986,Settings!$B$8:$B$19,0)),"?"))</f>
        <v/>
      </c>
      <c r="J986" s="28" t="str">
        <f aca="false">IF(G986="","",IFERROR(INDEX(Settings!$C$8:$C$19,MATCH(G986,Settings!$B$8:$B$19,0)),"?"))</f>
        <v/>
      </c>
      <c r="K986" s="35" t="str">
        <f aca="false">IF(A986="","",DATE(YEAR(A986),MONTH(A986),1))</f>
        <v/>
      </c>
      <c r="L986" s="28" t="str">
        <f aca="false">IF(E986="","",IFERROR(INDEX(Settings!$K$8:$K$38,MATCH(E986,Settings!$H$8:$H$38,0))&amp;"",""))</f>
        <v/>
      </c>
    </row>
    <row r="987" customFormat="false" ht="15" hidden="false" customHeight="false" outlineLevel="0" collapsed="false">
      <c r="A987" s="33"/>
      <c r="B987" s="27"/>
      <c r="C987" s="27"/>
      <c r="D987" s="27"/>
      <c r="E987" s="27"/>
      <c r="F987" s="34"/>
      <c r="G987" s="27"/>
      <c r="H987" s="27"/>
      <c r="I987" s="28" t="str">
        <f aca="false">IF(C987="","",IFERROR(INDEX(Settings!$C$8:$C$19,MATCH(C987,Settings!$B$8:$B$19,0)),"?"))</f>
        <v/>
      </c>
      <c r="J987" s="28" t="str">
        <f aca="false">IF(G987="","",IFERROR(INDEX(Settings!$C$8:$C$19,MATCH(G987,Settings!$B$8:$B$19,0)),"?"))</f>
        <v/>
      </c>
      <c r="K987" s="35" t="str">
        <f aca="false">IF(A987="","",DATE(YEAR(A987),MONTH(A987),1))</f>
        <v/>
      </c>
      <c r="L987" s="28" t="str">
        <f aca="false">IF(E987="","",IFERROR(INDEX(Settings!$K$8:$K$38,MATCH(E987,Settings!$H$8:$H$38,0))&amp;"",""))</f>
        <v/>
      </c>
    </row>
    <row r="988" customFormat="false" ht="15" hidden="false" customHeight="false" outlineLevel="0" collapsed="false">
      <c r="A988" s="33"/>
      <c r="B988" s="27"/>
      <c r="C988" s="27"/>
      <c r="D988" s="27"/>
      <c r="E988" s="27"/>
      <c r="F988" s="34"/>
      <c r="G988" s="27"/>
      <c r="H988" s="27"/>
      <c r="I988" s="28" t="str">
        <f aca="false">IF(C988="","",IFERROR(INDEX(Settings!$C$8:$C$19,MATCH(C988,Settings!$B$8:$B$19,0)),"?"))</f>
        <v/>
      </c>
      <c r="J988" s="28" t="str">
        <f aca="false">IF(G988="","",IFERROR(INDEX(Settings!$C$8:$C$19,MATCH(G988,Settings!$B$8:$B$19,0)),"?"))</f>
        <v/>
      </c>
      <c r="K988" s="35" t="str">
        <f aca="false">IF(A988="","",DATE(YEAR(A988),MONTH(A988),1))</f>
        <v/>
      </c>
      <c r="L988" s="28" t="str">
        <f aca="false">IF(E988="","",IFERROR(INDEX(Settings!$K$8:$K$38,MATCH(E988,Settings!$H$8:$H$38,0))&amp;"",""))</f>
        <v/>
      </c>
    </row>
    <row r="989" customFormat="false" ht="15" hidden="false" customHeight="false" outlineLevel="0" collapsed="false">
      <c r="A989" s="33"/>
      <c r="B989" s="27"/>
      <c r="C989" s="27"/>
      <c r="D989" s="27"/>
      <c r="E989" s="27"/>
      <c r="F989" s="34"/>
      <c r="G989" s="27"/>
      <c r="H989" s="27"/>
      <c r="I989" s="28" t="str">
        <f aca="false">IF(C989="","",IFERROR(INDEX(Settings!$C$8:$C$19,MATCH(C989,Settings!$B$8:$B$19,0)),"?"))</f>
        <v/>
      </c>
      <c r="J989" s="28" t="str">
        <f aca="false">IF(G989="","",IFERROR(INDEX(Settings!$C$8:$C$19,MATCH(G989,Settings!$B$8:$B$19,0)),"?"))</f>
        <v/>
      </c>
      <c r="K989" s="35" t="str">
        <f aca="false">IF(A989="","",DATE(YEAR(A989),MONTH(A989),1))</f>
        <v/>
      </c>
      <c r="L989" s="28" t="str">
        <f aca="false">IF(E989="","",IFERROR(INDEX(Settings!$K$8:$K$38,MATCH(E989,Settings!$H$8:$H$38,0))&amp;"",""))</f>
        <v/>
      </c>
    </row>
    <row r="990" customFormat="false" ht="15" hidden="false" customHeight="false" outlineLevel="0" collapsed="false">
      <c r="A990" s="33"/>
      <c r="B990" s="27"/>
      <c r="C990" s="27"/>
      <c r="D990" s="27"/>
      <c r="E990" s="27"/>
      <c r="F990" s="34"/>
      <c r="G990" s="27"/>
      <c r="H990" s="27"/>
      <c r="I990" s="28" t="str">
        <f aca="false">IF(C990="","",IFERROR(INDEX(Settings!$C$8:$C$19,MATCH(C990,Settings!$B$8:$B$19,0)),"?"))</f>
        <v/>
      </c>
      <c r="J990" s="28" t="str">
        <f aca="false">IF(G990="","",IFERROR(INDEX(Settings!$C$8:$C$19,MATCH(G990,Settings!$B$8:$B$19,0)),"?"))</f>
        <v/>
      </c>
      <c r="K990" s="35" t="str">
        <f aca="false">IF(A990="","",DATE(YEAR(A990),MONTH(A990),1))</f>
        <v/>
      </c>
      <c r="L990" s="28" t="str">
        <f aca="false">IF(E990="","",IFERROR(INDEX(Settings!$K$8:$K$38,MATCH(E990,Settings!$H$8:$H$38,0))&amp;"",""))</f>
        <v/>
      </c>
    </row>
    <row r="991" customFormat="false" ht="15" hidden="false" customHeight="false" outlineLevel="0" collapsed="false">
      <c r="A991" s="33"/>
      <c r="B991" s="27"/>
      <c r="C991" s="27"/>
      <c r="D991" s="27"/>
      <c r="E991" s="27"/>
      <c r="F991" s="34"/>
      <c r="G991" s="27"/>
      <c r="H991" s="27"/>
      <c r="I991" s="28" t="str">
        <f aca="false">IF(C991="","",IFERROR(INDEX(Settings!$C$8:$C$19,MATCH(C991,Settings!$B$8:$B$19,0)),"?"))</f>
        <v/>
      </c>
      <c r="J991" s="28" t="str">
        <f aca="false">IF(G991="","",IFERROR(INDEX(Settings!$C$8:$C$19,MATCH(G991,Settings!$B$8:$B$19,0)),"?"))</f>
        <v/>
      </c>
      <c r="K991" s="35" t="str">
        <f aca="false">IF(A991="","",DATE(YEAR(A991),MONTH(A991),1))</f>
        <v/>
      </c>
      <c r="L991" s="28" t="str">
        <f aca="false">IF(E991="","",IFERROR(INDEX(Settings!$K$8:$K$38,MATCH(E991,Settings!$H$8:$H$38,0))&amp;"",""))</f>
        <v/>
      </c>
    </row>
    <row r="992" customFormat="false" ht="15" hidden="false" customHeight="false" outlineLevel="0" collapsed="false">
      <c r="A992" s="33"/>
      <c r="B992" s="27"/>
      <c r="C992" s="27"/>
      <c r="D992" s="27"/>
      <c r="E992" s="27"/>
      <c r="F992" s="34"/>
      <c r="G992" s="27"/>
      <c r="H992" s="27"/>
      <c r="I992" s="28" t="str">
        <f aca="false">IF(C992="","",IFERROR(INDEX(Settings!$C$8:$C$19,MATCH(C992,Settings!$B$8:$B$19,0)),"?"))</f>
        <v/>
      </c>
      <c r="J992" s="28" t="str">
        <f aca="false">IF(G992="","",IFERROR(INDEX(Settings!$C$8:$C$19,MATCH(G992,Settings!$B$8:$B$19,0)),"?"))</f>
        <v/>
      </c>
      <c r="K992" s="35" t="str">
        <f aca="false">IF(A992="","",DATE(YEAR(A992),MONTH(A992),1))</f>
        <v/>
      </c>
      <c r="L992" s="28" t="str">
        <f aca="false">IF(E992="","",IFERROR(INDEX(Settings!$K$8:$K$38,MATCH(E992,Settings!$H$8:$H$38,0))&amp;"",""))</f>
        <v/>
      </c>
    </row>
    <row r="993" customFormat="false" ht="15" hidden="false" customHeight="false" outlineLevel="0" collapsed="false">
      <c r="A993" s="33"/>
      <c r="B993" s="27"/>
      <c r="C993" s="27"/>
      <c r="D993" s="27"/>
      <c r="E993" s="27"/>
      <c r="F993" s="34"/>
      <c r="G993" s="27"/>
      <c r="H993" s="27"/>
      <c r="I993" s="28" t="str">
        <f aca="false">IF(C993="","",IFERROR(INDEX(Settings!$C$8:$C$19,MATCH(C993,Settings!$B$8:$B$19,0)),"?"))</f>
        <v/>
      </c>
      <c r="J993" s="28" t="str">
        <f aca="false">IF(G993="","",IFERROR(INDEX(Settings!$C$8:$C$19,MATCH(G993,Settings!$B$8:$B$19,0)),"?"))</f>
        <v/>
      </c>
      <c r="K993" s="35" t="str">
        <f aca="false">IF(A993="","",DATE(YEAR(A993),MONTH(A993),1))</f>
        <v/>
      </c>
      <c r="L993" s="28" t="str">
        <f aca="false">IF(E993="","",IFERROR(INDEX(Settings!$K$8:$K$38,MATCH(E993,Settings!$H$8:$H$38,0))&amp;"",""))</f>
        <v/>
      </c>
    </row>
    <row r="994" customFormat="false" ht="15" hidden="false" customHeight="false" outlineLevel="0" collapsed="false">
      <c r="A994" s="33"/>
      <c r="B994" s="27"/>
      <c r="C994" s="27"/>
      <c r="D994" s="27"/>
      <c r="E994" s="27"/>
      <c r="F994" s="34"/>
      <c r="G994" s="27"/>
      <c r="H994" s="27"/>
      <c r="I994" s="28" t="str">
        <f aca="false">IF(C994="","",IFERROR(INDEX(Settings!$C$8:$C$19,MATCH(C994,Settings!$B$8:$B$19,0)),"?"))</f>
        <v/>
      </c>
      <c r="J994" s="28" t="str">
        <f aca="false">IF(G994="","",IFERROR(INDEX(Settings!$C$8:$C$19,MATCH(G994,Settings!$B$8:$B$19,0)),"?"))</f>
        <v/>
      </c>
      <c r="K994" s="35" t="str">
        <f aca="false">IF(A994="","",DATE(YEAR(A994),MONTH(A994),1))</f>
        <v/>
      </c>
      <c r="L994" s="28" t="str">
        <f aca="false">IF(E994="","",IFERROR(INDEX(Settings!$K$8:$K$38,MATCH(E994,Settings!$H$8:$H$38,0))&amp;"",""))</f>
        <v/>
      </c>
    </row>
    <row r="995" customFormat="false" ht="15" hidden="false" customHeight="false" outlineLevel="0" collapsed="false">
      <c r="A995" s="33"/>
      <c r="B995" s="27"/>
      <c r="C995" s="27"/>
      <c r="D995" s="27"/>
      <c r="E995" s="27"/>
      <c r="F995" s="34"/>
      <c r="G995" s="27"/>
      <c r="H995" s="27"/>
      <c r="I995" s="28" t="str">
        <f aca="false">IF(C995="","",IFERROR(INDEX(Settings!$C$8:$C$19,MATCH(C995,Settings!$B$8:$B$19,0)),"?"))</f>
        <v/>
      </c>
      <c r="J995" s="28" t="str">
        <f aca="false">IF(G995="","",IFERROR(INDEX(Settings!$C$8:$C$19,MATCH(G995,Settings!$B$8:$B$19,0)),"?"))</f>
        <v/>
      </c>
      <c r="K995" s="35" t="str">
        <f aca="false">IF(A995="","",DATE(YEAR(A995),MONTH(A995),1))</f>
        <v/>
      </c>
      <c r="L995" s="28" t="str">
        <f aca="false">IF(E995="","",IFERROR(INDEX(Settings!$K$8:$K$38,MATCH(E995,Settings!$H$8:$H$38,0))&amp;"",""))</f>
        <v/>
      </c>
    </row>
    <row r="996" customFormat="false" ht="15" hidden="false" customHeight="false" outlineLevel="0" collapsed="false">
      <c r="A996" s="33"/>
      <c r="B996" s="27"/>
      <c r="C996" s="27"/>
      <c r="D996" s="27"/>
      <c r="E996" s="27"/>
      <c r="F996" s="34"/>
      <c r="G996" s="27"/>
      <c r="H996" s="27"/>
      <c r="I996" s="28" t="str">
        <f aca="false">IF(C996="","",IFERROR(INDEX(Settings!$C$8:$C$19,MATCH(C996,Settings!$B$8:$B$19,0)),"?"))</f>
        <v/>
      </c>
      <c r="J996" s="28" t="str">
        <f aca="false">IF(G996="","",IFERROR(INDEX(Settings!$C$8:$C$19,MATCH(G996,Settings!$B$8:$B$19,0)),"?"))</f>
        <v/>
      </c>
      <c r="K996" s="35" t="str">
        <f aca="false">IF(A996="","",DATE(YEAR(A996),MONTH(A996),1))</f>
        <v/>
      </c>
      <c r="L996" s="28" t="str">
        <f aca="false">IF(E996="","",IFERROR(INDEX(Settings!$K$8:$K$38,MATCH(E996,Settings!$H$8:$H$38,0))&amp;"",""))</f>
        <v/>
      </c>
    </row>
    <row r="997" customFormat="false" ht="15" hidden="false" customHeight="false" outlineLevel="0" collapsed="false">
      <c r="A997" s="33"/>
      <c r="B997" s="27"/>
      <c r="C997" s="27"/>
      <c r="D997" s="27"/>
      <c r="E997" s="27"/>
      <c r="F997" s="34"/>
      <c r="G997" s="27"/>
      <c r="H997" s="27"/>
      <c r="I997" s="28" t="str">
        <f aca="false">IF(C997="","",IFERROR(INDEX(Settings!$C$8:$C$19,MATCH(C997,Settings!$B$8:$B$19,0)),"?"))</f>
        <v/>
      </c>
      <c r="J997" s="28" t="str">
        <f aca="false">IF(G997="","",IFERROR(INDEX(Settings!$C$8:$C$19,MATCH(G997,Settings!$B$8:$B$19,0)),"?"))</f>
        <v/>
      </c>
      <c r="K997" s="35" t="str">
        <f aca="false">IF(A997="","",DATE(YEAR(A997),MONTH(A997),1))</f>
        <v/>
      </c>
      <c r="L997" s="28" t="str">
        <f aca="false">IF(E997="","",IFERROR(INDEX(Settings!$K$8:$K$38,MATCH(E997,Settings!$H$8:$H$38,0))&amp;"",""))</f>
        <v/>
      </c>
    </row>
    <row r="998" customFormat="false" ht="15" hidden="false" customHeight="false" outlineLevel="0" collapsed="false">
      <c r="A998" s="33"/>
      <c r="B998" s="27"/>
      <c r="C998" s="27"/>
      <c r="D998" s="27"/>
      <c r="E998" s="27"/>
      <c r="F998" s="34"/>
      <c r="G998" s="27"/>
      <c r="H998" s="27"/>
      <c r="I998" s="28" t="str">
        <f aca="false">IF(C998="","",IFERROR(INDEX(Settings!$C$8:$C$19,MATCH(C998,Settings!$B$8:$B$19,0)),"?"))</f>
        <v/>
      </c>
      <c r="J998" s="28" t="str">
        <f aca="false">IF(G998="","",IFERROR(INDEX(Settings!$C$8:$C$19,MATCH(G998,Settings!$B$8:$B$19,0)),"?"))</f>
        <v/>
      </c>
      <c r="K998" s="35" t="str">
        <f aca="false">IF(A998="","",DATE(YEAR(A998),MONTH(A998),1))</f>
        <v/>
      </c>
      <c r="L998" s="28" t="str">
        <f aca="false">IF(E998="","",IFERROR(INDEX(Settings!$K$8:$K$38,MATCH(E998,Settings!$H$8:$H$38,0))&amp;"",""))</f>
        <v/>
      </c>
    </row>
    <row r="999" customFormat="false" ht="15" hidden="false" customHeight="false" outlineLevel="0" collapsed="false">
      <c r="A999" s="33"/>
      <c r="B999" s="27"/>
      <c r="C999" s="27"/>
      <c r="D999" s="27"/>
      <c r="E999" s="27"/>
      <c r="F999" s="34"/>
      <c r="G999" s="27"/>
      <c r="H999" s="27"/>
      <c r="I999" s="28" t="str">
        <f aca="false">IF(C999="","",IFERROR(INDEX(Settings!$C$8:$C$19,MATCH(C999,Settings!$B$8:$B$19,0)),"?"))</f>
        <v/>
      </c>
      <c r="J999" s="28" t="str">
        <f aca="false">IF(G999="","",IFERROR(INDEX(Settings!$C$8:$C$19,MATCH(G999,Settings!$B$8:$B$19,0)),"?"))</f>
        <v/>
      </c>
      <c r="K999" s="35" t="str">
        <f aca="false">IF(A999="","",DATE(YEAR(A999),MONTH(A999),1))</f>
        <v/>
      </c>
      <c r="L999" s="28" t="str">
        <f aca="false">IF(E999="","",IFERROR(INDEX(Settings!$K$8:$K$38,MATCH(E999,Settings!$H$8:$H$38,0))&amp;"",""))</f>
        <v/>
      </c>
    </row>
    <row r="1000" customFormat="false" ht="15" hidden="false" customHeight="false" outlineLevel="0" collapsed="false">
      <c r="A1000" s="33"/>
      <c r="B1000" s="27"/>
      <c r="C1000" s="27"/>
      <c r="D1000" s="27"/>
      <c r="E1000" s="27"/>
      <c r="F1000" s="34"/>
      <c r="G1000" s="27"/>
      <c r="H1000" s="27"/>
      <c r="I1000" s="28" t="str">
        <f aca="false">IF(C1000="","",IFERROR(INDEX(Settings!$C$8:$C$19,MATCH(C1000,Settings!$B$8:$B$19,0)),"?"))</f>
        <v/>
      </c>
      <c r="J1000" s="28" t="str">
        <f aca="false">IF(G1000="","",IFERROR(INDEX(Settings!$C$8:$C$19,MATCH(G1000,Settings!$B$8:$B$19,0)),"?"))</f>
        <v/>
      </c>
      <c r="K1000" s="35" t="str">
        <f aca="false">IF(A1000="","",DATE(YEAR(A1000),MONTH(A1000),1))</f>
        <v/>
      </c>
      <c r="L1000" s="28" t="str">
        <f aca="false">IF(E1000="","",IFERROR(INDEX(Settings!$K$8:$K$38,MATCH(E1000,Settings!$H$8:$H$38,0))&amp;"",""))</f>
        <v/>
      </c>
    </row>
    <row r="1001" customFormat="false" ht="15" hidden="false" customHeight="false" outlineLevel="0" collapsed="false">
      <c r="A1001" s="33"/>
      <c r="B1001" s="27"/>
      <c r="C1001" s="27"/>
      <c r="D1001" s="27"/>
      <c r="E1001" s="27"/>
      <c r="F1001" s="34"/>
      <c r="G1001" s="27"/>
      <c r="H1001" s="27"/>
      <c r="I1001" s="28" t="str">
        <f aca="false">IF(C1001="","",IFERROR(INDEX(Settings!$C$8:$C$19,MATCH(C1001,Settings!$B$8:$B$19,0)),"?"))</f>
        <v/>
      </c>
      <c r="J1001" s="28" t="str">
        <f aca="false">IF(G1001="","",IFERROR(INDEX(Settings!$C$8:$C$19,MATCH(G1001,Settings!$B$8:$B$19,0)),"?"))</f>
        <v/>
      </c>
      <c r="K1001" s="35" t="str">
        <f aca="false">IF(A1001="","",DATE(YEAR(A1001),MONTH(A1001),1))</f>
        <v/>
      </c>
      <c r="L1001" s="28" t="str">
        <f aca="false">IF(E1001="","",IFERROR(INDEX(Settings!$K$8:$K$38,MATCH(E1001,Settings!$H$8:$H$38,0))&amp;"",""))</f>
        <v/>
      </c>
    </row>
    <row r="1002" customFormat="false" ht="15" hidden="false" customHeight="false" outlineLevel="0" collapsed="false">
      <c r="A1002" s="33"/>
      <c r="B1002" s="27"/>
      <c r="C1002" s="27"/>
      <c r="D1002" s="27"/>
      <c r="E1002" s="27"/>
      <c r="F1002" s="34"/>
      <c r="G1002" s="27"/>
      <c r="H1002" s="27"/>
      <c r="I1002" s="28" t="str">
        <f aca="false">IF(C1002="","",IFERROR(INDEX(Settings!$C$8:$C$19,MATCH(C1002,Settings!$B$8:$B$19,0)),"?"))</f>
        <v/>
      </c>
      <c r="J1002" s="28" t="str">
        <f aca="false">IF(G1002="","",IFERROR(INDEX(Settings!$C$8:$C$19,MATCH(G1002,Settings!$B$8:$B$19,0)),"?"))</f>
        <v/>
      </c>
      <c r="K1002" s="35" t="str">
        <f aca="false">IF(A1002="","",DATE(YEAR(A1002),MONTH(A1002),1))</f>
        <v/>
      </c>
      <c r="L1002" s="28" t="str">
        <f aca="false">IF(E1002="","",IFERROR(INDEX(Settings!$K$8:$K$38,MATCH(E1002,Settings!$H$8:$H$38,0))&amp;"",""))</f>
        <v/>
      </c>
    </row>
    <row r="1003" customFormat="false" ht="15" hidden="false" customHeight="false" outlineLevel="0" collapsed="false">
      <c r="A1003" s="33"/>
      <c r="B1003" s="27"/>
      <c r="C1003" s="27"/>
      <c r="D1003" s="27"/>
      <c r="E1003" s="27"/>
      <c r="F1003" s="34"/>
      <c r="G1003" s="27"/>
      <c r="H1003" s="27"/>
      <c r="I1003" s="28" t="str">
        <f aca="false">IF(C1003="","",IFERROR(INDEX(Settings!$C$8:$C$19,MATCH(C1003,Settings!$B$8:$B$19,0)),"?"))</f>
        <v/>
      </c>
      <c r="J1003" s="28" t="str">
        <f aca="false">IF(G1003="","",IFERROR(INDEX(Settings!$C$8:$C$19,MATCH(G1003,Settings!$B$8:$B$19,0)),"?"))</f>
        <v/>
      </c>
      <c r="K1003" s="35" t="str">
        <f aca="false">IF(A1003="","",DATE(YEAR(A1003),MONTH(A1003),1))</f>
        <v/>
      </c>
      <c r="L1003" s="28" t="str">
        <f aca="false">IF(E1003="","",IFERROR(INDEX(Settings!$K$8:$K$38,MATCH(E1003,Settings!$H$8:$H$38,0))&amp;"",""))</f>
        <v/>
      </c>
    </row>
    <row r="1004" customFormat="false" ht="15" hidden="false" customHeight="false" outlineLevel="0" collapsed="false">
      <c r="A1004" s="33"/>
      <c r="B1004" s="27"/>
      <c r="C1004" s="27"/>
      <c r="D1004" s="27"/>
      <c r="E1004" s="27"/>
      <c r="F1004" s="34"/>
      <c r="G1004" s="27"/>
      <c r="H1004" s="27"/>
      <c r="I1004" s="28" t="str">
        <f aca="false">IF(C1004="","",IFERROR(INDEX(Settings!$C$8:$C$19,MATCH(C1004,Settings!$B$8:$B$19,0)),"?"))</f>
        <v/>
      </c>
      <c r="J1004" s="28" t="str">
        <f aca="false">IF(G1004="","",IFERROR(INDEX(Settings!$C$8:$C$19,MATCH(G1004,Settings!$B$8:$B$19,0)),"?"))</f>
        <v/>
      </c>
      <c r="K1004" s="35" t="str">
        <f aca="false">IF(A1004="","",DATE(YEAR(A1004),MONTH(A1004),1))</f>
        <v/>
      </c>
      <c r="L1004" s="28" t="str">
        <f aca="false">IF(E1004="","",IFERROR(INDEX(Settings!$K$8:$K$38,MATCH(E1004,Settings!$H$8:$H$38,0))&amp;"",""))</f>
        <v/>
      </c>
    </row>
    <row r="1005" customFormat="false" ht="15" hidden="false" customHeight="false" outlineLevel="0" collapsed="false">
      <c r="A1005" s="33"/>
      <c r="B1005" s="27"/>
      <c r="C1005" s="27"/>
      <c r="D1005" s="27"/>
      <c r="E1005" s="27"/>
      <c r="F1005" s="34"/>
      <c r="G1005" s="27"/>
      <c r="H1005" s="27"/>
      <c r="I1005" s="28" t="str">
        <f aca="false">IF(C1005="","",IFERROR(INDEX(Settings!$C$8:$C$19,MATCH(C1005,Settings!$B$8:$B$19,0)),"?"))</f>
        <v/>
      </c>
      <c r="J1005" s="28" t="str">
        <f aca="false">IF(G1005="","",IFERROR(INDEX(Settings!$C$8:$C$19,MATCH(G1005,Settings!$B$8:$B$19,0)),"?"))</f>
        <v/>
      </c>
      <c r="K1005" s="35" t="str">
        <f aca="false">IF(A1005="","",DATE(YEAR(A1005),MONTH(A1005),1))</f>
        <v/>
      </c>
      <c r="L1005" s="28" t="str">
        <f aca="false">IF(E1005="","",IFERROR(INDEX(Settings!$K$8:$K$38,MATCH(E1005,Settings!$H$8:$H$38,0))&amp;"",""))</f>
        <v/>
      </c>
    </row>
    <row r="1006" customFormat="false" ht="15" hidden="false" customHeight="false" outlineLevel="0" collapsed="false">
      <c r="A1006" s="33"/>
      <c r="B1006" s="27"/>
      <c r="C1006" s="27"/>
      <c r="D1006" s="27"/>
      <c r="E1006" s="27"/>
      <c r="F1006" s="34"/>
      <c r="G1006" s="27"/>
      <c r="H1006" s="27"/>
      <c r="I1006" s="28" t="str">
        <f aca="false">IF(C1006="","",IFERROR(INDEX(Settings!$C$8:$C$19,MATCH(C1006,Settings!$B$8:$B$19,0)),"?"))</f>
        <v/>
      </c>
      <c r="J1006" s="28" t="str">
        <f aca="false">IF(G1006="","",IFERROR(INDEX(Settings!$C$8:$C$19,MATCH(G1006,Settings!$B$8:$B$19,0)),"?"))</f>
        <v/>
      </c>
      <c r="K1006" s="35" t="str">
        <f aca="false">IF(A1006="","",DATE(YEAR(A1006),MONTH(A1006),1))</f>
        <v/>
      </c>
      <c r="L1006" s="28" t="str">
        <f aca="false">IF(E1006="","",IFERROR(INDEX(Settings!$K$8:$K$38,MATCH(E1006,Settings!$H$8:$H$38,0))&amp;"",""))</f>
        <v/>
      </c>
    </row>
    <row r="1007" customFormat="false" ht="15" hidden="false" customHeight="false" outlineLevel="0" collapsed="false">
      <c r="A1007" s="33"/>
      <c r="B1007" s="27"/>
      <c r="C1007" s="27"/>
      <c r="D1007" s="27"/>
      <c r="E1007" s="27"/>
      <c r="F1007" s="34"/>
      <c r="G1007" s="27"/>
      <c r="H1007" s="27"/>
      <c r="I1007" s="28" t="str">
        <f aca="false">IF(C1007="","",IFERROR(INDEX(Settings!$C$8:$C$19,MATCH(C1007,Settings!$B$8:$B$19,0)),"?"))</f>
        <v/>
      </c>
      <c r="J1007" s="28" t="str">
        <f aca="false">IF(G1007="","",IFERROR(INDEX(Settings!$C$8:$C$19,MATCH(G1007,Settings!$B$8:$B$19,0)),"?"))</f>
        <v/>
      </c>
      <c r="K1007" s="35" t="str">
        <f aca="false">IF(A1007="","",DATE(YEAR(A1007),MONTH(A1007),1))</f>
        <v/>
      </c>
      <c r="L1007" s="28" t="str">
        <f aca="false">IF(E1007="","",IFERROR(INDEX(Settings!$K$8:$K$38,MATCH(E1007,Settings!$H$8:$H$38,0))&amp;"",""))</f>
        <v/>
      </c>
    </row>
    <row r="1008" customFormat="false" ht="15" hidden="false" customHeight="false" outlineLevel="0" collapsed="false">
      <c r="A1008" s="33"/>
      <c r="B1008" s="27"/>
      <c r="C1008" s="27"/>
      <c r="D1008" s="27"/>
      <c r="E1008" s="27"/>
      <c r="F1008" s="34"/>
      <c r="G1008" s="27"/>
      <c r="H1008" s="27"/>
      <c r="I1008" s="28" t="str">
        <f aca="false">IF(C1008="","",IFERROR(INDEX(Settings!$C$8:$C$19,MATCH(C1008,Settings!$B$8:$B$19,0)),"?"))</f>
        <v/>
      </c>
      <c r="J1008" s="28" t="str">
        <f aca="false">IF(G1008="","",IFERROR(INDEX(Settings!$C$8:$C$19,MATCH(G1008,Settings!$B$8:$B$19,0)),"?"))</f>
        <v/>
      </c>
      <c r="K1008" s="35" t="str">
        <f aca="false">IF(A1008="","",DATE(YEAR(A1008),MONTH(A1008),1))</f>
        <v/>
      </c>
      <c r="L1008" s="28" t="str">
        <f aca="false">IF(E1008="","",IFERROR(INDEX(Settings!$K$8:$K$38,MATCH(E1008,Settings!$H$8:$H$38,0))&amp;"",""))</f>
        <v/>
      </c>
    </row>
    <row r="1009" customFormat="false" ht="15" hidden="false" customHeight="false" outlineLevel="0" collapsed="false">
      <c r="A1009" s="33"/>
      <c r="B1009" s="27"/>
      <c r="C1009" s="27"/>
      <c r="D1009" s="27"/>
      <c r="E1009" s="27"/>
      <c r="F1009" s="34"/>
      <c r="G1009" s="27"/>
      <c r="H1009" s="27"/>
      <c r="I1009" s="28" t="str">
        <f aca="false">IF(C1009="","",IFERROR(INDEX(Settings!$C$8:$C$19,MATCH(C1009,Settings!$B$8:$B$19,0)),"?"))</f>
        <v/>
      </c>
      <c r="J1009" s="28" t="str">
        <f aca="false">IF(G1009="","",IFERROR(INDEX(Settings!$C$8:$C$19,MATCH(G1009,Settings!$B$8:$B$19,0)),"?"))</f>
        <v/>
      </c>
      <c r="K1009" s="35" t="str">
        <f aca="false">IF(A1009="","",DATE(YEAR(A1009),MONTH(A1009),1))</f>
        <v/>
      </c>
      <c r="L1009" s="28" t="str">
        <f aca="false">IF(E1009="","",IFERROR(INDEX(Settings!$K$8:$K$38,MATCH(E1009,Settings!$H$8:$H$38,0))&amp;"",""))</f>
        <v/>
      </c>
    </row>
    <row r="1010" customFormat="false" ht="15" hidden="false" customHeight="false" outlineLevel="0" collapsed="false">
      <c r="A1010" s="33"/>
      <c r="B1010" s="27"/>
      <c r="C1010" s="27"/>
      <c r="D1010" s="27"/>
      <c r="E1010" s="27"/>
      <c r="F1010" s="34"/>
      <c r="G1010" s="27"/>
      <c r="H1010" s="27"/>
      <c r="I1010" s="28" t="str">
        <f aca="false">IF(C1010="","",IFERROR(INDEX(Settings!$C$8:$C$19,MATCH(C1010,Settings!$B$8:$B$19,0)),"?"))</f>
        <v/>
      </c>
      <c r="J1010" s="28" t="str">
        <f aca="false">IF(G1010="","",IFERROR(INDEX(Settings!$C$8:$C$19,MATCH(G1010,Settings!$B$8:$B$19,0)),"?"))</f>
        <v/>
      </c>
      <c r="K1010" s="35" t="str">
        <f aca="false">IF(A1010="","",DATE(YEAR(A1010),MONTH(A1010),1))</f>
        <v/>
      </c>
      <c r="L1010" s="28" t="str">
        <f aca="false">IF(E1010="","",IFERROR(INDEX(Settings!$K$8:$K$38,MATCH(E1010,Settings!$H$8:$H$38,0))&amp;"",""))</f>
        <v/>
      </c>
    </row>
    <row r="1011" customFormat="false" ht="15" hidden="false" customHeight="false" outlineLevel="0" collapsed="false">
      <c r="A1011" s="33"/>
      <c r="B1011" s="27"/>
      <c r="C1011" s="27"/>
      <c r="D1011" s="27"/>
      <c r="E1011" s="27"/>
      <c r="F1011" s="34"/>
      <c r="G1011" s="27"/>
      <c r="H1011" s="27"/>
      <c r="I1011" s="28" t="str">
        <f aca="false">IF(C1011="","",IFERROR(INDEX(Settings!$C$8:$C$19,MATCH(C1011,Settings!$B$8:$B$19,0)),"?"))</f>
        <v/>
      </c>
      <c r="J1011" s="28" t="str">
        <f aca="false">IF(G1011="","",IFERROR(INDEX(Settings!$C$8:$C$19,MATCH(G1011,Settings!$B$8:$B$19,0)),"?"))</f>
        <v/>
      </c>
      <c r="K1011" s="35" t="str">
        <f aca="false">IF(A1011="","",DATE(YEAR(A1011),MONTH(A1011),1))</f>
        <v/>
      </c>
      <c r="L1011" s="28" t="str">
        <f aca="false">IF(E1011="","",IFERROR(INDEX(Settings!$K$8:$K$38,MATCH(E1011,Settings!$H$8:$H$38,0))&amp;"",""))</f>
        <v/>
      </c>
    </row>
    <row r="1012" customFormat="false" ht="15" hidden="false" customHeight="false" outlineLevel="0" collapsed="false">
      <c r="A1012" s="33"/>
      <c r="B1012" s="27"/>
      <c r="C1012" s="27"/>
      <c r="D1012" s="27"/>
      <c r="E1012" s="27"/>
      <c r="F1012" s="34"/>
      <c r="G1012" s="27"/>
      <c r="H1012" s="27"/>
      <c r="I1012" s="28" t="str">
        <f aca="false">IF(C1012="","",IFERROR(INDEX(Settings!$C$8:$C$19,MATCH(C1012,Settings!$B$8:$B$19,0)),"?"))</f>
        <v/>
      </c>
      <c r="J1012" s="28" t="str">
        <f aca="false">IF(G1012="","",IFERROR(INDEX(Settings!$C$8:$C$19,MATCH(G1012,Settings!$B$8:$B$19,0)),"?"))</f>
        <v/>
      </c>
      <c r="K1012" s="35" t="str">
        <f aca="false">IF(A1012="","",DATE(YEAR(A1012),MONTH(A1012),1))</f>
        <v/>
      </c>
      <c r="L1012" s="28" t="str">
        <f aca="false">IF(E1012="","",IFERROR(INDEX(Settings!$K$8:$K$38,MATCH(E1012,Settings!$H$8:$H$38,0))&amp;"",""))</f>
        <v/>
      </c>
    </row>
    <row r="1013" customFormat="false" ht="15" hidden="false" customHeight="false" outlineLevel="0" collapsed="false">
      <c r="A1013" s="33"/>
      <c r="B1013" s="27"/>
      <c r="C1013" s="27"/>
      <c r="D1013" s="27"/>
      <c r="E1013" s="27"/>
      <c r="F1013" s="34"/>
      <c r="G1013" s="27"/>
      <c r="H1013" s="27"/>
      <c r="I1013" s="28" t="str">
        <f aca="false">IF(C1013="","",IFERROR(INDEX(Settings!$C$8:$C$19,MATCH(C1013,Settings!$B$8:$B$19,0)),"?"))</f>
        <v/>
      </c>
      <c r="J1013" s="28" t="str">
        <f aca="false">IF(G1013="","",IFERROR(INDEX(Settings!$C$8:$C$19,MATCH(G1013,Settings!$B$8:$B$19,0)),"?"))</f>
        <v/>
      </c>
      <c r="K1013" s="35" t="str">
        <f aca="false">IF(A1013="","",DATE(YEAR(A1013),MONTH(A1013),1))</f>
        <v/>
      </c>
      <c r="L1013" s="28" t="str">
        <f aca="false">IF(E1013="","",IFERROR(INDEX(Settings!$K$8:$K$38,MATCH(E1013,Settings!$H$8:$H$38,0))&amp;"",""))</f>
        <v/>
      </c>
    </row>
    <row r="1014" customFormat="false" ht="15" hidden="false" customHeight="false" outlineLevel="0" collapsed="false">
      <c r="A1014" s="33"/>
      <c r="B1014" s="27"/>
      <c r="C1014" s="27"/>
      <c r="D1014" s="27"/>
      <c r="E1014" s="27"/>
      <c r="F1014" s="34"/>
      <c r="G1014" s="27"/>
      <c r="H1014" s="27"/>
      <c r="I1014" s="28" t="str">
        <f aca="false">IF(C1014="","",IFERROR(INDEX(Settings!$C$8:$C$19,MATCH(C1014,Settings!$B$8:$B$19,0)),"?"))</f>
        <v/>
      </c>
      <c r="J1014" s="28" t="str">
        <f aca="false">IF(G1014="","",IFERROR(INDEX(Settings!$C$8:$C$19,MATCH(G1014,Settings!$B$8:$B$19,0)),"?"))</f>
        <v/>
      </c>
      <c r="K1014" s="35" t="str">
        <f aca="false">IF(A1014="","",DATE(YEAR(A1014),MONTH(A1014),1))</f>
        <v/>
      </c>
      <c r="L1014" s="28" t="str">
        <f aca="false">IF(E1014="","",IFERROR(INDEX(Settings!$K$8:$K$38,MATCH(E1014,Settings!$H$8:$H$38,0))&amp;"",""))</f>
        <v/>
      </c>
    </row>
    <row r="1015" customFormat="false" ht="15" hidden="false" customHeight="false" outlineLevel="0" collapsed="false">
      <c r="A1015" s="33"/>
      <c r="B1015" s="27"/>
      <c r="C1015" s="27"/>
      <c r="D1015" s="27"/>
      <c r="E1015" s="27"/>
      <c r="F1015" s="34"/>
      <c r="G1015" s="27"/>
      <c r="H1015" s="27"/>
      <c r="I1015" s="28" t="str">
        <f aca="false">IF(C1015="","",IFERROR(INDEX(Settings!$C$8:$C$19,MATCH(C1015,Settings!$B$8:$B$19,0)),"?"))</f>
        <v/>
      </c>
      <c r="J1015" s="28" t="str">
        <f aca="false">IF(G1015="","",IFERROR(INDEX(Settings!$C$8:$C$19,MATCH(G1015,Settings!$B$8:$B$19,0)),"?"))</f>
        <v/>
      </c>
      <c r="K1015" s="35" t="str">
        <f aca="false">IF(A1015="","",DATE(YEAR(A1015),MONTH(A1015),1))</f>
        <v/>
      </c>
      <c r="L1015" s="28" t="str">
        <f aca="false">IF(E1015="","",IFERROR(INDEX(Settings!$K$8:$K$38,MATCH(E1015,Settings!$H$8:$H$38,0))&amp;"",""))</f>
        <v/>
      </c>
    </row>
    <row r="1016" customFormat="false" ht="15" hidden="false" customHeight="false" outlineLevel="0" collapsed="false">
      <c r="A1016" s="33"/>
      <c r="B1016" s="27"/>
      <c r="C1016" s="27"/>
      <c r="D1016" s="27"/>
      <c r="E1016" s="27"/>
      <c r="F1016" s="34"/>
      <c r="G1016" s="27"/>
      <c r="H1016" s="27"/>
      <c r="I1016" s="28" t="str">
        <f aca="false">IF(C1016="","",IFERROR(INDEX(Settings!$C$8:$C$19,MATCH(C1016,Settings!$B$8:$B$19,0)),"?"))</f>
        <v/>
      </c>
      <c r="J1016" s="28" t="str">
        <f aca="false">IF(G1016="","",IFERROR(INDEX(Settings!$C$8:$C$19,MATCH(G1016,Settings!$B$8:$B$19,0)),"?"))</f>
        <v/>
      </c>
      <c r="K1016" s="35" t="str">
        <f aca="false">IF(A1016="","",DATE(YEAR(A1016),MONTH(A1016),1))</f>
        <v/>
      </c>
      <c r="L1016" s="28" t="str">
        <f aca="false">IF(E1016="","",IFERROR(INDEX(Settings!$K$8:$K$38,MATCH(E1016,Settings!$H$8:$H$38,0))&amp;"",""))</f>
        <v/>
      </c>
    </row>
    <row r="1017" customFormat="false" ht="15" hidden="false" customHeight="false" outlineLevel="0" collapsed="false">
      <c r="A1017" s="33"/>
      <c r="B1017" s="27"/>
      <c r="C1017" s="27"/>
      <c r="D1017" s="27"/>
      <c r="E1017" s="27"/>
      <c r="F1017" s="34"/>
      <c r="G1017" s="27"/>
      <c r="H1017" s="27"/>
      <c r="I1017" s="28" t="str">
        <f aca="false">IF(C1017="","",IFERROR(INDEX(Settings!$C$8:$C$19,MATCH(C1017,Settings!$B$8:$B$19,0)),"?"))</f>
        <v/>
      </c>
      <c r="J1017" s="28" t="str">
        <f aca="false">IF(G1017="","",IFERROR(INDEX(Settings!$C$8:$C$19,MATCH(G1017,Settings!$B$8:$B$19,0)),"?"))</f>
        <v/>
      </c>
      <c r="K1017" s="35" t="str">
        <f aca="false">IF(A1017="","",DATE(YEAR(A1017),MONTH(A1017),1))</f>
        <v/>
      </c>
      <c r="L1017" s="28" t="str">
        <f aca="false">IF(E1017="","",IFERROR(INDEX(Settings!$K$8:$K$38,MATCH(E1017,Settings!$H$8:$H$38,0))&amp;"",""))</f>
        <v/>
      </c>
    </row>
    <row r="1018" customFormat="false" ht="15" hidden="false" customHeight="false" outlineLevel="0" collapsed="false">
      <c r="A1018" s="33"/>
      <c r="B1018" s="27"/>
      <c r="C1018" s="27"/>
      <c r="D1018" s="27"/>
      <c r="E1018" s="27"/>
      <c r="F1018" s="34"/>
      <c r="G1018" s="27"/>
      <c r="H1018" s="27"/>
      <c r="I1018" s="28" t="str">
        <f aca="false">IF(C1018="","",IFERROR(INDEX(Settings!$C$8:$C$19,MATCH(C1018,Settings!$B$8:$B$19,0)),"?"))</f>
        <v/>
      </c>
      <c r="J1018" s="28" t="str">
        <f aca="false">IF(G1018="","",IFERROR(INDEX(Settings!$C$8:$C$19,MATCH(G1018,Settings!$B$8:$B$19,0)),"?"))</f>
        <v/>
      </c>
      <c r="K1018" s="35" t="str">
        <f aca="false">IF(A1018="","",DATE(YEAR(A1018),MONTH(A1018),1))</f>
        <v/>
      </c>
      <c r="L1018" s="28" t="str">
        <f aca="false">IF(E1018="","",IFERROR(INDEX(Settings!$K$8:$K$38,MATCH(E1018,Settings!$H$8:$H$38,0))&amp;"",""))</f>
        <v/>
      </c>
    </row>
    <row r="1019" customFormat="false" ht="15" hidden="false" customHeight="false" outlineLevel="0" collapsed="false">
      <c r="A1019" s="33"/>
      <c r="B1019" s="27"/>
      <c r="C1019" s="27"/>
      <c r="D1019" s="27"/>
      <c r="E1019" s="27"/>
      <c r="F1019" s="34"/>
      <c r="G1019" s="27"/>
      <c r="H1019" s="27"/>
      <c r="I1019" s="28" t="str">
        <f aca="false">IF(C1019="","",IFERROR(INDEX(Settings!$C$8:$C$19,MATCH(C1019,Settings!$B$8:$B$19,0)),"?"))</f>
        <v/>
      </c>
      <c r="J1019" s="28" t="str">
        <f aca="false">IF(G1019="","",IFERROR(INDEX(Settings!$C$8:$C$19,MATCH(G1019,Settings!$B$8:$B$19,0)),"?"))</f>
        <v/>
      </c>
      <c r="K1019" s="35" t="str">
        <f aca="false">IF(A1019="","",DATE(YEAR(A1019),MONTH(A1019),1))</f>
        <v/>
      </c>
      <c r="L1019" s="28" t="str">
        <f aca="false">IF(E1019="","",IFERROR(INDEX(Settings!$K$8:$K$38,MATCH(E1019,Settings!$H$8:$H$38,0))&amp;"",""))</f>
        <v/>
      </c>
    </row>
    <row r="1020" customFormat="false" ht="15" hidden="false" customHeight="false" outlineLevel="0" collapsed="false">
      <c r="A1020" s="33"/>
      <c r="B1020" s="27"/>
      <c r="C1020" s="27"/>
      <c r="D1020" s="27"/>
      <c r="E1020" s="27"/>
      <c r="F1020" s="34"/>
      <c r="G1020" s="27"/>
      <c r="H1020" s="27"/>
      <c r="I1020" s="28" t="str">
        <f aca="false">IF(C1020="","",IFERROR(INDEX(Settings!$C$8:$C$19,MATCH(C1020,Settings!$B$8:$B$19,0)),"?"))</f>
        <v/>
      </c>
      <c r="J1020" s="28" t="str">
        <f aca="false">IF(G1020="","",IFERROR(INDEX(Settings!$C$8:$C$19,MATCH(G1020,Settings!$B$8:$B$19,0)),"?"))</f>
        <v/>
      </c>
      <c r="K1020" s="35" t="str">
        <f aca="false">IF(A1020="","",DATE(YEAR(A1020),MONTH(A1020),1))</f>
        <v/>
      </c>
      <c r="L1020" s="28" t="str">
        <f aca="false">IF(E1020="","",IFERROR(INDEX(Settings!$K$8:$K$38,MATCH(E1020,Settings!$H$8:$H$38,0))&amp;"",""))</f>
        <v/>
      </c>
    </row>
    <row r="1021" customFormat="false" ht="15" hidden="false" customHeight="false" outlineLevel="0" collapsed="false">
      <c r="A1021" s="33"/>
      <c r="B1021" s="27"/>
      <c r="C1021" s="27"/>
      <c r="D1021" s="27"/>
      <c r="E1021" s="27"/>
      <c r="F1021" s="34"/>
      <c r="G1021" s="27"/>
      <c r="H1021" s="27"/>
      <c r="I1021" s="28" t="str">
        <f aca="false">IF(C1021="","",IFERROR(INDEX(Settings!$C$8:$C$19,MATCH(C1021,Settings!$B$8:$B$19,0)),"?"))</f>
        <v/>
      </c>
      <c r="J1021" s="28" t="str">
        <f aca="false">IF(G1021="","",IFERROR(INDEX(Settings!$C$8:$C$19,MATCH(G1021,Settings!$B$8:$B$19,0)),"?"))</f>
        <v/>
      </c>
      <c r="K1021" s="35" t="str">
        <f aca="false">IF(A1021="","",DATE(YEAR(A1021),MONTH(A1021),1))</f>
        <v/>
      </c>
      <c r="L1021" s="28" t="str">
        <f aca="false">IF(E1021="","",IFERROR(INDEX(Settings!$K$8:$K$38,MATCH(E1021,Settings!$H$8:$H$38,0))&amp;"",""))</f>
        <v/>
      </c>
    </row>
    <row r="1022" customFormat="false" ht="15" hidden="false" customHeight="false" outlineLevel="0" collapsed="false">
      <c r="A1022" s="33"/>
      <c r="B1022" s="27"/>
      <c r="C1022" s="27"/>
      <c r="D1022" s="27"/>
      <c r="E1022" s="27"/>
      <c r="F1022" s="34"/>
      <c r="G1022" s="27"/>
      <c r="H1022" s="27"/>
      <c r="I1022" s="28" t="str">
        <f aca="false">IF(C1022="","",IFERROR(INDEX(Settings!$C$8:$C$19,MATCH(C1022,Settings!$B$8:$B$19,0)),"?"))</f>
        <v/>
      </c>
      <c r="J1022" s="28" t="str">
        <f aca="false">IF(G1022="","",IFERROR(INDEX(Settings!$C$8:$C$19,MATCH(G1022,Settings!$B$8:$B$19,0)),"?"))</f>
        <v/>
      </c>
      <c r="K1022" s="35" t="str">
        <f aca="false">IF(A1022="","",DATE(YEAR(A1022),MONTH(A1022),1))</f>
        <v/>
      </c>
      <c r="L1022" s="28" t="str">
        <f aca="false">IF(E1022="","",IFERROR(INDEX(Settings!$K$8:$K$38,MATCH(E1022,Settings!$H$8:$H$38,0))&amp;"",""))</f>
        <v/>
      </c>
    </row>
    <row r="1023" customFormat="false" ht="15" hidden="false" customHeight="false" outlineLevel="0" collapsed="false">
      <c r="A1023" s="33"/>
      <c r="B1023" s="27"/>
      <c r="C1023" s="27"/>
      <c r="D1023" s="27"/>
      <c r="E1023" s="27"/>
      <c r="F1023" s="34"/>
      <c r="G1023" s="27"/>
      <c r="H1023" s="27"/>
      <c r="I1023" s="28" t="str">
        <f aca="false">IF(C1023="","",IFERROR(INDEX(Settings!$C$8:$C$19,MATCH(C1023,Settings!$B$8:$B$19,0)),"?"))</f>
        <v/>
      </c>
      <c r="J1023" s="28" t="str">
        <f aca="false">IF(G1023="","",IFERROR(INDEX(Settings!$C$8:$C$19,MATCH(G1023,Settings!$B$8:$B$19,0)),"?"))</f>
        <v/>
      </c>
      <c r="K1023" s="35" t="str">
        <f aca="false">IF(A1023="","",DATE(YEAR(A1023),MONTH(A1023),1))</f>
        <v/>
      </c>
      <c r="L1023" s="28" t="str">
        <f aca="false">IF(E1023="","",IFERROR(INDEX(Settings!$K$8:$K$38,MATCH(E1023,Settings!$H$8:$H$38,0))&amp;"",""))</f>
        <v/>
      </c>
    </row>
    <row r="1024" customFormat="false" ht="15" hidden="false" customHeight="false" outlineLevel="0" collapsed="false">
      <c r="A1024" s="33"/>
      <c r="B1024" s="27"/>
      <c r="C1024" s="27"/>
      <c r="D1024" s="27"/>
      <c r="E1024" s="27"/>
      <c r="F1024" s="34"/>
      <c r="G1024" s="27"/>
      <c r="H1024" s="27"/>
      <c r="I1024" s="28" t="str">
        <f aca="false">IF(C1024="","",IFERROR(INDEX(Settings!$C$8:$C$19,MATCH(C1024,Settings!$B$8:$B$19,0)),"?"))</f>
        <v/>
      </c>
      <c r="J1024" s="28" t="str">
        <f aca="false">IF(G1024="","",IFERROR(INDEX(Settings!$C$8:$C$19,MATCH(G1024,Settings!$B$8:$B$19,0)),"?"))</f>
        <v/>
      </c>
      <c r="K1024" s="35" t="str">
        <f aca="false">IF(A1024="","",DATE(YEAR(A1024),MONTH(A1024),1))</f>
        <v/>
      </c>
      <c r="L1024" s="28" t="str">
        <f aca="false">IF(E1024="","",IFERROR(INDEX(Settings!$K$8:$K$38,MATCH(E1024,Settings!$H$8:$H$38,0))&amp;"",""))</f>
        <v/>
      </c>
    </row>
    <row r="1025" customFormat="false" ht="15" hidden="false" customHeight="false" outlineLevel="0" collapsed="false">
      <c r="A1025" s="33"/>
      <c r="B1025" s="27"/>
      <c r="C1025" s="27"/>
      <c r="D1025" s="27"/>
      <c r="E1025" s="27"/>
      <c r="F1025" s="34"/>
      <c r="G1025" s="27"/>
      <c r="H1025" s="27"/>
      <c r="I1025" s="28" t="str">
        <f aca="false">IF(C1025="","",IFERROR(INDEX(Settings!$C$8:$C$19,MATCH(C1025,Settings!$B$8:$B$19,0)),"?"))</f>
        <v/>
      </c>
      <c r="J1025" s="28" t="str">
        <f aca="false">IF(G1025="","",IFERROR(INDEX(Settings!$C$8:$C$19,MATCH(G1025,Settings!$B$8:$B$19,0)),"?"))</f>
        <v/>
      </c>
      <c r="K1025" s="35" t="str">
        <f aca="false">IF(A1025="","",DATE(YEAR(A1025),MONTH(A1025),1))</f>
        <v/>
      </c>
      <c r="L1025" s="28" t="str">
        <f aca="false">IF(E1025="","",IFERROR(INDEX(Settings!$K$8:$K$38,MATCH(E1025,Settings!$H$8:$H$38,0))&amp;"",""))</f>
        <v/>
      </c>
    </row>
    <row r="1026" customFormat="false" ht="15" hidden="false" customHeight="false" outlineLevel="0" collapsed="false">
      <c r="A1026" s="33"/>
      <c r="B1026" s="27"/>
      <c r="C1026" s="27"/>
      <c r="D1026" s="27"/>
      <c r="E1026" s="27"/>
      <c r="F1026" s="34"/>
      <c r="G1026" s="27"/>
      <c r="H1026" s="27"/>
      <c r="I1026" s="28" t="str">
        <f aca="false">IF(C1026="","",IFERROR(INDEX(Settings!$C$8:$C$19,MATCH(C1026,Settings!$B$8:$B$19,0)),"?"))</f>
        <v/>
      </c>
      <c r="J1026" s="28" t="str">
        <f aca="false">IF(G1026="","",IFERROR(INDEX(Settings!$C$8:$C$19,MATCH(G1026,Settings!$B$8:$B$19,0)),"?"))</f>
        <v/>
      </c>
      <c r="K1026" s="35" t="str">
        <f aca="false">IF(A1026="","",DATE(YEAR(A1026),MONTH(A1026),1))</f>
        <v/>
      </c>
      <c r="L1026" s="28" t="str">
        <f aca="false">IF(E1026="","",IFERROR(INDEX(Settings!$K$8:$K$38,MATCH(E1026,Settings!$H$8:$H$38,0))&amp;"",""))</f>
        <v/>
      </c>
    </row>
    <row r="1027" customFormat="false" ht="15" hidden="false" customHeight="false" outlineLevel="0" collapsed="false">
      <c r="A1027" s="33"/>
      <c r="B1027" s="27"/>
      <c r="C1027" s="27"/>
      <c r="D1027" s="27"/>
      <c r="E1027" s="27"/>
      <c r="F1027" s="34"/>
      <c r="G1027" s="27"/>
      <c r="H1027" s="27"/>
      <c r="I1027" s="28" t="str">
        <f aca="false">IF(C1027="","",IFERROR(INDEX(Settings!$C$8:$C$19,MATCH(C1027,Settings!$B$8:$B$19,0)),"?"))</f>
        <v/>
      </c>
      <c r="J1027" s="28" t="str">
        <f aca="false">IF(G1027="","",IFERROR(INDEX(Settings!$C$8:$C$19,MATCH(G1027,Settings!$B$8:$B$19,0)),"?"))</f>
        <v/>
      </c>
      <c r="K1027" s="35" t="str">
        <f aca="false">IF(A1027="","",DATE(YEAR(A1027),MONTH(A1027),1))</f>
        <v/>
      </c>
      <c r="L1027" s="28" t="str">
        <f aca="false">IF(E1027="","",IFERROR(INDEX(Settings!$K$8:$K$38,MATCH(E1027,Settings!$H$8:$H$38,0))&amp;"",""))</f>
        <v/>
      </c>
    </row>
    <row r="1028" customFormat="false" ht="15" hidden="false" customHeight="false" outlineLevel="0" collapsed="false">
      <c r="A1028" s="33"/>
      <c r="B1028" s="27"/>
      <c r="C1028" s="27"/>
      <c r="D1028" s="27"/>
      <c r="E1028" s="27"/>
      <c r="F1028" s="34"/>
      <c r="G1028" s="27"/>
      <c r="H1028" s="27"/>
      <c r="I1028" s="28" t="str">
        <f aca="false">IF(C1028="","",IFERROR(INDEX(Settings!$C$8:$C$19,MATCH(C1028,Settings!$B$8:$B$19,0)),"?"))</f>
        <v/>
      </c>
      <c r="J1028" s="28" t="str">
        <f aca="false">IF(G1028="","",IFERROR(INDEX(Settings!$C$8:$C$19,MATCH(G1028,Settings!$B$8:$B$19,0)),"?"))</f>
        <v/>
      </c>
      <c r="K1028" s="35" t="str">
        <f aca="false">IF(A1028="","",DATE(YEAR(A1028),MONTH(A1028),1))</f>
        <v/>
      </c>
      <c r="L1028" s="28" t="str">
        <f aca="false">IF(E1028="","",IFERROR(INDEX(Settings!$K$8:$K$38,MATCH(E1028,Settings!$H$8:$H$38,0))&amp;"",""))</f>
        <v/>
      </c>
    </row>
    <row r="1029" customFormat="false" ht="15" hidden="false" customHeight="false" outlineLevel="0" collapsed="false">
      <c r="A1029" s="33"/>
      <c r="B1029" s="27"/>
      <c r="C1029" s="27"/>
      <c r="D1029" s="27"/>
      <c r="E1029" s="27"/>
      <c r="F1029" s="34"/>
      <c r="G1029" s="27"/>
      <c r="H1029" s="27"/>
      <c r="I1029" s="28" t="str">
        <f aca="false">IF(C1029="","",IFERROR(INDEX(Settings!$C$8:$C$19,MATCH(C1029,Settings!$B$8:$B$19,0)),"?"))</f>
        <v/>
      </c>
      <c r="J1029" s="28" t="str">
        <f aca="false">IF(G1029="","",IFERROR(INDEX(Settings!$C$8:$C$19,MATCH(G1029,Settings!$B$8:$B$19,0)),"?"))</f>
        <v/>
      </c>
      <c r="K1029" s="35" t="str">
        <f aca="false">IF(A1029="","",DATE(YEAR(A1029),MONTH(A1029),1))</f>
        <v/>
      </c>
      <c r="L1029" s="28" t="str">
        <f aca="false">IF(E1029="","",IFERROR(INDEX(Settings!$K$8:$K$38,MATCH(E1029,Settings!$H$8:$H$38,0))&amp;"",""))</f>
        <v/>
      </c>
    </row>
    <row r="1030" customFormat="false" ht="15" hidden="false" customHeight="false" outlineLevel="0" collapsed="false">
      <c r="A1030" s="33"/>
      <c r="B1030" s="27"/>
      <c r="C1030" s="27"/>
      <c r="D1030" s="27"/>
      <c r="E1030" s="27"/>
      <c r="F1030" s="34"/>
      <c r="G1030" s="27"/>
      <c r="H1030" s="27"/>
      <c r="I1030" s="28" t="str">
        <f aca="false">IF(C1030="","",IFERROR(INDEX(Settings!$C$8:$C$19,MATCH(C1030,Settings!$B$8:$B$19,0)),"?"))</f>
        <v/>
      </c>
      <c r="J1030" s="28" t="str">
        <f aca="false">IF(G1030="","",IFERROR(INDEX(Settings!$C$8:$C$19,MATCH(G1030,Settings!$B$8:$B$19,0)),"?"))</f>
        <v/>
      </c>
      <c r="K1030" s="35" t="str">
        <f aca="false">IF(A1030="","",DATE(YEAR(A1030),MONTH(A1030),1))</f>
        <v/>
      </c>
      <c r="L1030" s="28" t="str">
        <f aca="false">IF(E1030="","",IFERROR(INDEX(Settings!$K$8:$K$38,MATCH(E1030,Settings!$H$8:$H$38,0))&amp;"",""))</f>
        <v/>
      </c>
    </row>
    <row r="1031" customFormat="false" ht="15" hidden="false" customHeight="false" outlineLevel="0" collapsed="false">
      <c r="A1031" s="33"/>
      <c r="B1031" s="27"/>
      <c r="C1031" s="27"/>
      <c r="D1031" s="27"/>
      <c r="E1031" s="27"/>
      <c r="F1031" s="34"/>
      <c r="G1031" s="27"/>
      <c r="H1031" s="27"/>
      <c r="I1031" s="28" t="str">
        <f aca="false">IF(C1031="","",IFERROR(INDEX(Settings!$C$8:$C$19,MATCH(C1031,Settings!$B$8:$B$19,0)),"?"))</f>
        <v/>
      </c>
      <c r="J1031" s="28" t="str">
        <f aca="false">IF(G1031="","",IFERROR(INDEX(Settings!$C$8:$C$19,MATCH(G1031,Settings!$B$8:$B$19,0)),"?"))</f>
        <v/>
      </c>
      <c r="K1031" s="35" t="str">
        <f aca="false">IF(A1031="","",DATE(YEAR(A1031),MONTH(A1031),1))</f>
        <v/>
      </c>
      <c r="L1031" s="28" t="str">
        <f aca="false">IF(E1031="","",IFERROR(INDEX(Settings!$K$8:$K$38,MATCH(E1031,Settings!$H$8:$H$38,0))&amp;"",""))</f>
        <v/>
      </c>
    </row>
    <row r="1032" customFormat="false" ht="15" hidden="false" customHeight="false" outlineLevel="0" collapsed="false">
      <c r="A1032" s="33"/>
      <c r="B1032" s="27"/>
      <c r="C1032" s="27"/>
      <c r="D1032" s="27"/>
      <c r="E1032" s="27"/>
      <c r="F1032" s="34"/>
      <c r="G1032" s="27"/>
      <c r="H1032" s="27"/>
      <c r="I1032" s="28" t="str">
        <f aca="false">IF(C1032="","",IFERROR(INDEX(Settings!$C$8:$C$19,MATCH(C1032,Settings!$B$8:$B$19,0)),"?"))</f>
        <v/>
      </c>
      <c r="J1032" s="28" t="str">
        <f aca="false">IF(G1032="","",IFERROR(INDEX(Settings!$C$8:$C$19,MATCH(G1032,Settings!$B$8:$B$19,0)),"?"))</f>
        <v/>
      </c>
      <c r="K1032" s="35" t="str">
        <f aca="false">IF(A1032="","",DATE(YEAR(A1032),MONTH(A1032),1))</f>
        <v/>
      </c>
      <c r="L1032" s="28" t="str">
        <f aca="false">IF(E1032="","",IFERROR(INDEX(Settings!$K$8:$K$38,MATCH(E1032,Settings!$H$8:$H$38,0))&amp;"",""))</f>
        <v/>
      </c>
    </row>
    <row r="1033" customFormat="false" ht="15" hidden="false" customHeight="false" outlineLevel="0" collapsed="false">
      <c r="A1033" s="33"/>
      <c r="B1033" s="27"/>
      <c r="C1033" s="27"/>
      <c r="D1033" s="27"/>
      <c r="E1033" s="27"/>
      <c r="F1033" s="34"/>
      <c r="G1033" s="27"/>
      <c r="H1033" s="27"/>
      <c r="I1033" s="28" t="str">
        <f aca="false">IF(C1033="","",IFERROR(INDEX(Settings!$C$8:$C$19,MATCH(C1033,Settings!$B$8:$B$19,0)),"?"))</f>
        <v/>
      </c>
      <c r="J1033" s="28" t="str">
        <f aca="false">IF(G1033="","",IFERROR(INDEX(Settings!$C$8:$C$19,MATCH(G1033,Settings!$B$8:$B$19,0)),"?"))</f>
        <v/>
      </c>
      <c r="K1033" s="35" t="str">
        <f aca="false">IF(A1033="","",DATE(YEAR(A1033),MONTH(A1033),1))</f>
        <v/>
      </c>
      <c r="L1033" s="28" t="str">
        <f aca="false">IF(E1033="","",IFERROR(INDEX(Settings!$K$8:$K$38,MATCH(E1033,Settings!$H$8:$H$38,0))&amp;"",""))</f>
        <v/>
      </c>
    </row>
    <row r="1034" customFormat="false" ht="15" hidden="false" customHeight="false" outlineLevel="0" collapsed="false">
      <c r="A1034" s="33"/>
      <c r="B1034" s="27"/>
      <c r="C1034" s="27"/>
      <c r="D1034" s="27"/>
      <c r="E1034" s="27"/>
      <c r="F1034" s="34"/>
      <c r="G1034" s="27"/>
      <c r="H1034" s="27"/>
      <c r="I1034" s="28" t="str">
        <f aca="false">IF(C1034="","",IFERROR(INDEX(Settings!$C$8:$C$19,MATCH(C1034,Settings!$B$8:$B$19,0)),"?"))</f>
        <v/>
      </c>
      <c r="J1034" s="28" t="str">
        <f aca="false">IF(G1034="","",IFERROR(INDEX(Settings!$C$8:$C$19,MATCH(G1034,Settings!$B$8:$B$19,0)),"?"))</f>
        <v/>
      </c>
      <c r="K1034" s="35" t="str">
        <f aca="false">IF(A1034="","",DATE(YEAR(A1034),MONTH(A1034),1))</f>
        <v/>
      </c>
      <c r="L1034" s="28" t="str">
        <f aca="false">IF(E1034="","",IFERROR(INDEX(Settings!$K$8:$K$38,MATCH(E1034,Settings!$H$8:$H$38,0))&amp;"",""))</f>
        <v/>
      </c>
    </row>
    <row r="1035" customFormat="false" ht="15" hidden="false" customHeight="false" outlineLevel="0" collapsed="false">
      <c r="A1035" s="33"/>
      <c r="B1035" s="27"/>
      <c r="C1035" s="27"/>
      <c r="D1035" s="27"/>
      <c r="E1035" s="27"/>
      <c r="F1035" s="34"/>
      <c r="G1035" s="27"/>
      <c r="H1035" s="27"/>
      <c r="I1035" s="28" t="str">
        <f aca="false">IF(C1035="","",IFERROR(INDEX(Settings!$C$8:$C$19,MATCH(C1035,Settings!$B$8:$B$19,0)),"?"))</f>
        <v/>
      </c>
      <c r="J1035" s="28" t="str">
        <f aca="false">IF(G1035="","",IFERROR(INDEX(Settings!$C$8:$C$19,MATCH(G1035,Settings!$B$8:$B$19,0)),"?"))</f>
        <v/>
      </c>
      <c r="K1035" s="35" t="str">
        <f aca="false">IF(A1035="","",DATE(YEAR(A1035),MONTH(A1035),1))</f>
        <v/>
      </c>
      <c r="L1035" s="28" t="str">
        <f aca="false">IF(E1035="","",IFERROR(INDEX(Settings!$K$8:$K$38,MATCH(E1035,Settings!$H$8:$H$38,0))&amp;"",""))</f>
        <v/>
      </c>
    </row>
    <row r="1036" customFormat="false" ht="15" hidden="false" customHeight="false" outlineLevel="0" collapsed="false">
      <c r="A1036" s="33"/>
      <c r="B1036" s="27"/>
      <c r="C1036" s="27"/>
      <c r="D1036" s="27"/>
      <c r="E1036" s="27"/>
      <c r="F1036" s="34"/>
      <c r="G1036" s="27"/>
      <c r="H1036" s="27"/>
      <c r="I1036" s="28" t="str">
        <f aca="false">IF(C1036="","",IFERROR(INDEX(Settings!$C$8:$C$19,MATCH(C1036,Settings!$B$8:$B$19,0)),"?"))</f>
        <v/>
      </c>
      <c r="J1036" s="28" t="str">
        <f aca="false">IF(G1036="","",IFERROR(INDEX(Settings!$C$8:$C$19,MATCH(G1036,Settings!$B$8:$B$19,0)),"?"))</f>
        <v/>
      </c>
      <c r="K1036" s="35" t="str">
        <f aca="false">IF(A1036="","",DATE(YEAR(A1036),MONTH(A1036),1))</f>
        <v/>
      </c>
      <c r="L1036" s="28" t="str">
        <f aca="false">IF(E1036="","",IFERROR(INDEX(Settings!$K$8:$K$38,MATCH(E1036,Settings!$H$8:$H$38,0))&amp;"",""))</f>
        <v/>
      </c>
    </row>
    <row r="1037" customFormat="false" ht="15" hidden="false" customHeight="false" outlineLevel="0" collapsed="false">
      <c r="A1037" s="33"/>
      <c r="B1037" s="27"/>
      <c r="C1037" s="27"/>
      <c r="D1037" s="27"/>
      <c r="E1037" s="27"/>
      <c r="F1037" s="34"/>
      <c r="G1037" s="27"/>
      <c r="H1037" s="27"/>
      <c r="I1037" s="28" t="str">
        <f aca="false">IF(C1037="","",IFERROR(INDEX(Settings!$C$8:$C$19,MATCH(C1037,Settings!$B$8:$B$19,0)),"?"))</f>
        <v/>
      </c>
      <c r="J1037" s="28" t="str">
        <f aca="false">IF(G1037="","",IFERROR(INDEX(Settings!$C$8:$C$19,MATCH(G1037,Settings!$B$8:$B$19,0)),"?"))</f>
        <v/>
      </c>
      <c r="K1037" s="35" t="str">
        <f aca="false">IF(A1037="","",DATE(YEAR(A1037),MONTH(A1037),1))</f>
        <v/>
      </c>
      <c r="L1037" s="28" t="str">
        <f aca="false">IF(E1037="","",IFERROR(INDEX(Settings!$K$8:$K$38,MATCH(E1037,Settings!$H$8:$H$38,0))&amp;"",""))</f>
        <v/>
      </c>
    </row>
    <row r="1038" customFormat="false" ht="15" hidden="false" customHeight="false" outlineLevel="0" collapsed="false">
      <c r="A1038" s="33"/>
      <c r="B1038" s="27"/>
      <c r="C1038" s="27"/>
      <c r="D1038" s="27"/>
      <c r="E1038" s="27"/>
      <c r="F1038" s="34"/>
      <c r="G1038" s="27"/>
      <c r="H1038" s="27"/>
      <c r="I1038" s="28" t="str">
        <f aca="false">IF(C1038="","",IFERROR(INDEX(Settings!$C$8:$C$19,MATCH(C1038,Settings!$B$8:$B$19,0)),"?"))</f>
        <v/>
      </c>
      <c r="J1038" s="28" t="str">
        <f aca="false">IF(G1038="","",IFERROR(INDEX(Settings!$C$8:$C$19,MATCH(G1038,Settings!$B$8:$B$19,0)),"?"))</f>
        <v/>
      </c>
      <c r="K1038" s="35" t="str">
        <f aca="false">IF(A1038="","",DATE(YEAR(A1038),MONTH(A1038),1))</f>
        <v/>
      </c>
      <c r="L1038" s="28" t="str">
        <f aca="false">IF(E1038="","",IFERROR(INDEX(Settings!$K$8:$K$38,MATCH(E1038,Settings!$H$8:$H$38,0))&amp;"",""))</f>
        <v/>
      </c>
    </row>
    <row r="1039" customFormat="false" ht="15" hidden="false" customHeight="false" outlineLevel="0" collapsed="false">
      <c r="A1039" s="33"/>
      <c r="B1039" s="27"/>
      <c r="C1039" s="27"/>
      <c r="D1039" s="27"/>
      <c r="E1039" s="27"/>
      <c r="F1039" s="34"/>
      <c r="G1039" s="27"/>
      <c r="H1039" s="27"/>
      <c r="I1039" s="28" t="str">
        <f aca="false">IF(C1039="","",IFERROR(INDEX(Settings!$C$8:$C$19,MATCH(C1039,Settings!$B$8:$B$19,0)),"?"))</f>
        <v/>
      </c>
      <c r="J1039" s="28" t="str">
        <f aca="false">IF(G1039="","",IFERROR(INDEX(Settings!$C$8:$C$19,MATCH(G1039,Settings!$B$8:$B$19,0)),"?"))</f>
        <v/>
      </c>
      <c r="K1039" s="35" t="str">
        <f aca="false">IF(A1039="","",DATE(YEAR(A1039),MONTH(A1039),1))</f>
        <v/>
      </c>
      <c r="L1039" s="28" t="str">
        <f aca="false">IF(E1039="","",IFERROR(INDEX(Settings!$K$8:$K$38,MATCH(E1039,Settings!$H$8:$H$38,0))&amp;"",""))</f>
        <v/>
      </c>
    </row>
    <row r="1040" customFormat="false" ht="15" hidden="false" customHeight="false" outlineLevel="0" collapsed="false">
      <c r="A1040" s="33"/>
      <c r="B1040" s="27"/>
      <c r="C1040" s="27"/>
      <c r="D1040" s="27"/>
      <c r="E1040" s="27"/>
      <c r="F1040" s="34"/>
      <c r="G1040" s="27"/>
      <c r="H1040" s="27"/>
      <c r="I1040" s="28" t="str">
        <f aca="false">IF(C1040="","",IFERROR(INDEX(Settings!$C$8:$C$19,MATCH(C1040,Settings!$B$8:$B$19,0)),"?"))</f>
        <v/>
      </c>
      <c r="J1040" s="28" t="str">
        <f aca="false">IF(G1040="","",IFERROR(INDEX(Settings!$C$8:$C$19,MATCH(G1040,Settings!$B$8:$B$19,0)),"?"))</f>
        <v/>
      </c>
      <c r="K1040" s="35" t="str">
        <f aca="false">IF(A1040="","",DATE(YEAR(A1040),MONTH(A1040),1))</f>
        <v/>
      </c>
      <c r="L1040" s="28" t="str">
        <f aca="false">IF(E1040="","",IFERROR(INDEX(Settings!$K$8:$K$38,MATCH(E1040,Settings!$H$8:$H$38,0))&amp;"",""))</f>
        <v/>
      </c>
    </row>
    <row r="1041" customFormat="false" ht="15" hidden="false" customHeight="false" outlineLevel="0" collapsed="false">
      <c r="A1041" s="33"/>
      <c r="B1041" s="27"/>
      <c r="C1041" s="27"/>
      <c r="D1041" s="27"/>
      <c r="E1041" s="27"/>
      <c r="F1041" s="34"/>
      <c r="G1041" s="27"/>
      <c r="H1041" s="27"/>
      <c r="I1041" s="28" t="str">
        <f aca="false">IF(C1041="","",IFERROR(INDEX(Settings!$C$8:$C$19,MATCH(C1041,Settings!$B$8:$B$19,0)),"?"))</f>
        <v/>
      </c>
      <c r="J1041" s="28" t="str">
        <f aca="false">IF(G1041="","",IFERROR(INDEX(Settings!$C$8:$C$19,MATCH(G1041,Settings!$B$8:$B$19,0)),"?"))</f>
        <v/>
      </c>
      <c r="K1041" s="35" t="str">
        <f aca="false">IF(A1041="","",DATE(YEAR(A1041),MONTH(A1041),1))</f>
        <v/>
      </c>
      <c r="L1041" s="28" t="str">
        <f aca="false">IF(E1041="","",IFERROR(INDEX(Settings!$K$8:$K$38,MATCH(E1041,Settings!$H$8:$H$38,0))&amp;"",""))</f>
        <v/>
      </c>
    </row>
    <row r="1042" customFormat="false" ht="15" hidden="false" customHeight="false" outlineLevel="0" collapsed="false">
      <c r="A1042" s="33"/>
      <c r="B1042" s="27"/>
      <c r="C1042" s="27"/>
      <c r="D1042" s="27"/>
      <c r="E1042" s="27"/>
      <c r="F1042" s="34"/>
      <c r="G1042" s="27"/>
      <c r="H1042" s="27"/>
      <c r="I1042" s="28" t="str">
        <f aca="false">IF(C1042="","",IFERROR(INDEX(Settings!$C$8:$C$19,MATCH(C1042,Settings!$B$8:$B$19,0)),"?"))</f>
        <v/>
      </c>
      <c r="J1042" s="28" t="str">
        <f aca="false">IF(G1042="","",IFERROR(INDEX(Settings!$C$8:$C$19,MATCH(G1042,Settings!$B$8:$B$19,0)),"?"))</f>
        <v/>
      </c>
      <c r="K1042" s="35" t="str">
        <f aca="false">IF(A1042="","",DATE(YEAR(A1042),MONTH(A1042),1))</f>
        <v/>
      </c>
      <c r="L1042" s="28" t="str">
        <f aca="false">IF(E1042="","",IFERROR(INDEX(Settings!$K$8:$K$38,MATCH(E1042,Settings!$H$8:$H$38,0))&amp;"",""))</f>
        <v/>
      </c>
    </row>
    <row r="1043" customFormat="false" ht="15" hidden="false" customHeight="false" outlineLevel="0" collapsed="false">
      <c r="A1043" s="33"/>
      <c r="B1043" s="27"/>
      <c r="C1043" s="27"/>
      <c r="D1043" s="27"/>
      <c r="E1043" s="27"/>
      <c r="F1043" s="34"/>
      <c r="G1043" s="27"/>
      <c r="H1043" s="27"/>
      <c r="I1043" s="28" t="str">
        <f aca="false">IF(C1043="","",IFERROR(INDEX(Settings!$C$8:$C$19,MATCH(C1043,Settings!$B$8:$B$19,0)),"?"))</f>
        <v/>
      </c>
      <c r="J1043" s="28" t="str">
        <f aca="false">IF(G1043="","",IFERROR(INDEX(Settings!$C$8:$C$19,MATCH(G1043,Settings!$B$8:$B$19,0)),"?"))</f>
        <v/>
      </c>
      <c r="K1043" s="35" t="str">
        <f aca="false">IF(A1043="","",DATE(YEAR(A1043),MONTH(A1043),1))</f>
        <v/>
      </c>
      <c r="L1043" s="28" t="str">
        <f aca="false">IF(E1043="","",IFERROR(INDEX(Settings!$K$8:$K$38,MATCH(E1043,Settings!$H$8:$H$38,0))&amp;"",""))</f>
        <v/>
      </c>
    </row>
    <row r="1044" customFormat="false" ht="15" hidden="false" customHeight="false" outlineLevel="0" collapsed="false">
      <c r="A1044" s="33"/>
      <c r="B1044" s="27"/>
      <c r="C1044" s="27"/>
      <c r="D1044" s="27"/>
      <c r="E1044" s="27"/>
      <c r="F1044" s="34"/>
      <c r="G1044" s="27"/>
      <c r="H1044" s="27"/>
      <c r="I1044" s="28" t="str">
        <f aca="false">IF(C1044="","",IFERROR(INDEX(Settings!$C$8:$C$19,MATCH(C1044,Settings!$B$8:$B$19,0)),"?"))</f>
        <v/>
      </c>
      <c r="J1044" s="28" t="str">
        <f aca="false">IF(G1044="","",IFERROR(INDEX(Settings!$C$8:$C$19,MATCH(G1044,Settings!$B$8:$B$19,0)),"?"))</f>
        <v/>
      </c>
      <c r="K1044" s="35" t="str">
        <f aca="false">IF(A1044="","",DATE(YEAR(A1044),MONTH(A1044),1))</f>
        <v/>
      </c>
      <c r="L1044" s="28" t="str">
        <f aca="false">IF(E1044="","",IFERROR(INDEX(Settings!$K$8:$K$38,MATCH(E1044,Settings!$H$8:$H$38,0))&amp;"",""))</f>
        <v/>
      </c>
    </row>
    <row r="1045" customFormat="false" ht="15" hidden="false" customHeight="false" outlineLevel="0" collapsed="false">
      <c r="A1045" s="33"/>
      <c r="B1045" s="27"/>
      <c r="C1045" s="27"/>
      <c r="D1045" s="27"/>
      <c r="E1045" s="27"/>
      <c r="F1045" s="34"/>
      <c r="G1045" s="27"/>
      <c r="H1045" s="27"/>
      <c r="I1045" s="28" t="str">
        <f aca="false">IF(C1045="","",IFERROR(INDEX(Settings!$C$8:$C$19,MATCH(C1045,Settings!$B$8:$B$19,0)),"?"))</f>
        <v/>
      </c>
      <c r="J1045" s="28" t="str">
        <f aca="false">IF(G1045="","",IFERROR(INDEX(Settings!$C$8:$C$19,MATCH(G1045,Settings!$B$8:$B$19,0)),"?"))</f>
        <v/>
      </c>
      <c r="K1045" s="35" t="str">
        <f aca="false">IF(A1045="","",DATE(YEAR(A1045),MONTH(A1045),1))</f>
        <v/>
      </c>
      <c r="L1045" s="28" t="str">
        <f aca="false">IF(E1045="","",IFERROR(INDEX(Settings!$K$8:$K$38,MATCH(E1045,Settings!$H$8:$H$38,0))&amp;"",""))</f>
        <v/>
      </c>
    </row>
    <row r="1046" customFormat="false" ht="15" hidden="false" customHeight="false" outlineLevel="0" collapsed="false">
      <c r="A1046" s="33"/>
      <c r="B1046" s="27"/>
      <c r="C1046" s="27"/>
      <c r="D1046" s="27"/>
      <c r="E1046" s="27"/>
      <c r="F1046" s="34"/>
      <c r="G1046" s="27"/>
      <c r="H1046" s="27"/>
      <c r="I1046" s="28" t="str">
        <f aca="false">IF(C1046="","",IFERROR(INDEX(Settings!$C$8:$C$19,MATCH(C1046,Settings!$B$8:$B$19,0)),"?"))</f>
        <v/>
      </c>
      <c r="J1046" s="28" t="str">
        <f aca="false">IF(G1046="","",IFERROR(INDEX(Settings!$C$8:$C$19,MATCH(G1046,Settings!$B$8:$B$19,0)),"?"))</f>
        <v/>
      </c>
      <c r="K1046" s="35" t="str">
        <f aca="false">IF(A1046="","",DATE(YEAR(A1046),MONTH(A1046),1))</f>
        <v/>
      </c>
      <c r="L1046" s="28" t="str">
        <f aca="false">IF(E1046="","",IFERROR(INDEX(Settings!$K$8:$K$38,MATCH(E1046,Settings!$H$8:$H$38,0))&amp;"",""))</f>
        <v/>
      </c>
    </row>
    <row r="1047" customFormat="false" ht="15" hidden="false" customHeight="false" outlineLevel="0" collapsed="false">
      <c r="A1047" s="33"/>
      <c r="B1047" s="27"/>
      <c r="C1047" s="27"/>
      <c r="D1047" s="27"/>
      <c r="E1047" s="27"/>
      <c r="F1047" s="34"/>
      <c r="G1047" s="27"/>
      <c r="H1047" s="27"/>
      <c r="I1047" s="28" t="str">
        <f aca="false">IF(C1047="","",IFERROR(INDEX(Settings!$C$8:$C$19,MATCH(C1047,Settings!$B$8:$B$19,0)),"?"))</f>
        <v/>
      </c>
      <c r="J1047" s="28" t="str">
        <f aca="false">IF(G1047="","",IFERROR(INDEX(Settings!$C$8:$C$19,MATCH(G1047,Settings!$B$8:$B$19,0)),"?"))</f>
        <v/>
      </c>
      <c r="K1047" s="35" t="str">
        <f aca="false">IF(A1047="","",DATE(YEAR(A1047),MONTH(A1047),1))</f>
        <v/>
      </c>
      <c r="L1047" s="28" t="str">
        <f aca="false">IF(E1047="","",IFERROR(INDEX(Settings!$K$8:$K$38,MATCH(E1047,Settings!$H$8:$H$38,0))&amp;"",""))</f>
        <v/>
      </c>
    </row>
    <row r="1048" customFormat="false" ht="15" hidden="false" customHeight="false" outlineLevel="0" collapsed="false">
      <c r="A1048" s="33"/>
      <c r="B1048" s="27"/>
      <c r="C1048" s="27"/>
      <c r="D1048" s="27"/>
      <c r="E1048" s="27"/>
      <c r="F1048" s="34"/>
      <c r="G1048" s="27"/>
      <c r="H1048" s="27"/>
      <c r="I1048" s="28" t="str">
        <f aca="false">IF(C1048="","",IFERROR(INDEX(Settings!$C$8:$C$19,MATCH(C1048,Settings!$B$8:$B$19,0)),"?"))</f>
        <v/>
      </c>
      <c r="J1048" s="28" t="str">
        <f aca="false">IF(G1048="","",IFERROR(INDEX(Settings!$C$8:$C$19,MATCH(G1048,Settings!$B$8:$B$19,0)),"?"))</f>
        <v/>
      </c>
      <c r="K1048" s="35" t="str">
        <f aca="false">IF(A1048="","",DATE(YEAR(A1048),MONTH(A1048),1))</f>
        <v/>
      </c>
      <c r="L1048" s="28" t="str">
        <f aca="false">IF(E1048="","",IFERROR(INDEX(Settings!$K$8:$K$38,MATCH(E1048,Settings!$H$8:$H$38,0))&amp;"",""))</f>
        <v/>
      </c>
    </row>
    <row r="1049" customFormat="false" ht="15" hidden="false" customHeight="false" outlineLevel="0" collapsed="false">
      <c r="A1049" s="33"/>
      <c r="B1049" s="27"/>
      <c r="C1049" s="27"/>
      <c r="D1049" s="27"/>
      <c r="E1049" s="27"/>
      <c r="F1049" s="34"/>
      <c r="G1049" s="27"/>
      <c r="H1049" s="27"/>
      <c r="I1049" s="28" t="str">
        <f aca="false">IF(C1049="","",IFERROR(INDEX(Settings!$C$8:$C$19,MATCH(C1049,Settings!$B$8:$B$19,0)),"?"))</f>
        <v/>
      </c>
      <c r="J1049" s="28" t="str">
        <f aca="false">IF(G1049="","",IFERROR(INDEX(Settings!$C$8:$C$19,MATCH(G1049,Settings!$B$8:$B$19,0)),"?"))</f>
        <v/>
      </c>
      <c r="K1049" s="35" t="str">
        <f aca="false">IF(A1049="","",DATE(YEAR(A1049),MONTH(A1049),1))</f>
        <v/>
      </c>
      <c r="L1049" s="28" t="str">
        <f aca="false">IF(E1049="","",IFERROR(INDEX(Settings!$K$8:$K$38,MATCH(E1049,Settings!$H$8:$H$38,0))&amp;"",""))</f>
        <v/>
      </c>
    </row>
    <row r="1050" customFormat="false" ht="15" hidden="false" customHeight="false" outlineLevel="0" collapsed="false">
      <c r="A1050" s="33"/>
      <c r="B1050" s="27"/>
      <c r="C1050" s="27"/>
      <c r="D1050" s="27"/>
      <c r="E1050" s="27"/>
      <c r="F1050" s="34"/>
      <c r="G1050" s="27"/>
      <c r="H1050" s="27"/>
      <c r="I1050" s="28" t="str">
        <f aca="false">IF(C1050="","",IFERROR(INDEX(Settings!$C$8:$C$19,MATCH(C1050,Settings!$B$8:$B$19,0)),"?"))</f>
        <v/>
      </c>
      <c r="J1050" s="28" t="str">
        <f aca="false">IF(G1050="","",IFERROR(INDEX(Settings!$C$8:$C$19,MATCH(G1050,Settings!$B$8:$B$19,0)),"?"))</f>
        <v/>
      </c>
      <c r="K1050" s="35" t="str">
        <f aca="false">IF(A1050="","",DATE(YEAR(A1050),MONTH(A1050),1))</f>
        <v/>
      </c>
      <c r="L1050" s="28" t="str">
        <f aca="false">IF(E1050="","",IFERROR(INDEX(Settings!$K$8:$K$38,MATCH(E1050,Settings!$H$8:$H$38,0))&amp;"",""))</f>
        <v/>
      </c>
    </row>
    <row r="1051" customFormat="false" ht="15" hidden="false" customHeight="false" outlineLevel="0" collapsed="false">
      <c r="A1051" s="33"/>
      <c r="B1051" s="27"/>
      <c r="C1051" s="27"/>
      <c r="D1051" s="27"/>
      <c r="E1051" s="27"/>
      <c r="F1051" s="34"/>
      <c r="G1051" s="27"/>
      <c r="H1051" s="27"/>
      <c r="I1051" s="28" t="str">
        <f aca="false">IF(C1051="","",IFERROR(INDEX(Settings!$C$8:$C$19,MATCH(C1051,Settings!$B$8:$B$19,0)),"?"))</f>
        <v/>
      </c>
      <c r="J1051" s="28" t="str">
        <f aca="false">IF(G1051="","",IFERROR(INDEX(Settings!$C$8:$C$19,MATCH(G1051,Settings!$B$8:$B$19,0)),"?"))</f>
        <v/>
      </c>
      <c r="K1051" s="35" t="str">
        <f aca="false">IF(A1051="","",DATE(YEAR(A1051),MONTH(A1051),1))</f>
        <v/>
      </c>
      <c r="L1051" s="28" t="str">
        <f aca="false">IF(E1051="","",IFERROR(INDEX(Settings!$K$8:$K$38,MATCH(E1051,Settings!$H$8:$H$38,0))&amp;"",""))</f>
        <v/>
      </c>
    </row>
    <row r="1052" customFormat="false" ht="15" hidden="false" customHeight="false" outlineLevel="0" collapsed="false">
      <c r="A1052" s="33"/>
      <c r="B1052" s="27"/>
      <c r="C1052" s="27"/>
      <c r="D1052" s="27"/>
      <c r="E1052" s="27"/>
      <c r="F1052" s="34"/>
      <c r="G1052" s="27"/>
      <c r="H1052" s="27"/>
      <c r="I1052" s="28" t="str">
        <f aca="false">IF(C1052="","",IFERROR(INDEX(Settings!$C$8:$C$19,MATCH(C1052,Settings!$B$8:$B$19,0)),"?"))</f>
        <v/>
      </c>
      <c r="J1052" s="28" t="str">
        <f aca="false">IF(G1052="","",IFERROR(INDEX(Settings!$C$8:$C$19,MATCH(G1052,Settings!$B$8:$B$19,0)),"?"))</f>
        <v/>
      </c>
      <c r="K1052" s="35" t="str">
        <f aca="false">IF(A1052="","",DATE(YEAR(A1052),MONTH(A1052),1))</f>
        <v/>
      </c>
      <c r="L1052" s="28" t="str">
        <f aca="false">IF(E1052="","",IFERROR(INDEX(Settings!$K$8:$K$38,MATCH(E1052,Settings!$H$8:$H$38,0))&amp;"",""))</f>
        <v/>
      </c>
    </row>
    <row r="1053" customFormat="false" ht="15" hidden="false" customHeight="false" outlineLevel="0" collapsed="false">
      <c r="A1053" s="33"/>
      <c r="B1053" s="27"/>
      <c r="C1053" s="27"/>
      <c r="D1053" s="27"/>
      <c r="E1053" s="27"/>
      <c r="F1053" s="34"/>
      <c r="G1053" s="27"/>
      <c r="H1053" s="27"/>
      <c r="I1053" s="28" t="str">
        <f aca="false">IF(C1053="","",IFERROR(INDEX(Settings!$C$8:$C$19,MATCH(C1053,Settings!$B$8:$B$19,0)),"?"))</f>
        <v/>
      </c>
      <c r="J1053" s="28" t="str">
        <f aca="false">IF(G1053="","",IFERROR(INDEX(Settings!$C$8:$C$19,MATCH(G1053,Settings!$B$8:$B$19,0)),"?"))</f>
        <v/>
      </c>
      <c r="K1053" s="35" t="str">
        <f aca="false">IF(A1053="","",DATE(YEAR(A1053),MONTH(A1053),1))</f>
        <v/>
      </c>
      <c r="L1053" s="28" t="str">
        <f aca="false">IF(E1053="","",IFERROR(INDEX(Settings!$K$8:$K$38,MATCH(E1053,Settings!$H$8:$H$38,0))&amp;"",""))</f>
        <v/>
      </c>
    </row>
    <row r="1054" customFormat="false" ht="15" hidden="false" customHeight="false" outlineLevel="0" collapsed="false">
      <c r="A1054" s="33"/>
      <c r="B1054" s="27"/>
      <c r="C1054" s="27"/>
      <c r="D1054" s="27"/>
      <c r="E1054" s="27"/>
      <c r="F1054" s="34"/>
      <c r="G1054" s="27"/>
      <c r="H1054" s="27"/>
      <c r="I1054" s="28" t="str">
        <f aca="false">IF(C1054="","",IFERROR(INDEX(Settings!$C$8:$C$19,MATCH(C1054,Settings!$B$8:$B$19,0)),"?"))</f>
        <v/>
      </c>
      <c r="J1054" s="28" t="str">
        <f aca="false">IF(G1054="","",IFERROR(INDEX(Settings!$C$8:$C$19,MATCH(G1054,Settings!$B$8:$B$19,0)),"?"))</f>
        <v/>
      </c>
      <c r="K1054" s="35" t="str">
        <f aca="false">IF(A1054="","",DATE(YEAR(A1054),MONTH(A1054),1))</f>
        <v/>
      </c>
      <c r="L1054" s="28" t="str">
        <f aca="false">IF(E1054="","",IFERROR(INDEX(Settings!$K$8:$K$38,MATCH(E1054,Settings!$H$8:$H$38,0))&amp;"",""))</f>
        <v/>
      </c>
    </row>
    <row r="1055" customFormat="false" ht="15" hidden="false" customHeight="false" outlineLevel="0" collapsed="false">
      <c r="A1055" s="33"/>
      <c r="B1055" s="27"/>
      <c r="C1055" s="27"/>
      <c r="D1055" s="27"/>
      <c r="E1055" s="27"/>
      <c r="F1055" s="34"/>
      <c r="G1055" s="27"/>
      <c r="H1055" s="27"/>
      <c r="I1055" s="28" t="str">
        <f aca="false">IF(C1055="","",IFERROR(INDEX(Settings!$C$8:$C$19,MATCH(C1055,Settings!$B$8:$B$19,0)),"?"))</f>
        <v/>
      </c>
      <c r="J1055" s="28" t="str">
        <f aca="false">IF(G1055="","",IFERROR(INDEX(Settings!$C$8:$C$19,MATCH(G1055,Settings!$B$8:$B$19,0)),"?"))</f>
        <v/>
      </c>
      <c r="K1055" s="35" t="str">
        <f aca="false">IF(A1055="","",DATE(YEAR(A1055),MONTH(A1055),1))</f>
        <v/>
      </c>
      <c r="L1055" s="28" t="str">
        <f aca="false">IF(E1055="","",IFERROR(INDEX(Settings!$K$8:$K$38,MATCH(E1055,Settings!$H$8:$H$38,0))&amp;"",""))</f>
        <v/>
      </c>
    </row>
    <row r="1056" customFormat="false" ht="15" hidden="false" customHeight="false" outlineLevel="0" collapsed="false">
      <c r="A1056" s="33"/>
      <c r="B1056" s="27"/>
      <c r="C1056" s="27"/>
      <c r="D1056" s="27"/>
      <c r="E1056" s="27"/>
      <c r="F1056" s="34"/>
      <c r="G1056" s="27"/>
      <c r="H1056" s="27"/>
      <c r="I1056" s="28" t="str">
        <f aca="false">IF(C1056="","",IFERROR(INDEX(Settings!$C$8:$C$19,MATCH(C1056,Settings!$B$8:$B$19,0)),"?"))</f>
        <v/>
      </c>
      <c r="J1056" s="28" t="str">
        <f aca="false">IF(G1056="","",IFERROR(INDEX(Settings!$C$8:$C$19,MATCH(G1056,Settings!$B$8:$B$19,0)),"?"))</f>
        <v/>
      </c>
      <c r="K1056" s="35" t="str">
        <f aca="false">IF(A1056="","",DATE(YEAR(A1056),MONTH(A1056),1))</f>
        <v/>
      </c>
      <c r="L1056" s="28" t="str">
        <f aca="false">IF(E1056="","",IFERROR(INDEX(Settings!$K$8:$K$38,MATCH(E1056,Settings!$H$8:$H$38,0))&amp;"",""))</f>
        <v/>
      </c>
    </row>
    <row r="1057" customFormat="false" ht="15" hidden="false" customHeight="false" outlineLevel="0" collapsed="false">
      <c r="A1057" s="33"/>
      <c r="B1057" s="27"/>
      <c r="C1057" s="27"/>
      <c r="D1057" s="27"/>
      <c r="E1057" s="27"/>
      <c r="F1057" s="34"/>
      <c r="G1057" s="27"/>
      <c r="H1057" s="27"/>
      <c r="I1057" s="28" t="str">
        <f aca="false">IF(C1057="","",IFERROR(INDEX(Settings!$C$8:$C$19,MATCH(C1057,Settings!$B$8:$B$19,0)),"?"))</f>
        <v/>
      </c>
      <c r="J1057" s="28" t="str">
        <f aca="false">IF(G1057="","",IFERROR(INDEX(Settings!$C$8:$C$19,MATCH(G1057,Settings!$B$8:$B$19,0)),"?"))</f>
        <v/>
      </c>
      <c r="K1057" s="35" t="str">
        <f aca="false">IF(A1057="","",DATE(YEAR(A1057),MONTH(A1057),1))</f>
        <v/>
      </c>
      <c r="L1057" s="28" t="str">
        <f aca="false">IF(E1057="","",IFERROR(INDEX(Settings!$K$8:$K$38,MATCH(E1057,Settings!$H$8:$H$38,0))&amp;"",""))</f>
        <v/>
      </c>
    </row>
    <row r="1058" customFormat="false" ht="15" hidden="false" customHeight="false" outlineLevel="0" collapsed="false">
      <c r="A1058" s="33"/>
      <c r="B1058" s="27"/>
      <c r="C1058" s="27"/>
      <c r="D1058" s="27"/>
      <c r="E1058" s="27"/>
      <c r="F1058" s="34"/>
      <c r="G1058" s="27"/>
      <c r="H1058" s="27"/>
      <c r="I1058" s="28" t="str">
        <f aca="false">IF(C1058="","",IFERROR(INDEX(Settings!$C$8:$C$19,MATCH(C1058,Settings!$B$8:$B$19,0)),"?"))</f>
        <v/>
      </c>
      <c r="J1058" s="28" t="str">
        <f aca="false">IF(G1058="","",IFERROR(INDEX(Settings!$C$8:$C$19,MATCH(G1058,Settings!$B$8:$B$19,0)),"?"))</f>
        <v/>
      </c>
      <c r="K1058" s="35" t="str">
        <f aca="false">IF(A1058="","",DATE(YEAR(A1058),MONTH(A1058),1))</f>
        <v/>
      </c>
      <c r="L1058" s="28" t="str">
        <f aca="false">IF(E1058="","",IFERROR(INDEX(Settings!$K$8:$K$38,MATCH(E1058,Settings!$H$8:$H$38,0))&amp;"",""))</f>
        <v/>
      </c>
    </row>
    <row r="1059" customFormat="false" ht="15" hidden="false" customHeight="false" outlineLevel="0" collapsed="false">
      <c r="A1059" s="33"/>
      <c r="B1059" s="27"/>
      <c r="C1059" s="27"/>
      <c r="D1059" s="27"/>
      <c r="E1059" s="27"/>
      <c r="F1059" s="34"/>
      <c r="G1059" s="27"/>
      <c r="H1059" s="27"/>
      <c r="I1059" s="28" t="str">
        <f aca="false">IF(C1059="","",IFERROR(INDEX(Settings!$C$8:$C$19,MATCH(C1059,Settings!$B$8:$B$19,0)),"?"))</f>
        <v/>
      </c>
      <c r="J1059" s="28" t="str">
        <f aca="false">IF(G1059="","",IFERROR(INDEX(Settings!$C$8:$C$19,MATCH(G1059,Settings!$B$8:$B$19,0)),"?"))</f>
        <v/>
      </c>
      <c r="K1059" s="35" t="str">
        <f aca="false">IF(A1059="","",DATE(YEAR(A1059),MONTH(A1059),1))</f>
        <v/>
      </c>
      <c r="L1059" s="28" t="str">
        <f aca="false">IF(E1059="","",IFERROR(INDEX(Settings!$K$8:$K$38,MATCH(E1059,Settings!$H$8:$H$38,0))&amp;"",""))</f>
        <v/>
      </c>
    </row>
    <row r="1060" customFormat="false" ht="15" hidden="false" customHeight="false" outlineLevel="0" collapsed="false">
      <c r="A1060" s="33"/>
      <c r="B1060" s="27"/>
      <c r="C1060" s="27"/>
      <c r="D1060" s="27"/>
      <c r="E1060" s="27"/>
      <c r="F1060" s="34"/>
      <c r="G1060" s="27"/>
      <c r="H1060" s="27"/>
      <c r="I1060" s="28" t="str">
        <f aca="false">IF(C1060="","",IFERROR(INDEX(Settings!$C$8:$C$19,MATCH(C1060,Settings!$B$8:$B$19,0)),"?"))</f>
        <v/>
      </c>
      <c r="J1060" s="28" t="str">
        <f aca="false">IF(G1060="","",IFERROR(INDEX(Settings!$C$8:$C$19,MATCH(G1060,Settings!$B$8:$B$19,0)),"?"))</f>
        <v/>
      </c>
      <c r="K1060" s="35" t="str">
        <f aca="false">IF(A1060="","",DATE(YEAR(A1060),MONTH(A1060),1))</f>
        <v/>
      </c>
      <c r="L1060" s="28" t="str">
        <f aca="false">IF(E1060="","",IFERROR(INDEX(Settings!$K$8:$K$38,MATCH(E1060,Settings!$H$8:$H$38,0))&amp;"",""))</f>
        <v/>
      </c>
    </row>
    <row r="1061" customFormat="false" ht="15" hidden="false" customHeight="false" outlineLevel="0" collapsed="false">
      <c r="A1061" s="33"/>
      <c r="B1061" s="27"/>
      <c r="C1061" s="27"/>
      <c r="D1061" s="27"/>
      <c r="E1061" s="27"/>
      <c r="F1061" s="34"/>
      <c r="G1061" s="27"/>
      <c r="H1061" s="27"/>
      <c r="I1061" s="28" t="str">
        <f aca="false">IF(C1061="","",IFERROR(INDEX(Settings!$C$8:$C$19,MATCH(C1061,Settings!$B$8:$B$19,0)),"?"))</f>
        <v/>
      </c>
      <c r="J1061" s="28" t="str">
        <f aca="false">IF(G1061="","",IFERROR(INDEX(Settings!$C$8:$C$19,MATCH(G1061,Settings!$B$8:$B$19,0)),"?"))</f>
        <v/>
      </c>
      <c r="K1061" s="35" t="str">
        <f aca="false">IF(A1061="","",DATE(YEAR(A1061),MONTH(A1061),1))</f>
        <v/>
      </c>
      <c r="L1061" s="28" t="str">
        <f aca="false">IF(E1061="","",IFERROR(INDEX(Settings!$K$8:$K$38,MATCH(E1061,Settings!$H$8:$H$38,0))&amp;"",""))</f>
        <v/>
      </c>
    </row>
    <row r="1062" customFormat="false" ht="15" hidden="false" customHeight="false" outlineLevel="0" collapsed="false">
      <c r="A1062" s="33"/>
      <c r="B1062" s="27"/>
      <c r="C1062" s="27"/>
      <c r="D1062" s="27"/>
      <c r="E1062" s="27"/>
      <c r="F1062" s="34"/>
      <c r="G1062" s="27"/>
      <c r="H1062" s="27"/>
      <c r="I1062" s="28" t="str">
        <f aca="false">IF(C1062="","",IFERROR(INDEX(Settings!$C$8:$C$19,MATCH(C1062,Settings!$B$8:$B$19,0)),"?"))</f>
        <v/>
      </c>
      <c r="J1062" s="28" t="str">
        <f aca="false">IF(G1062="","",IFERROR(INDEX(Settings!$C$8:$C$19,MATCH(G1062,Settings!$B$8:$B$19,0)),"?"))</f>
        <v/>
      </c>
      <c r="K1062" s="35" t="str">
        <f aca="false">IF(A1062="","",DATE(YEAR(A1062),MONTH(A1062),1))</f>
        <v/>
      </c>
      <c r="L1062" s="28" t="str">
        <f aca="false">IF(E1062="","",IFERROR(INDEX(Settings!$K$8:$K$38,MATCH(E1062,Settings!$H$8:$H$38,0))&amp;"",""))</f>
        <v/>
      </c>
    </row>
    <row r="1063" customFormat="false" ht="15" hidden="false" customHeight="false" outlineLevel="0" collapsed="false">
      <c r="A1063" s="33"/>
      <c r="B1063" s="27"/>
      <c r="C1063" s="27"/>
      <c r="D1063" s="27"/>
      <c r="E1063" s="27"/>
      <c r="F1063" s="34"/>
      <c r="G1063" s="27"/>
      <c r="H1063" s="27"/>
      <c r="I1063" s="28" t="str">
        <f aca="false">IF(C1063="","",IFERROR(INDEX(Settings!$C$8:$C$19,MATCH(C1063,Settings!$B$8:$B$19,0)),"?"))</f>
        <v/>
      </c>
      <c r="J1063" s="28" t="str">
        <f aca="false">IF(G1063="","",IFERROR(INDEX(Settings!$C$8:$C$19,MATCH(G1063,Settings!$B$8:$B$19,0)),"?"))</f>
        <v/>
      </c>
      <c r="K1063" s="35" t="str">
        <f aca="false">IF(A1063="","",DATE(YEAR(A1063),MONTH(A1063),1))</f>
        <v/>
      </c>
      <c r="L1063" s="28" t="str">
        <f aca="false">IF(E1063="","",IFERROR(INDEX(Settings!$K$8:$K$38,MATCH(E1063,Settings!$H$8:$H$38,0))&amp;"",""))</f>
        <v/>
      </c>
    </row>
    <row r="1064" customFormat="false" ht="15" hidden="false" customHeight="false" outlineLevel="0" collapsed="false">
      <c r="A1064" s="33"/>
      <c r="B1064" s="27"/>
      <c r="C1064" s="27"/>
      <c r="D1064" s="27"/>
      <c r="E1064" s="27"/>
      <c r="F1064" s="34"/>
      <c r="G1064" s="27"/>
      <c r="H1064" s="27"/>
      <c r="I1064" s="28" t="str">
        <f aca="false">IF(C1064="","",IFERROR(INDEX(Settings!$C$8:$C$19,MATCH(C1064,Settings!$B$8:$B$19,0)),"?"))</f>
        <v/>
      </c>
      <c r="J1064" s="28" t="str">
        <f aca="false">IF(G1064="","",IFERROR(INDEX(Settings!$C$8:$C$19,MATCH(G1064,Settings!$B$8:$B$19,0)),"?"))</f>
        <v/>
      </c>
      <c r="K1064" s="35" t="str">
        <f aca="false">IF(A1064="","",DATE(YEAR(A1064),MONTH(A1064),1))</f>
        <v/>
      </c>
      <c r="L1064" s="28" t="str">
        <f aca="false">IF(E1064="","",IFERROR(INDEX(Settings!$K$8:$K$38,MATCH(E1064,Settings!$H$8:$H$38,0))&amp;"",""))</f>
        <v/>
      </c>
    </row>
    <row r="1065" customFormat="false" ht="15" hidden="false" customHeight="false" outlineLevel="0" collapsed="false">
      <c r="A1065" s="33"/>
      <c r="B1065" s="27"/>
      <c r="C1065" s="27"/>
      <c r="D1065" s="27"/>
      <c r="E1065" s="27"/>
      <c r="F1065" s="34"/>
      <c r="G1065" s="27"/>
      <c r="H1065" s="27"/>
      <c r="I1065" s="28" t="str">
        <f aca="false">IF(C1065="","",IFERROR(INDEX(Settings!$C$8:$C$19,MATCH(C1065,Settings!$B$8:$B$19,0)),"?"))</f>
        <v/>
      </c>
      <c r="J1065" s="28" t="str">
        <f aca="false">IF(G1065="","",IFERROR(INDEX(Settings!$C$8:$C$19,MATCH(G1065,Settings!$B$8:$B$19,0)),"?"))</f>
        <v/>
      </c>
      <c r="K1065" s="35" t="str">
        <f aca="false">IF(A1065="","",DATE(YEAR(A1065),MONTH(A1065),1))</f>
        <v/>
      </c>
      <c r="L1065" s="28" t="str">
        <f aca="false">IF(E1065="","",IFERROR(INDEX(Settings!$K$8:$K$38,MATCH(E1065,Settings!$H$8:$H$38,0))&amp;"",""))</f>
        <v/>
      </c>
    </row>
    <row r="1066" customFormat="false" ht="15" hidden="false" customHeight="false" outlineLevel="0" collapsed="false">
      <c r="A1066" s="33"/>
      <c r="B1066" s="27"/>
      <c r="C1066" s="27"/>
      <c r="D1066" s="27"/>
      <c r="E1066" s="27"/>
      <c r="F1066" s="34"/>
      <c r="G1066" s="27"/>
      <c r="H1066" s="27"/>
      <c r="I1066" s="28" t="str">
        <f aca="false">IF(C1066="","",IFERROR(INDEX(Settings!$C$8:$C$19,MATCH(C1066,Settings!$B$8:$B$19,0)),"?"))</f>
        <v/>
      </c>
      <c r="J1066" s="28" t="str">
        <f aca="false">IF(G1066="","",IFERROR(INDEX(Settings!$C$8:$C$19,MATCH(G1066,Settings!$B$8:$B$19,0)),"?"))</f>
        <v/>
      </c>
      <c r="K1066" s="35" t="str">
        <f aca="false">IF(A1066="","",DATE(YEAR(A1066),MONTH(A1066),1))</f>
        <v/>
      </c>
      <c r="L1066" s="28" t="str">
        <f aca="false">IF(E1066="","",IFERROR(INDEX(Settings!$K$8:$K$38,MATCH(E1066,Settings!$H$8:$H$38,0))&amp;"",""))</f>
        <v/>
      </c>
    </row>
    <row r="1067" customFormat="false" ht="15" hidden="false" customHeight="false" outlineLevel="0" collapsed="false">
      <c r="A1067" s="33"/>
      <c r="B1067" s="27"/>
      <c r="C1067" s="27"/>
      <c r="D1067" s="27"/>
      <c r="E1067" s="27"/>
      <c r="F1067" s="34"/>
      <c r="G1067" s="27"/>
      <c r="H1067" s="27"/>
      <c r="I1067" s="28" t="str">
        <f aca="false">IF(C1067="","",IFERROR(INDEX(Settings!$C$8:$C$19,MATCH(C1067,Settings!$B$8:$B$19,0)),"?"))</f>
        <v/>
      </c>
      <c r="J1067" s="28" t="str">
        <f aca="false">IF(G1067="","",IFERROR(INDEX(Settings!$C$8:$C$19,MATCH(G1067,Settings!$B$8:$B$19,0)),"?"))</f>
        <v/>
      </c>
      <c r="K1067" s="35" t="str">
        <f aca="false">IF(A1067="","",DATE(YEAR(A1067),MONTH(A1067),1))</f>
        <v/>
      </c>
      <c r="L1067" s="28" t="str">
        <f aca="false">IF(E1067="","",IFERROR(INDEX(Settings!$K$8:$K$38,MATCH(E1067,Settings!$H$8:$H$38,0))&amp;"",""))</f>
        <v/>
      </c>
    </row>
    <row r="1068" customFormat="false" ht="15" hidden="false" customHeight="false" outlineLevel="0" collapsed="false">
      <c r="A1068" s="33"/>
      <c r="B1068" s="27"/>
      <c r="C1068" s="27"/>
      <c r="D1068" s="27"/>
      <c r="E1068" s="27"/>
      <c r="F1068" s="34"/>
      <c r="G1068" s="27"/>
      <c r="H1068" s="27"/>
      <c r="I1068" s="28" t="str">
        <f aca="false">IF(C1068="","",IFERROR(INDEX(Settings!$C$8:$C$19,MATCH(C1068,Settings!$B$8:$B$19,0)),"?"))</f>
        <v/>
      </c>
      <c r="J1068" s="28" t="str">
        <f aca="false">IF(G1068="","",IFERROR(INDEX(Settings!$C$8:$C$19,MATCH(G1068,Settings!$B$8:$B$19,0)),"?"))</f>
        <v/>
      </c>
      <c r="K1068" s="35" t="str">
        <f aca="false">IF(A1068="","",DATE(YEAR(A1068),MONTH(A1068),1))</f>
        <v/>
      </c>
      <c r="L1068" s="28" t="str">
        <f aca="false">IF(E1068="","",IFERROR(INDEX(Settings!$K$8:$K$38,MATCH(E1068,Settings!$H$8:$H$38,0))&amp;"",""))</f>
        <v/>
      </c>
    </row>
    <row r="1069" customFormat="false" ht="15" hidden="false" customHeight="false" outlineLevel="0" collapsed="false">
      <c r="A1069" s="33"/>
      <c r="B1069" s="27"/>
      <c r="C1069" s="27"/>
      <c r="D1069" s="27"/>
      <c r="E1069" s="27"/>
      <c r="F1069" s="34"/>
      <c r="G1069" s="27"/>
      <c r="H1069" s="27"/>
      <c r="I1069" s="28" t="str">
        <f aca="false">IF(C1069="","",IFERROR(INDEX(Settings!$C$8:$C$19,MATCH(C1069,Settings!$B$8:$B$19,0)),"?"))</f>
        <v/>
      </c>
      <c r="J1069" s="28" t="str">
        <f aca="false">IF(G1069="","",IFERROR(INDEX(Settings!$C$8:$C$19,MATCH(G1069,Settings!$B$8:$B$19,0)),"?"))</f>
        <v/>
      </c>
      <c r="K1069" s="35" t="str">
        <f aca="false">IF(A1069="","",DATE(YEAR(A1069),MONTH(A1069),1))</f>
        <v/>
      </c>
      <c r="L1069" s="28" t="str">
        <f aca="false">IF(E1069="","",IFERROR(INDEX(Settings!$K$8:$K$38,MATCH(E1069,Settings!$H$8:$H$38,0))&amp;"",""))</f>
        <v/>
      </c>
    </row>
    <row r="1070" customFormat="false" ht="15" hidden="false" customHeight="false" outlineLevel="0" collapsed="false">
      <c r="A1070" s="33"/>
      <c r="B1070" s="27"/>
      <c r="C1070" s="27"/>
      <c r="D1070" s="27"/>
      <c r="E1070" s="27"/>
      <c r="F1070" s="34"/>
      <c r="G1070" s="27"/>
      <c r="H1070" s="27"/>
      <c r="I1070" s="28" t="str">
        <f aca="false">IF(C1070="","",IFERROR(INDEX(Settings!$C$8:$C$19,MATCH(C1070,Settings!$B$8:$B$19,0)),"?"))</f>
        <v/>
      </c>
      <c r="J1070" s="28" t="str">
        <f aca="false">IF(G1070="","",IFERROR(INDEX(Settings!$C$8:$C$19,MATCH(G1070,Settings!$B$8:$B$19,0)),"?"))</f>
        <v/>
      </c>
      <c r="K1070" s="35" t="str">
        <f aca="false">IF(A1070="","",DATE(YEAR(A1070),MONTH(A1070),1))</f>
        <v/>
      </c>
      <c r="L1070" s="28" t="str">
        <f aca="false">IF(E1070="","",IFERROR(INDEX(Settings!$K$8:$K$38,MATCH(E1070,Settings!$H$8:$H$38,0))&amp;"",""))</f>
        <v/>
      </c>
    </row>
    <row r="1071" customFormat="false" ht="15" hidden="false" customHeight="false" outlineLevel="0" collapsed="false">
      <c r="A1071" s="33"/>
      <c r="B1071" s="27"/>
      <c r="C1071" s="27"/>
      <c r="D1071" s="27"/>
      <c r="E1071" s="27"/>
      <c r="F1071" s="34"/>
      <c r="G1071" s="27"/>
      <c r="H1071" s="27"/>
      <c r="I1071" s="28" t="str">
        <f aca="false">IF(C1071="","",IFERROR(INDEX(Settings!$C$8:$C$19,MATCH(C1071,Settings!$B$8:$B$19,0)),"?"))</f>
        <v/>
      </c>
      <c r="J1071" s="28" t="str">
        <f aca="false">IF(G1071="","",IFERROR(INDEX(Settings!$C$8:$C$19,MATCH(G1071,Settings!$B$8:$B$19,0)),"?"))</f>
        <v/>
      </c>
      <c r="K1071" s="35" t="str">
        <f aca="false">IF(A1071="","",DATE(YEAR(A1071),MONTH(A1071),1))</f>
        <v/>
      </c>
      <c r="L1071" s="28" t="str">
        <f aca="false">IF(E1071="","",IFERROR(INDEX(Settings!$K$8:$K$38,MATCH(E1071,Settings!$H$8:$H$38,0))&amp;"",""))</f>
        <v/>
      </c>
    </row>
    <row r="1072" customFormat="false" ht="15" hidden="false" customHeight="false" outlineLevel="0" collapsed="false">
      <c r="A1072" s="33"/>
      <c r="B1072" s="27"/>
      <c r="C1072" s="27"/>
      <c r="D1072" s="27"/>
      <c r="E1072" s="27"/>
      <c r="F1072" s="34"/>
      <c r="G1072" s="27"/>
      <c r="H1072" s="27"/>
      <c r="I1072" s="28" t="str">
        <f aca="false">IF(C1072="","",IFERROR(INDEX(Settings!$C$8:$C$19,MATCH(C1072,Settings!$B$8:$B$19,0)),"?"))</f>
        <v/>
      </c>
      <c r="J1072" s="28" t="str">
        <f aca="false">IF(G1072="","",IFERROR(INDEX(Settings!$C$8:$C$19,MATCH(G1072,Settings!$B$8:$B$19,0)),"?"))</f>
        <v/>
      </c>
      <c r="K1072" s="35" t="str">
        <f aca="false">IF(A1072="","",DATE(YEAR(A1072),MONTH(A1072),1))</f>
        <v/>
      </c>
      <c r="L1072" s="28" t="str">
        <f aca="false">IF(E1072="","",IFERROR(INDEX(Settings!$K$8:$K$38,MATCH(E1072,Settings!$H$8:$H$38,0))&amp;"",""))</f>
        <v/>
      </c>
    </row>
    <row r="1073" customFormat="false" ht="15" hidden="false" customHeight="false" outlineLevel="0" collapsed="false">
      <c r="A1073" s="33"/>
      <c r="B1073" s="27"/>
      <c r="C1073" s="27"/>
      <c r="D1073" s="27"/>
      <c r="E1073" s="27"/>
      <c r="F1073" s="34"/>
      <c r="G1073" s="27"/>
      <c r="H1073" s="27"/>
      <c r="I1073" s="28" t="str">
        <f aca="false">IF(C1073="","",IFERROR(INDEX(Settings!$C$8:$C$19,MATCH(C1073,Settings!$B$8:$B$19,0)),"?"))</f>
        <v/>
      </c>
      <c r="J1073" s="28" t="str">
        <f aca="false">IF(G1073="","",IFERROR(INDEX(Settings!$C$8:$C$19,MATCH(G1073,Settings!$B$8:$B$19,0)),"?"))</f>
        <v/>
      </c>
      <c r="K1073" s="35" t="str">
        <f aca="false">IF(A1073="","",DATE(YEAR(A1073),MONTH(A1073),1))</f>
        <v/>
      </c>
      <c r="L1073" s="28" t="str">
        <f aca="false">IF(E1073="","",IFERROR(INDEX(Settings!$K$8:$K$38,MATCH(E1073,Settings!$H$8:$H$38,0))&amp;"",""))</f>
        <v/>
      </c>
    </row>
    <row r="1074" customFormat="false" ht="15" hidden="false" customHeight="false" outlineLevel="0" collapsed="false">
      <c r="A1074" s="33"/>
      <c r="B1074" s="27"/>
      <c r="C1074" s="27"/>
      <c r="D1074" s="27"/>
      <c r="E1074" s="27"/>
      <c r="F1074" s="34"/>
      <c r="G1074" s="27"/>
      <c r="H1074" s="27"/>
      <c r="I1074" s="28" t="str">
        <f aca="false">IF(C1074="","",IFERROR(INDEX(Settings!$C$8:$C$19,MATCH(C1074,Settings!$B$8:$B$19,0)),"?"))</f>
        <v/>
      </c>
      <c r="J1074" s="28" t="str">
        <f aca="false">IF(G1074="","",IFERROR(INDEX(Settings!$C$8:$C$19,MATCH(G1074,Settings!$B$8:$B$19,0)),"?"))</f>
        <v/>
      </c>
      <c r="K1074" s="35" t="str">
        <f aca="false">IF(A1074="","",DATE(YEAR(A1074),MONTH(A1074),1))</f>
        <v/>
      </c>
      <c r="L1074" s="28" t="str">
        <f aca="false">IF(E1074="","",IFERROR(INDEX(Settings!$K$8:$K$38,MATCH(E1074,Settings!$H$8:$H$38,0))&amp;"",""))</f>
        <v/>
      </c>
    </row>
    <row r="1075" customFormat="false" ht="15" hidden="false" customHeight="false" outlineLevel="0" collapsed="false">
      <c r="A1075" s="33"/>
      <c r="B1075" s="27"/>
      <c r="C1075" s="27"/>
      <c r="D1075" s="27"/>
      <c r="E1075" s="27"/>
      <c r="F1075" s="34"/>
      <c r="G1075" s="27"/>
      <c r="H1075" s="27"/>
      <c r="I1075" s="28" t="str">
        <f aca="false">IF(C1075="","",IFERROR(INDEX(Settings!$C$8:$C$19,MATCH(C1075,Settings!$B$8:$B$19,0)),"?"))</f>
        <v/>
      </c>
      <c r="J1075" s="28" t="str">
        <f aca="false">IF(G1075="","",IFERROR(INDEX(Settings!$C$8:$C$19,MATCH(G1075,Settings!$B$8:$B$19,0)),"?"))</f>
        <v/>
      </c>
      <c r="K1075" s="35" t="str">
        <f aca="false">IF(A1075="","",DATE(YEAR(A1075),MONTH(A1075),1))</f>
        <v/>
      </c>
      <c r="L1075" s="28" t="str">
        <f aca="false">IF(E1075="","",IFERROR(INDEX(Settings!$K$8:$K$38,MATCH(E1075,Settings!$H$8:$H$38,0))&amp;"",""))</f>
        <v/>
      </c>
    </row>
    <row r="1076" customFormat="false" ht="15" hidden="false" customHeight="false" outlineLevel="0" collapsed="false">
      <c r="A1076" s="33"/>
      <c r="B1076" s="27"/>
      <c r="C1076" s="27"/>
      <c r="D1076" s="27"/>
      <c r="E1076" s="27"/>
      <c r="F1076" s="34"/>
      <c r="G1076" s="27"/>
      <c r="H1076" s="27"/>
      <c r="I1076" s="28" t="str">
        <f aca="false">IF(C1076="","",IFERROR(INDEX(Settings!$C$8:$C$19,MATCH(C1076,Settings!$B$8:$B$19,0)),"?"))</f>
        <v/>
      </c>
      <c r="J1076" s="28" t="str">
        <f aca="false">IF(G1076="","",IFERROR(INDEX(Settings!$C$8:$C$19,MATCH(G1076,Settings!$B$8:$B$19,0)),"?"))</f>
        <v/>
      </c>
      <c r="K1076" s="35" t="str">
        <f aca="false">IF(A1076="","",DATE(YEAR(A1076),MONTH(A1076),1))</f>
        <v/>
      </c>
      <c r="L1076" s="28" t="str">
        <f aca="false">IF(E1076="","",IFERROR(INDEX(Settings!$K$8:$K$38,MATCH(E1076,Settings!$H$8:$H$38,0))&amp;"",""))</f>
        <v/>
      </c>
    </row>
    <row r="1077" customFormat="false" ht="15" hidden="false" customHeight="false" outlineLevel="0" collapsed="false">
      <c r="A1077" s="33"/>
      <c r="B1077" s="27"/>
      <c r="C1077" s="27"/>
      <c r="D1077" s="27"/>
      <c r="E1077" s="27"/>
      <c r="F1077" s="34"/>
      <c r="G1077" s="27"/>
      <c r="H1077" s="27"/>
      <c r="I1077" s="28" t="str">
        <f aca="false">IF(C1077="","",IFERROR(INDEX(Settings!$C$8:$C$19,MATCH(C1077,Settings!$B$8:$B$19,0)),"?"))</f>
        <v/>
      </c>
      <c r="J1077" s="28" t="str">
        <f aca="false">IF(G1077="","",IFERROR(INDEX(Settings!$C$8:$C$19,MATCH(G1077,Settings!$B$8:$B$19,0)),"?"))</f>
        <v/>
      </c>
      <c r="K1077" s="35" t="str">
        <f aca="false">IF(A1077="","",DATE(YEAR(A1077),MONTH(A1077),1))</f>
        <v/>
      </c>
      <c r="L1077" s="28" t="str">
        <f aca="false">IF(E1077="","",IFERROR(INDEX(Settings!$K$8:$K$38,MATCH(E1077,Settings!$H$8:$H$38,0))&amp;"",""))</f>
        <v/>
      </c>
    </row>
    <row r="1078" customFormat="false" ht="15" hidden="false" customHeight="false" outlineLevel="0" collapsed="false">
      <c r="A1078" s="33"/>
      <c r="B1078" s="27"/>
      <c r="C1078" s="27"/>
      <c r="D1078" s="27"/>
      <c r="E1078" s="27"/>
      <c r="F1078" s="34"/>
      <c r="G1078" s="27"/>
      <c r="H1078" s="27"/>
      <c r="I1078" s="28" t="str">
        <f aca="false">IF(C1078="","",IFERROR(INDEX(Settings!$C$8:$C$19,MATCH(C1078,Settings!$B$8:$B$19,0)),"?"))</f>
        <v/>
      </c>
      <c r="J1078" s="28" t="str">
        <f aca="false">IF(G1078="","",IFERROR(INDEX(Settings!$C$8:$C$19,MATCH(G1078,Settings!$B$8:$B$19,0)),"?"))</f>
        <v/>
      </c>
      <c r="K1078" s="35" t="str">
        <f aca="false">IF(A1078="","",DATE(YEAR(A1078),MONTH(A1078),1))</f>
        <v/>
      </c>
      <c r="L1078" s="28" t="str">
        <f aca="false">IF(E1078="","",IFERROR(INDEX(Settings!$K$8:$K$38,MATCH(E1078,Settings!$H$8:$H$38,0))&amp;"",""))</f>
        <v/>
      </c>
    </row>
    <row r="1079" customFormat="false" ht="15" hidden="false" customHeight="false" outlineLevel="0" collapsed="false">
      <c r="A1079" s="33"/>
      <c r="B1079" s="27"/>
      <c r="C1079" s="27"/>
      <c r="D1079" s="27"/>
      <c r="E1079" s="27"/>
      <c r="F1079" s="34"/>
      <c r="G1079" s="27"/>
      <c r="H1079" s="27"/>
      <c r="I1079" s="28" t="str">
        <f aca="false">IF(C1079="","",IFERROR(INDEX(Settings!$C$8:$C$19,MATCH(C1079,Settings!$B$8:$B$19,0)),"?"))</f>
        <v/>
      </c>
      <c r="J1079" s="28" t="str">
        <f aca="false">IF(G1079="","",IFERROR(INDEX(Settings!$C$8:$C$19,MATCH(G1079,Settings!$B$8:$B$19,0)),"?"))</f>
        <v/>
      </c>
      <c r="K1079" s="35" t="str">
        <f aca="false">IF(A1079="","",DATE(YEAR(A1079),MONTH(A1079),1))</f>
        <v/>
      </c>
      <c r="L1079" s="28" t="str">
        <f aca="false">IF(E1079="","",IFERROR(INDEX(Settings!$K$8:$K$38,MATCH(E1079,Settings!$H$8:$H$38,0))&amp;"",""))</f>
        <v/>
      </c>
    </row>
    <row r="1080" customFormat="false" ht="15" hidden="false" customHeight="false" outlineLevel="0" collapsed="false">
      <c r="A1080" s="33"/>
      <c r="B1080" s="27"/>
      <c r="C1080" s="27"/>
      <c r="D1080" s="27"/>
      <c r="E1080" s="27"/>
      <c r="F1080" s="34"/>
      <c r="G1080" s="27"/>
      <c r="H1080" s="27"/>
      <c r="I1080" s="28" t="str">
        <f aca="false">IF(C1080="","",IFERROR(INDEX(Settings!$C$8:$C$19,MATCH(C1080,Settings!$B$8:$B$19,0)),"?"))</f>
        <v/>
      </c>
      <c r="J1080" s="28" t="str">
        <f aca="false">IF(G1080="","",IFERROR(INDEX(Settings!$C$8:$C$19,MATCH(G1080,Settings!$B$8:$B$19,0)),"?"))</f>
        <v/>
      </c>
      <c r="K1080" s="35" t="str">
        <f aca="false">IF(A1080="","",DATE(YEAR(A1080),MONTH(A1080),1))</f>
        <v/>
      </c>
      <c r="L1080" s="28" t="str">
        <f aca="false">IF(E1080="","",IFERROR(INDEX(Settings!$K$8:$K$38,MATCH(E1080,Settings!$H$8:$H$38,0))&amp;"",""))</f>
        <v/>
      </c>
    </row>
    <row r="1081" customFormat="false" ht="15" hidden="false" customHeight="false" outlineLevel="0" collapsed="false">
      <c r="A1081" s="33"/>
      <c r="B1081" s="27"/>
      <c r="C1081" s="27"/>
      <c r="D1081" s="27"/>
      <c r="E1081" s="27"/>
      <c r="F1081" s="34"/>
      <c r="G1081" s="27"/>
      <c r="H1081" s="27"/>
      <c r="I1081" s="28" t="str">
        <f aca="false">IF(C1081="","",IFERROR(INDEX(Settings!$C$8:$C$19,MATCH(C1081,Settings!$B$8:$B$19,0)),"?"))</f>
        <v/>
      </c>
      <c r="J1081" s="28" t="str">
        <f aca="false">IF(G1081="","",IFERROR(INDEX(Settings!$C$8:$C$19,MATCH(G1081,Settings!$B$8:$B$19,0)),"?"))</f>
        <v/>
      </c>
      <c r="K1081" s="35" t="str">
        <f aca="false">IF(A1081="","",DATE(YEAR(A1081),MONTH(A1081),1))</f>
        <v/>
      </c>
      <c r="L1081" s="28" t="str">
        <f aca="false">IF(E1081="","",IFERROR(INDEX(Settings!$K$8:$K$38,MATCH(E1081,Settings!$H$8:$H$38,0))&amp;"",""))</f>
        <v/>
      </c>
    </row>
    <row r="1082" customFormat="false" ht="15" hidden="false" customHeight="false" outlineLevel="0" collapsed="false">
      <c r="A1082" s="33"/>
      <c r="B1082" s="27"/>
      <c r="C1082" s="27"/>
      <c r="D1082" s="27"/>
      <c r="E1082" s="27"/>
      <c r="F1082" s="34"/>
      <c r="G1082" s="27"/>
      <c r="H1082" s="27"/>
      <c r="I1082" s="28" t="str">
        <f aca="false">IF(C1082="","",IFERROR(INDEX(Settings!$C$8:$C$19,MATCH(C1082,Settings!$B$8:$B$19,0)),"?"))</f>
        <v/>
      </c>
      <c r="J1082" s="28" t="str">
        <f aca="false">IF(G1082="","",IFERROR(INDEX(Settings!$C$8:$C$19,MATCH(G1082,Settings!$B$8:$B$19,0)),"?"))</f>
        <v/>
      </c>
      <c r="K1082" s="35" t="str">
        <f aca="false">IF(A1082="","",DATE(YEAR(A1082),MONTH(A1082),1))</f>
        <v/>
      </c>
      <c r="L1082" s="28" t="str">
        <f aca="false">IF(E1082="","",IFERROR(INDEX(Settings!$K$8:$K$38,MATCH(E1082,Settings!$H$8:$H$38,0))&amp;"",""))</f>
        <v/>
      </c>
    </row>
    <row r="1083" customFormat="false" ht="15" hidden="false" customHeight="false" outlineLevel="0" collapsed="false">
      <c r="A1083" s="33"/>
      <c r="B1083" s="27"/>
      <c r="C1083" s="27"/>
      <c r="D1083" s="27"/>
      <c r="E1083" s="27"/>
      <c r="F1083" s="34"/>
      <c r="G1083" s="27"/>
      <c r="H1083" s="27"/>
      <c r="I1083" s="28" t="str">
        <f aca="false">IF(C1083="","",IFERROR(INDEX(Settings!$C$8:$C$19,MATCH(C1083,Settings!$B$8:$B$19,0)),"?"))</f>
        <v/>
      </c>
      <c r="J1083" s="28" t="str">
        <f aca="false">IF(G1083="","",IFERROR(INDEX(Settings!$C$8:$C$19,MATCH(G1083,Settings!$B$8:$B$19,0)),"?"))</f>
        <v/>
      </c>
      <c r="K1083" s="35" t="str">
        <f aca="false">IF(A1083="","",DATE(YEAR(A1083),MONTH(A1083),1))</f>
        <v/>
      </c>
      <c r="L1083" s="28" t="str">
        <f aca="false">IF(E1083="","",IFERROR(INDEX(Settings!$K$8:$K$38,MATCH(E1083,Settings!$H$8:$H$38,0))&amp;"",""))</f>
        <v/>
      </c>
    </row>
    <row r="1084" customFormat="false" ht="15" hidden="false" customHeight="false" outlineLevel="0" collapsed="false">
      <c r="A1084" s="33"/>
      <c r="B1084" s="27"/>
      <c r="C1084" s="27"/>
      <c r="D1084" s="27"/>
      <c r="E1084" s="27"/>
      <c r="F1084" s="34"/>
      <c r="G1084" s="27"/>
      <c r="H1084" s="27"/>
      <c r="I1084" s="28" t="str">
        <f aca="false">IF(C1084="","",IFERROR(INDEX(Settings!$C$8:$C$19,MATCH(C1084,Settings!$B$8:$B$19,0)),"?"))</f>
        <v/>
      </c>
      <c r="J1084" s="28" t="str">
        <f aca="false">IF(G1084="","",IFERROR(INDEX(Settings!$C$8:$C$19,MATCH(G1084,Settings!$B$8:$B$19,0)),"?"))</f>
        <v/>
      </c>
      <c r="K1084" s="35" t="str">
        <f aca="false">IF(A1084="","",DATE(YEAR(A1084),MONTH(A1084),1))</f>
        <v/>
      </c>
      <c r="L1084" s="28" t="str">
        <f aca="false">IF(E1084="","",IFERROR(INDEX(Settings!$K$8:$K$38,MATCH(E1084,Settings!$H$8:$H$38,0))&amp;"",""))</f>
        <v/>
      </c>
    </row>
    <row r="1085" customFormat="false" ht="15" hidden="false" customHeight="false" outlineLevel="0" collapsed="false">
      <c r="A1085" s="33"/>
      <c r="B1085" s="27"/>
      <c r="C1085" s="27"/>
      <c r="D1085" s="27"/>
      <c r="E1085" s="27"/>
      <c r="F1085" s="34"/>
      <c r="G1085" s="27"/>
      <c r="H1085" s="27"/>
      <c r="I1085" s="28" t="str">
        <f aca="false">IF(C1085="","",IFERROR(INDEX(Settings!$C$8:$C$19,MATCH(C1085,Settings!$B$8:$B$19,0)),"?"))</f>
        <v/>
      </c>
      <c r="J1085" s="28" t="str">
        <f aca="false">IF(G1085="","",IFERROR(INDEX(Settings!$C$8:$C$19,MATCH(G1085,Settings!$B$8:$B$19,0)),"?"))</f>
        <v/>
      </c>
      <c r="K1085" s="35" t="str">
        <f aca="false">IF(A1085="","",DATE(YEAR(A1085),MONTH(A1085),1))</f>
        <v/>
      </c>
      <c r="L1085" s="28" t="str">
        <f aca="false">IF(E1085="","",IFERROR(INDEX(Settings!$K$8:$K$38,MATCH(E1085,Settings!$H$8:$H$38,0))&amp;"",""))</f>
        <v/>
      </c>
    </row>
    <row r="1086" customFormat="false" ht="15" hidden="false" customHeight="false" outlineLevel="0" collapsed="false">
      <c r="A1086" s="33"/>
      <c r="B1086" s="27"/>
      <c r="C1086" s="27"/>
      <c r="D1086" s="27"/>
      <c r="E1086" s="27"/>
      <c r="F1086" s="34"/>
      <c r="G1086" s="27"/>
      <c r="H1086" s="27"/>
      <c r="I1086" s="28" t="str">
        <f aca="false">IF(C1086="","",IFERROR(INDEX(Settings!$C$8:$C$19,MATCH(C1086,Settings!$B$8:$B$19,0)),"?"))</f>
        <v/>
      </c>
      <c r="J1086" s="28" t="str">
        <f aca="false">IF(G1086="","",IFERROR(INDEX(Settings!$C$8:$C$19,MATCH(G1086,Settings!$B$8:$B$19,0)),"?"))</f>
        <v/>
      </c>
      <c r="K1086" s="35" t="str">
        <f aca="false">IF(A1086="","",DATE(YEAR(A1086),MONTH(A1086),1))</f>
        <v/>
      </c>
      <c r="L1086" s="28" t="str">
        <f aca="false">IF(E1086="","",IFERROR(INDEX(Settings!$K$8:$K$38,MATCH(E1086,Settings!$H$8:$H$38,0))&amp;"",""))</f>
        <v/>
      </c>
    </row>
    <row r="1087" customFormat="false" ht="15" hidden="false" customHeight="false" outlineLevel="0" collapsed="false">
      <c r="A1087" s="33"/>
      <c r="B1087" s="27"/>
      <c r="C1087" s="27"/>
      <c r="D1087" s="27"/>
      <c r="E1087" s="27"/>
      <c r="F1087" s="34"/>
      <c r="G1087" s="27"/>
      <c r="H1087" s="27"/>
      <c r="I1087" s="28" t="str">
        <f aca="false">IF(C1087="","",IFERROR(INDEX(Settings!$C$8:$C$19,MATCH(C1087,Settings!$B$8:$B$19,0)),"?"))</f>
        <v/>
      </c>
      <c r="J1087" s="28" t="str">
        <f aca="false">IF(G1087="","",IFERROR(INDEX(Settings!$C$8:$C$19,MATCH(G1087,Settings!$B$8:$B$19,0)),"?"))</f>
        <v/>
      </c>
      <c r="K1087" s="35" t="str">
        <f aca="false">IF(A1087="","",DATE(YEAR(A1087),MONTH(A1087),1))</f>
        <v/>
      </c>
      <c r="L1087" s="28" t="str">
        <f aca="false">IF(E1087="","",IFERROR(INDEX(Settings!$K$8:$K$38,MATCH(E1087,Settings!$H$8:$H$38,0))&amp;"",""))</f>
        <v/>
      </c>
    </row>
    <row r="1088" customFormat="false" ht="15" hidden="false" customHeight="false" outlineLevel="0" collapsed="false">
      <c r="A1088" s="33"/>
      <c r="B1088" s="27"/>
      <c r="C1088" s="27"/>
      <c r="D1088" s="27"/>
      <c r="E1088" s="27"/>
      <c r="F1088" s="34"/>
      <c r="G1088" s="27"/>
      <c r="H1088" s="27"/>
      <c r="I1088" s="28" t="str">
        <f aca="false">IF(C1088="","",IFERROR(INDEX(Settings!$C$8:$C$19,MATCH(C1088,Settings!$B$8:$B$19,0)),"?"))</f>
        <v/>
      </c>
      <c r="J1088" s="28" t="str">
        <f aca="false">IF(G1088="","",IFERROR(INDEX(Settings!$C$8:$C$19,MATCH(G1088,Settings!$B$8:$B$19,0)),"?"))</f>
        <v/>
      </c>
      <c r="K1088" s="35" t="str">
        <f aca="false">IF(A1088="","",DATE(YEAR(A1088),MONTH(A1088),1))</f>
        <v/>
      </c>
      <c r="L1088" s="28" t="str">
        <f aca="false">IF(E1088="","",IFERROR(INDEX(Settings!$K$8:$K$38,MATCH(E1088,Settings!$H$8:$H$38,0))&amp;"",""))</f>
        <v/>
      </c>
    </row>
    <row r="1089" customFormat="false" ht="15" hidden="false" customHeight="false" outlineLevel="0" collapsed="false">
      <c r="A1089" s="33"/>
      <c r="B1089" s="27"/>
      <c r="C1089" s="27"/>
      <c r="D1089" s="27"/>
      <c r="E1089" s="27"/>
      <c r="F1089" s="34"/>
      <c r="G1089" s="27"/>
      <c r="H1089" s="27"/>
      <c r="I1089" s="28" t="str">
        <f aca="false">IF(C1089="","",IFERROR(INDEX(Settings!$C$8:$C$19,MATCH(C1089,Settings!$B$8:$B$19,0)),"?"))</f>
        <v/>
      </c>
      <c r="J1089" s="28" t="str">
        <f aca="false">IF(G1089="","",IFERROR(INDEX(Settings!$C$8:$C$19,MATCH(G1089,Settings!$B$8:$B$19,0)),"?"))</f>
        <v/>
      </c>
      <c r="K1089" s="35" t="str">
        <f aca="false">IF(A1089="","",DATE(YEAR(A1089),MONTH(A1089),1))</f>
        <v/>
      </c>
      <c r="L1089" s="28" t="str">
        <f aca="false">IF(E1089="","",IFERROR(INDEX(Settings!$K$8:$K$38,MATCH(E1089,Settings!$H$8:$H$38,0))&amp;"",""))</f>
        <v/>
      </c>
    </row>
    <row r="1090" customFormat="false" ht="15" hidden="false" customHeight="false" outlineLevel="0" collapsed="false">
      <c r="A1090" s="33"/>
      <c r="B1090" s="27"/>
      <c r="C1090" s="27"/>
      <c r="D1090" s="27"/>
      <c r="E1090" s="27"/>
      <c r="F1090" s="34"/>
      <c r="G1090" s="27"/>
      <c r="H1090" s="27"/>
      <c r="I1090" s="28" t="str">
        <f aca="false">IF(C1090="","",IFERROR(INDEX(Settings!$C$8:$C$19,MATCH(C1090,Settings!$B$8:$B$19,0)),"?"))</f>
        <v/>
      </c>
      <c r="J1090" s="28" t="str">
        <f aca="false">IF(G1090="","",IFERROR(INDEX(Settings!$C$8:$C$19,MATCH(G1090,Settings!$B$8:$B$19,0)),"?"))</f>
        <v/>
      </c>
      <c r="K1090" s="35" t="str">
        <f aca="false">IF(A1090="","",DATE(YEAR(A1090),MONTH(A1090),1))</f>
        <v/>
      </c>
      <c r="L1090" s="28" t="str">
        <f aca="false">IF(E1090="","",IFERROR(INDEX(Settings!$K$8:$K$38,MATCH(E1090,Settings!$H$8:$H$38,0))&amp;"",""))</f>
        <v/>
      </c>
    </row>
    <row r="1091" customFormat="false" ht="15" hidden="false" customHeight="false" outlineLevel="0" collapsed="false">
      <c r="A1091" s="33"/>
      <c r="B1091" s="27"/>
      <c r="C1091" s="27"/>
      <c r="D1091" s="27"/>
      <c r="E1091" s="27"/>
      <c r="F1091" s="34"/>
      <c r="G1091" s="27"/>
      <c r="H1091" s="27"/>
      <c r="I1091" s="28" t="str">
        <f aca="false">IF(C1091="","",IFERROR(INDEX(Settings!$C$8:$C$19,MATCH(C1091,Settings!$B$8:$B$19,0)),"?"))</f>
        <v/>
      </c>
      <c r="J1091" s="28" t="str">
        <f aca="false">IF(G1091="","",IFERROR(INDEX(Settings!$C$8:$C$19,MATCH(G1091,Settings!$B$8:$B$19,0)),"?"))</f>
        <v/>
      </c>
      <c r="K1091" s="35" t="str">
        <f aca="false">IF(A1091="","",DATE(YEAR(A1091),MONTH(A1091),1))</f>
        <v/>
      </c>
      <c r="L1091" s="28" t="str">
        <f aca="false">IF(E1091="","",IFERROR(INDEX(Settings!$K$8:$K$38,MATCH(E1091,Settings!$H$8:$H$38,0))&amp;"",""))</f>
        <v/>
      </c>
    </row>
    <row r="1092" customFormat="false" ht="15" hidden="false" customHeight="false" outlineLevel="0" collapsed="false">
      <c r="A1092" s="33"/>
      <c r="B1092" s="27"/>
      <c r="C1092" s="27"/>
      <c r="D1092" s="27"/>
      <c r="E1092" s="27"/>
      <c r="F1092" s="34"/>
      <c r="G1092" s="27"/>
      <c r="H1092" s="27"/>
      <c r="I1092" s="28" t="str">
        <f aca="false">IF(C1092="","",IFERROR(INDEX(Settings!$C$8:$C$19,MATCH(C1092,Settings!$B$8:$B$19,0)),"?"))</f>
        <v/>
      </c>
      <c r="J1092" s="28" t="str">
        <f aca="false">IF(G1092="","",IFERROR(INDEX(Settings!$C$8:$C$19,MATCH(G1092,Settings!$B$8:$B$19,0)),"?"))</f>
        <v/>
      </c>
      <c r="K1092" s="35" t="str">
        <f aca="false">IF(A1092="","",DATE(YEAR(A1092),MONTH(A1092),1))</f>
        <v/>
      </c>
      <c r="L1092" s="28" t="str">
        <f aca="false">IF(E1092="","",IFERROR(INDEX(Settings!$K$8:$K$38,MATCH(E1092,Settings!$H$8:$H$38,0))&amp;"",""))</f>
        <v/>
      </c>
    </row>
    <row r="1093" customFormat="false" ht="15" hidden="false" customHeight="false" outlineLevel="0" collapsed="false">
      <c r="A1093" s="33"/>
      <c r="B1093" s="27"/>
      <c r="C1093" s="27"/>
      <c r="D1093" s="27"/>
      <c r="E1093" s="27"/>
      <c r="F1093" s="34"/>
      <c r="G1093" s="27"/>
      <c r="H1093" s="27"/>
      <c r="I1093" s="28" t="str">
        <f aca="false">IF(C1093="","",IFERROR(INDEX(Settings!$C$8:$C$19,MATCH(C1093,Settings!$B$8:$B$19,0)),"?"))</f>
        <v/>
      </c>
      <c r="J1093" s="28" t="str">
        <f aca="false">IF(G1093="","",IFERROR(INDEX(Settings!$C$8:$C$19,MATCH(G1093,Settings!$B$8:$B$19,0)),"?"))</f>
        <v/>
      </c>
      <c r="K1093" s="35" t="str">
        <f aca="false">IF(A1093="","",DATE(YEAR(A1093),MONTH(A1093),1))</f>
        <v/>
      </c>
      <c r="L1093" s="28" t="str">
        <f aca="false">IF(E1093="","",IFERROR(INDEX(Settings!$K$8:$K$38,MATCH(E1093,Settings!$H$8:$H$38,0))&amp;"",""))</f>
        <v/>
      </c>
    </row>
    <row r="1094" customFormat="false" ht="15" hidden="false" customHeight="false" outlineLevel="0" collapsed="false">
      <c r="A1094" s="33"/>
      <c r="B1094" s="27"/>
      <c r="C1094" s="27"/>
      <c r="D1094" s="27"/>
      <c r="E1094" s="27"/>
      <c r="F1094" s="34"/>
      <c r="G1094" s="27"/>
      <c r="H1094" s="27"/>
      <c r="I1094" s="28" t="str">
        <f aca="false">IF(C1094="","",IFERROR(INDEX(Settings!$C$8:$C$19,MATCH(C1094,Settings!$B$8:$B$19,0)),"?"))</f>
        <v/>
      </c>
      <c r="J1094" s="28" t="str">
        <f aca="false">IF(G1094="","",IFERROR(INDEX(Settings!$C$8:$C$19,MATCH(G1094,Settings!$B$8:$B$19,0)),"?"))</f>
        <v/>
      </c>
      <c r="K1094" s="35" t="str">
        <f aca="false">IF(A1094="","",DATE(YEAR(A1094),MONTH(A1094),1))</f>
        <v/>
      </c>
      <c r="L1094" s="28" t="str">
        <f aca="false">IF(E1094="","",IFERROR(INDEX(Settings!$K$8:$K$38,MATCH(E1094,Settings!$H$8:$H$38,0))&amp;"",""))</f>
        <v/>
      </c>
    </row>
    <row r="1095" customFormat="false" ht="15" hidden="false" customHeight="false" outlineLevel="0" collapsed="false">
      <c r="A1095" s="33"/>
      <c r="B1095" s="27"/>
      <c r="C1095" s="27"/>
      <c r="D1095" s="27"/>
      <c r="E1095" s="27"/>
      <c r="F1095" s="34"/>
      <c r="G1095" s="27"/>
      <c r="H1095" s="27"/>
      <c r="I1095" s="28" t="str">
        <f aca="false">IF(C1095="","",IFERROR(INDEX(Settings!$C$8:$C$19,MATCH(C1095,Settings!$B$8:$B$19,0)),"?"))</f>
        <v/>
      </c>
      <c r="J1095" s="28" t="str">
        <f aca="false">IF(G1095="","",IFERROR(INDEX(Settings!$C$8:$C$19,MATCH(G1095,Settings!$B$8:$B$19,0)),"?"))</f>
        <v/>
      </c>
      <c r="K1095" s="35" t="str">
        <f aca="false">IF(A1095="","",DATE(YEAR(A1095),MONTH(A1095),1))</f>
        <v/>
      </c>
      <c r="L1095" s="28" t="str">
        <f aca="false">IF(E1095="","",IFERROR(INDEX(Settings!$K$8:$K$38,MATCH(E1095,Settings!$H$8:$H$38,0))&amp;"",""))</f>
        <v/>
      </c>
    </row>
    <row r="1096" customFormat="false" ht="15" hidden="false" customHeight="false" outlineLevel="0" collapsed="false">
      <c r="A1096" s="33"/>
      <c r="B1096" s="27"/>
      <c r="C1096" s="27"/>
      <c r="D1096" s="27"/>
      <c r="E1096" s="27"/>
      <c r="F1096" s="34"/>
      <c r="G1096" s="27"/>
      <c r="H1096" s="27"/>
      <c r="I1096" s="28" t="str">
        <f aca="false">IF(C1096="","",IFERROR(INDEX(Settings!$C$8:$C$19,MATCH(C1096,Settings!$B$8:$B$19,0)),"?"))</f>
        <v/>
      </c>
      <c r="J1096" s="28" t="str">
        <f aca="false">IF(G1096="","",IFERROR(INDEX(Settings!$C$8:$C$19,MATCH(G1096,Settings!$B$8:$B$19,0)),"?"))</f>
        <v/>
      </c>
      <c r="K1096" s="35" t="str">
        <f aca="false">IF(A1096="","",DATE(YEAR(A1096),MONTH(A1096),1))</f>
        <v/>
      </c>
      <c r="L1096" s="28" t="str">
        <f aca="false">IF(E1096="","",IFERROR(INDEX(Settings!$K$8:$K$38,MATCH(E1096,Settings!$H$8:$H$38,0))&amp;"",""))</f>
        <v/>
      </c>
    </row>
    <row r="1097" customFormat="false" ht="15" hidden="false" customHeight="false" outlineLevel="0" collapsed="false">
      <c r="A1097" s="33"/>
      <c r="B1097" s="27"/>
      <c r="C1097" s="27"/>
      <c r="D1097" s="27"/>
      <c r="E1097" s="27"/>
      <c r="F1097" s="34"/>
      <c r="G1097" s="27"/>
      <c r="H1097" s="27"/>
      <c r="I1097" s="28" t="str">
        <f aca="false">IF(C1097="","",IFERROR(INDEX(Settings!$C$8:$C$19,MATCH(C1097,Settings!$B$8:$B$19,0)),"?"))</f>
        <v/>
      </c>
      <c r="J1097" s="28" t="str">
        <f aca="false">IF(G1097="","",IFERROR(INDEX(Settings!$C$8:$C$19,MATCH(G1097,Settings!$B$8:$B$19,0)),"?"))</f>
        <v/>
      </c>
      <c r="K1097" s="35" t="str">
        <f aca="false">IF(A1097="","",DATE(YEAR(A1097),MONTH(A1097),1))</f>
        <v/>
      </c>
      <c r="L1097" s="28" t="str">
        <f aca="false">IF(E1097="","",IFERROR(INDEX(Settings!$K$8:$K$38,MATCH(E1097,Settings!$H$8:$H$38,0))&amp;"",""))</f>
        <v/>
      </c>
    </row>
    <row r="1098" customFormat="false" ht="15" hidden="false" customHeight="false" outlineLevel="0" collapsed="false">
      <c r="A1098" s="33"/>
      <c r="B1098" s="27"/>
      <c r="C1098" s="27"/>
      <c r="D1098" s="27"/>
      <c r="E1098" s="27"/>
      <c r="F1098" s="34"/>
      <c r="G1098" s="27"/>
      <c r="H1098" s="27"/>
      <c r="I1098" s="28" t="str">
        <f aca="false">IF(C1098="","",IFERROR(INDEX(Settings!$C$8:$C$19,MATCH(C1098,Settings!$B$8:$B$19,0)),"?"))</f>
        <v/>
      </c>
      <c r="J1098" s="28" t="str">
        <f aca="false">IF(G1098="","",IFERROR(INDEX(Settings!$C$8:$C$19,MATCH(G1098,Settings!$B$8:$B$19,0)),"?"))</f>
        <v/>
      </c>
      <c r="K1098" s="35" t="str">
        <f aca="false">IF(A1098="","",DATE(YEAR(A1098),MONTH(A1098),1))</f>
        <v/>
      </c>
      <c r="L1098" s="28" t="str">
        <f aca="false">IF(E1098="","",IFERROR(INDEX(Settings!$K$8:$K$38,MATCH(E1098,Settings!$H$8:$H$38,0))&amp;"",""))</f>
        <v/>
      </c>
    </row>
    <row r="1099" customFormat="false" ht="15" hidden="false" customHeight="false" outlineLevel="0" collapsed="false">
      <c r="A1099" s="33"/>
      <c r="B1099" s="27"/>
      <c r="C1099" s="27"/>
      <c r="D1099" s="27"/>
      <c r="E1099" s="27"/>
      <c r="F1099" s="34"/>
      <c r="G1099" s="27"/>
      <c r="H1099" s="27"/>
      <c r="I1099" s="28" t="str">
        <f aca="false">IF(C1099="","",IFERROR(INDEX(Settings!$C$8:$C$19,MATCH(C1099,Settings!$B$8:$B$19,0)),"?"))</f>
        <v/>
      </c>
      <c r="J1099" s="28" t="str">
        <f aca="false">IF(G1099="","",IFERROR(INDEX(Settings!$C$8:$C$19,MATCH(G1099,Settings!$B$8:$B$19,0)),"?"))</f>
        <v/>
      </c>
      <c r="K1099" s="35" t="str">
        <f aca="false">IF(A1099="","",DATE(YEAR(A1099),MONTH(A1099),1))</f>
        <v/>
      </c>
      <c r="L1099" s="28" t="str">
        <f aca="false">IF(E1099="","",IFERROR(INDEX(Settings!$K$8:$K$38,MATCH(E1099,Settings!$H$8:$H$38,0))&amp;"",""))</f>
        <v/>
      </c>
    </row>
    <row r="1100" customFormat="false" ht="15" hidden="false" customHeight="false" outlineLevel="0" collapsed="false">
      <c r="A1100" s="33"/>
      <c r="B1100" s="27"/>
      <c r="C1100" s="27"/>
      <c r="D1100" s="27"/>
      <c r="E1100" s="27"/>
      <c r="F1100" s="34"/>
      <c r="G1100" s="27"/>
      <c r="H1100" s="27"/>
      <c r="I1100" s="28" t="str">
        <f aca="false">IF(C1100="","",IFERROR(INDEX(Settings!$C$8:$C$19,MATCH(C1100,Settings!$B$8:$B$19,0)),"?"))</f>
        <v/>
      </c>
      <c r="J1100" s="28" t="str">
        <f aca="false">IF(G1100="","",IFERROR(INDEX(Settings!$C$8:$C$19,MATCH(G1100,Settings!$B$8:$B$19,0)),"?"))</f>
        <v/>
      </c>
      <c r="K1100" s="35" t="str">
        <f aca="false">IF(A1100="","",DATE(YEAR(A1100),MONTH(A1100),1))</f>
        <v/>
      </c>
      <c r="L1100" s="28" t="str">
        <f aca="false">IF(E1100="","",IFERROR(INDEX(Settings!$K$8:$K$38,MATCH(E1100,Settings!$H$8:$H$38,0))&amp;"",""))</f>
        <v/>
      </c>
    </row>
    <row r="1101" customFormat="false" ht="15" hidden="false" customHeight="false" outlineLevel="0" collapsed="false">
      <c r="A1101" s="33"/>
      <c r="B1101" s="27"/>
      <c r="C1101" s="27"/>
      <c r="D1101" s="27"/>
      <c r="E1101" s="27"/>
      <c r="F1101" s="34"/>
      <c r="G1101" s="27"/>
      <c r="H1101" s="27"/>
      <c r="I1101" s="28" t="str">
        <f aca="false">IF(C1101="","",IFERROR(INDEX(Settings!$C$8:$C$19,MATCH(C1101,Settings!$B$8:$B$19,0)),"?"))</f>
        <v/>
      </c>
      <c r="J1101" s="28" t="str">
        <f aca="false">IF(G1101="","",IFERROR(INDEX(Settings!$C$8:$C$19,MATCH(G1101,Settings!$B$8:$B$19,0)),"?"))</f>
        <v/>
      </c>
      <c r="K1101" s="35" t="str">
        <f aca="false">IF(A1101="","",DATE(YEAR(A1101),MONTH(A1101),1))</f>
        <v/>
      </c>
      <c r="L1101" s="28" t="str">
        <f aca="false">IF(E1101="","",IFERROR(INDEX(Settings!$K$8:$K$38,MATCH(E1101,Settings!$H$8:$H$38,0))&amp;"",""))</f>
        <v/>
      </c>
    </row>
    <row r="1102" customFormat="false" ht="15" hidden="false" customHeight="false" outlineLevel="0" collapsed="false">
      <c r="A1102" s="33"/>
      <c r="B1102" s="27"/>
      <c r="C1102" s="27"/>
      <c r="D1102" s="27"/>
      <c r="E1102" s="27"/>
      <c r="F1102" s="34"/>
      <c r="G1102" s="27"/>
      <c r="H1102" s="27"/>
      <c r="I1102" s="28" t="str">
        <f aca="false">IF(C1102="","",IFERROR(INDEX(Settings!$C$8:$C$19,MATCH(C1102,Settings!$B$8:$B$19,0)),"?"))</f>
        <v/>
      </c>
      <c r="J1102" s="28" t="str">
        <f aca="false">IF(G1102="","",IFERROR(INDEX(Settings!$C$8:$C$19,MATCH(G1102,Settings!$B$8:$B$19,0)),"?"))</f>
        <v/>
      </c>
      <c r="K1102" s="35" t="str">
        <f aca="false">IF(A1102="","",DATE(YEAR(A1102),MONTH(A1102),1))</f>
        <v/>
      </c>
      <c r="L1102" s="28" t="str">
        <f aca="false">IF(E1102="","",IFERROR(INDEX(Settings!$K$8:$K$38,MATCH(E1102,Settings!$H$8:$H$38,0))&amp;"",""))</f>
        <v/>
      </c>
    </row>
    <row r="1103" customFormat="false" ht="15" hidden="false" customHeight="false" outlineLevel="0" collapsed="false">
      <c r="A1103" s="33"/>
      <c r="B1103" s="27"/>
      <c r="C1103" s="27"/>
      <c r="D1103" s="27"/>
      <c r="E1103" s="27"/>
      <c r="F1103" s="34"/>
      <c r="G1103" s="27"/>
      <c r="H1103" s="27"/>
      <c r="I1103" s="28" t="str">
        <f aca="false">IF(C1103="","",IFERROR(INDEX(Settings!$C$8:$C$19,MATCH(C1103,Settings!$B$8:$B$19,0)),"?"))</f>
        <v/>
      </c>
      <c r="J1103" s="28" t="str">
        <f aca="false">IF(G1103="","",IFERROR(INDEX(Settings!$C$8:$C$19,MATCH(G1103,Settings!$B$8:$B$19,0)),"?"))</f>
        <v/>
      </c>
      <c r="K1103" s="35" t="str">
        <f aca="false">IF(A1103="","",DATE(YEAR(A1103),MONTH(A1103),1))</f>
        <v/>
      </c>
      <c r="L1103" s="28" t="str">
        <f aca="false">IF(E1103="","",IFERROR(INDEX(Settings!$K$8:$K$38,MATCH(E1103,Settings!$H$8:$H$38,0))&amp;"",""))</f>
        <v/>
      </c>
    </row>
    <row r="1104" customFormat="false" ht="15" hidden="false" customHeight="false" outlineLevel="0" collapsed="false">
      <c r="A1104" s="33"/>
      <c r="B1104" s="27"/>
      <c r="C1104" s="27"/>
      <c r="D1104" s="27"/>
      <c r="E1104" s="27"/>
      <c r="F1104" s="34"/>
      <c r="G1104" s="27"/>
      <c r="H1104" s="27"/>
      <c r="I1104" s="28" t="str">
        <f aca="false">IF(C1104="","",IFERROR(INDEX(Settings!$C$8:$C$19,MATCH(C1104,Settings!$B$8:$B$19,0)),"?"))</f>
        <v/>
      </c>
      <c r="J1104" s="28" t="str">
        <f aca="false">IF(G1104="","",IFERROR(INDEX(Settings!$C$8:$C$19,MATCH(G1104,Settings!$B$8:$B$19,0)),"?"))</f>
        <v/>
      </c>
      <c r="K1104" s="35" t="str">
        <f aca="false">IF(A1104="","",DATE(YEAR(A1104),MONTH(A1104),1))</f>
        <v/>
      </c>
      <c r="L1104" s="28" t="str">
        <f aca="false">IF(E1104="","",IFERROR(INDEX(Settings!$K$8:$K$38,MATCH(E1104,Settings!$H$8:$H$38,0))&amp;"",""))</f>
        <v/>
      </c>
    </row>
    <row r="1105" customFormat="false" ht="15" hidden="false" customHeight="false" outlineLevel="0" collapsed="false">
      <c r="A1105" s="33"/>
      <c r="B1105" s="27"/>
      <c r="C1105" s="27"/>
      <c r="D1105" s="27"/>
      <c r="E1105" s="27"/>
      <c r="F1105" s="34"/>
      <c r="G1105" s="27"/>
      <c r="H1105" s="27"/>
      <c r="I1105" s="28" t="str">
        <f aca="false">IF(C1105="","",IFERROR(INDEX(Settings!$C$8:$C$19,MATCH(C1105,Settings!$B$8:$B$19,0)),"?"))</f>
        <v/>
      </c>
      <c r="J1105" s="28" t="str">
        <f aca="false">IF(G1105="","",IFERROR(INDEX(Settings!$C$8:$C$19,MATCH(G1105,Settings!$B$8:$B$19,0)),"?"))</f>
        <v/>
      </c>
      <c r="K1105" s="35" t="str">
        <f aca="false">IF(A1105="","",DATE(YEAR(A1105),MONTH(A1105),1))</f>
        <v/>
      </c>
      <c r="L1105" s="28" t="str">
        <f aca="false">IF(E1105="","",IFERROR(INDEX(Settings!$K$8:$K$38,MATCH(E1105,Settings!$H$8:$H$38,0))&amp;"",""))</f>
        <v/>
      </c>
    </row>
    <row r="1106" customFormat="false" ht="15" hidden="false" customHeight="false" outlineLevel="0" collapsed="false">
      <c r="A1106" s="33"/>
      <c r="B1106" s="27"/>
      <c r="C1106" s="27"/>
      <c r="D1106" s="27"/>
      <c r="E1106" s="27"/>
      <c r="F1106" s="34"/>
      <c r="G1106" s="27"/>
      <c r="H1106" s="27"/>
      <c r="I1106" s="28" t="str">
        <f aca="false">IF(C1106="","",IFERROR(INDEX(Settings!$C$8:$C$19,MATCH(C1106,Settings!$B$8:$B$19,0)),"?"))</f>
        <v/>
      </c>
      <c r="J1106" s="28" t="str">
        <f aca="false">IF(G1106="","",IFERROR(INDEX(Settings!$C$8:$C$19,MATCH(G1106,Settings!$B$8:$B$19,0)),"?"))</f>
        <v/>
      </c>
      <c r="K1106" s="35" t="str">
        <f aca="false">IF(A1106="","",DATE(YEAR(A1106),MONTH(A1106),1))</f>
        <v/>
      </c>
      <c r="L1106" s="28" t="str">
        <f aca="false">IF(E1106="","",IFERROR(INDEX(Settings!$K$8:$K$38,MATCH(E1106,Settings!$H$8:$H$38,0))&amp;"",""))</f>
        <v/>
      </c>
    </row>
    <row r="1107" customFormat="false" ht="15" hidden="false" customHeight="false" outlineLevel="0" collapsed="false">
      <c r="A1107" s="33"/>
      <c r="B1107" s="27"/>
      <c r="C1107" s="27"/>
      <c r="D1107" s="27"/>
      <c r="E1107" s="27"/>
      <c r="F1107" s="34"/>
      <c r="G1107" s="27"/>
      <c r="H1107" s="27"/>
      <c r="I1107" s="28" t="str">
        <f aca="false">IF(C1107="","",IFERROR(INDEX(Settings!$C$8:$C$19,MATCH(C1107,Settings!$B$8:$B$19,0)),"?"))</f>
        <v/>
      </c>
      <c r="J1107" s="28" t="str">
        <f aca="false">IF(G1107="","",IFERROR(INDEX(Settings!$C$8:$C$19,MATCH(G1107,Settings!$B$8:$B$19,0)),"?"))</f>
        <v/>
      </c>
      <c r="K1107" s="35" t="str">
        <f aca="false">IF(A1107="","",DATE(YEAR(A1107),MONTH(A1107),1))</f>
        <v/>
      </c>
      <c r="L1107" s="28" t="str">
        <f aca="false">IF(E1107="","",IFERROR(INDEX(Settings!$K$8:$K$38,MATCH(E1107,Settings!$H$8:$H$38,0))&amp;"",""))</f>
        <v/>
      </c>
    </row>
    <row r="1108" customFormat="false" ht="15" hidden="false" customHeight="false" outlineLevel="0" collapsed="false">
      <c r="A1108" s="33"/>
      <c r="B1108" s="27"/>
      <c r="C1108" s="27"/>
      <c r="D1108" s="27"/>
      <c r="E1108" s="27"/>
      <c r="F1108" s="34"/>
      <c r="G1108" s="27"/>
      <c r="H1108" s="27"/>
      <c r="I1108" s="28" t="str">
        <f aca="false">IF(C1108="","",IFERROR(INDEX(Settings!$C$8:$C$19,MATCH(C1108,Settings!$B$8:$B$19,0)),"?"))</f>
        <v/>
      </c>
      <c r="J1108" s="28" t="str">
        <f aca="false">IF(G1108="","",IFERROR(INDEX(Settings!$C$8:$C$19,MATCH(G1108,Settings!$B$8:$B$19,0)),"?"))</f>
        <v/>
      </c>
      <c r="K1108" s="35" t="str">
        <f aca="false">IF(A1108="","",DATE(YEAR(A1108),MONTH(A1108),1))</f>
        <v/>
      </c>
      <c r="L1108" s="28" t="str">
        <f aca="false">IF(E1108="","",IFERROR(INDEX(Settings!$K$8:$K$38,MATCH(E1108,Settings!$H$8:$H$38,0))&amp;"",""))</f>
        <v/>
      </c>
    </row>
    <row r="1109" customFormat="false" ht="15" hidden="false" customHeight="false" outlineLevel="0" collapsed="false">
      <c r="A1109" s="33"/>
      <c r="B1109" s="27"/>
      <c r="C1109" s="27"/>
      <c r="D1109" s="27"/>
      <c r="E1109" s="27"/>
      <c r="F1109" s="34"/>
      <c r="G1109" s="27"/>
      <c r="H1109" s="27"/>
      <c r="I1109" s="28" t="str">
        <f aca="false">IF(C1109="","",IFERROR(INDEX(Settings!$C$8:$C$19,MATCH(C1109,Settings!$B$8:$B$19,0)),"?"))</f>
        <v/>
      </c>
      <c r="J1109" s="28" t="str">
        <f aca="false">IF(G1109="","",IFERROR(INDEX(Settings!$C$8:$C$19,MATCH(G1109,Settings!$B$8:$B$19,0)),"?"))</f>
        <v/>
      </c>
      <c r="K1109" s="35" t="str">
        <f aca="false">IF(A1109="","",DATE(YEAR(A1109),MONTH(A1109),1))</f>
        <v/>
      </c>
      <c r="L1109" s="28" t="str">
        <f aca="false">IF(E1109="","",IFERROR(INDEX(Settings!$K$8:$K$38,MATCH(E1109,Settings!$H$8:$H$38,0))&amp;"",""))</f>
        <v/>
      </c>
    </row>
    <row r="1110" customFormat="false" ht="15" hidden="false" customHeight="false" outlineLevel="0" collapsed="false">
      <c r="A1110" s="33"/>
      <c r="B1110" s="27"/>
      <c r="C1110" s="27"/>
      <c r="D1110" s="27"/>
      <c r="E1110" s="27"/>
      <c r="F1110" s="34"/>
      <c r="G1110" s="27"/>
      <c r="H1110" s="27"/>
      <c r="I1110" s="28" t="str">
        <f aca="false">IF(C1110="","",IFERROR(INDEX(Settings!$C$8:$C$19,MATCH(C1110,Settings!$B$8:$B$19,0)),"?"))</f>
        <v/>
      </c>
      <c r="J1110" s="28" t="str">
        <f aca="false">IF(G1110="","",IFERROR(INDEX(Settings!$C$8:$C$19,MATCH(G1110,Settings!$B$8:$B$19,0)),"?"))</f>
        <v/>
      </c>
      <c r="K1110" s="35" t="str">
        <f aca="false">IF(A1110="","",DATE(YEAR(A1110),MONTH(A1110),1))</f>
        <v/>
      </c>
      <c r="L1110" s="28" t="str">
        <f aca="false">IF(E1110="","",IFERROR(INDEX(Settings!$K$8:$K$38,MATCH(E1110,Settings!$H$8:$H$38,0))&amp;"",""))</f>
        <v/>
      </c>
    </row>
    <row r="1111" customFormat="false" ht="15" hidden="false" customHeight="false" outlineLevel="0" collapsed="false">
      <c r="A1111" s="33"/>
      <c r="B1111" s="27"/>
      <c r="C1111" s="27"/>
      <c r="D1111" s="27"/>
      <c r="E1111" s="27"/>
      <c r="F1111" s="34"/>
      <c r="G1111" s="27"/>
      <c r="H1111" s="27"/>
      <c r="I1111" s="28" t="str">
        <f aca="false">IF(C1111="","",IFERROR(INDEX(Settings!$C$8:$C$19,MATCH(C1111,Settings!$B$8:$B$19,0)),"?"))</f>
        <v/>
      </c>
      <c r="J1111" s="28" t="str">
        <f aca="false">IF(G1111="","",IFERROR(INDEX(Settings!$C$8:$C$19,MATCH(G1111,Settings!$B$8:$B$19,0)),"?"))</f>
        <v/>
      </c>
      <c r="K1111" s="35" t="str">
        <f aca="false">IF(A1111="","",DATE(YEAR(A1111),MONTH(A1111),1))</f>
        <v/>
      </c>
      <c r="L1111" s="28" t="str">
        <f aca="false">IF(E1111="","",IFERROR(INDEX(Settings!$K$8:$K$38,MATCH(E1111,Settings!$H$8:$H$38,0))&amp;"",""))</f>
        <v/>
      </c>
    </row>
    <row r="1112" customFormat="false" ht="15" hidden="false" customHeight="false" outlineLevel="0" collapsed="false">
      <c r="A1112" s="33"/>
      <c r="B1112" s="27"/>
      <c r="C1112" s="27"/>
      <c r="D1112" s="27"/>
      <c r="E1112" s="27"/>
      <c r="F1112" s="34"/>
      <c r="G1112" s="27"/>
      <c r="H1112" s="27"/>
      <c r="I1112" s="28" t="str">
        <f aca="false">IF(C1112="","",IFERROR(INDEX(Settings!$C$8:$C$19,MATCH(C1112,Settings!$B$8:$B$19,0)),"?"))</f>
        <v/>
      </c>
      <c r="J1112" s="28" t="str">
        <f aca="false">IF(G1112="","",IFERROR(INDEX(Settings!$C$8:$C$19,MATCH(G1112,Settings!$B$8:$B$19,0)),"?"))</f>
        <v/>
      </c>
      <c r="K1112" s="35" t="str">
        <f aca="false">IF(A1112="","",DATE(YEAR(A1112),MONTH(A1112),1))</f>
        <v/>
      </c>
      <c r="L1112" s="28" t="str">
        <f aca="false">IF(E1112="","",IFERROR(INDEX(Settings!$K$8:$K$38,MATCH(E1112,Settings!$H$8:$H$38,0))&amp;"",""))</f>
        <v/>
      </c>
    </row>
    <row r="1113" customFormat="false" ht="15" hidden="false" customHeight="false" outlineLevel="0" collapsed="false">
      <c r="A1113" s="33"/>
      <c r="B1113" s="27"/>
      <c r="C1113" s="27"/>
      <c r="D1113" s="27"/>
      <c r="E1113" s="27"/>
      <c r="F1113" s="34"/>
      <c r="G1113" s="27"/>
      <c r="H1113" s="27"/>
      <c r="I1113" s="28" t="str">
        <f aca="false">IF(C1113="","",IFERROR(INDEX(Settings!$C$8:$C$19,MATCH(C1113,Settings!$B$8:$B$19,0)),"?"))</f>
        <v/>
      </c>
      <c r="J1113" s="28" t="str">
        <f aca="false">IF(G1113="","",IFERROR(INDEX(Settings!$C$8:$C$19,MATCH(G1113,Settings!$B$8:$B$19,0)),"?"))</f>
        <v/>
      </c>
      <c r="K1113" s="35" t="str">
        <f aca="false">IF(A1113="","",DATE(YEAR(A1113),MONTH(A1113),1))</f>
        <v/>
      </c>
      <c r="L1113" s="28" t="str">
        <f aca="false">IF(E1113="","",IFERROR(INDEX(Settings!$K$8:$K$38,MATCH(E1113,Settings!$H$8:$H$38,0))&amp;"",""))</f>
        <v/>
      </c>
    </row>
    <row r="1114" customFormat="false" ht="15" hidden="false" customHeight="false" outlineLevel="0" collapsed="false">
      <c r="A1114" s="33"/>
      <c r="B1114" s="27"/>
      <c r="C1114" s="27"/>
      <c r="D1114" s="27"/>
      <c r="E1114" s="27"/>
      <c r="F1114" s="34"/>
      <c r="G1114" s="27"/>
      <c r="H1114" s="27"/>
      <c r="I1114" s="28" t="str">
        <f aca="false">IF(C1114="","",IFERROR(INDEX(Settings!$C$8:$C$19,MATCH(C1114,Settings!$B$8:$B$19,0)),"?"))</f>
        <v/>
      </c>
      <c r="J1114" s="28" t="str">
        <f aca="false">IF(G1114="","",IFERROR(INDEX(Settings!$C$8:$C$19,MATCH(G1114,Settings!$B$8:$B$19,0)),"?"))</f>
        <v/>
      </c>
      <c r="K1114" s="35" t="str">
        <f aca="false">IF(A1114="","",DATE(YEAR(A1114),MONTH(A1114),1))</f>
        <v/>
      </c>
      <c r="L1114" s="28" t="str">
        <f aca="false">IF(E1114="","",IFERROR(INDEX(Settings!$K$8:$K$38,MATCH(E1114,Settings!$H$8:$H$38,0))&amp;"",""))</f>
        <v/>
      </c>
    </row>
    <row r="1115" customFormat="false" ht="15" hidden="false" customHeight="false" outlineLevel="0" collapsed="false">
      <c r="A1115" s="33"/>
      <c r="B1115" s="27"/>
      <c r="C1115" s="27"/>
      <c r="D1115" s="27"/>
      <c r="E1115" s="27"/>
      <c r="F1115" s="34"/>
      <c r="G1115" s="27"/>
      <c r="H1115" s="27"/>
      <c r="I1115" s="28" t="str">
        <f aca="false">IF(C1115="","",IFERROR(INDEX(Settings!$C$8:$C$19,MATCH(C1115,Settings!$B$8:$B$19,0)),"?"))</f>
        <v/>
      </c>
      <c r="J1115" s="28" t="str">
        <f aca="false">IF(G1115="","",IFERROR(INDEX(Settings!$C$8:$C$19,MATCH(G1115,Settings!$B$8:$B$19,0)),"?"))</f>
        <v/>
      </c>
      <c r="K1115" s="35" t="str">
        <f aca="false">IF(A1115="","",DATE(YEAR(A1115),MONTH(A1115),1))</f>
        <v/>
      </c>
      <c r="L1115" s="28" t="str">
        <f aca="false">IF(E1115="","",IFERROR(INDEX(Settings!$K$8:$K$38,MATCH(E1115,Settings!$H$8:$H$38,0))&amp;"",""))</f>
        <v/>
      </c>
    </row>
    <row r="1116" customFormat="false" ht="15" hidden="false" customHeight="false" outlineLevel="0" collapsed="false">
      <c r="A1116" s="33"/>
      <c r="B1116" s="27"/>
      <c r="C1116" s="27"/>
      <c r="D1116" s="27"/>
      <c r="E1116" s="27"/>
      <c r="F1116" s="34"/>
      <c r="G1116" s="27"/>
      <c r="H1116" s="27"/>
      <c r="I1116" s="28" t="str">
        <f aca="false">IF(C1116="","",IFERROR(INDEX(Settings!$C$8:$C$19,MATCH(C1116,Settings!$B$8:$B$19,0)),"?"))</f>
        <v/>
      </c>
      <c r="J1116" s="28" t="str">
        <f aca="false">IF(G1116="","",IFERROR(INDEX(Settings!$C$8:$C$19,MATCH(G1116,Settings!$B$8:$B$19,0)),"?"))</f>
        <v/>
      </c>
      <c r="K1116" s="35" t="str">
        <f aca="false">IF(A1116="","",DATE(YEAR(A1116),MONTH(A1116),1))</f>
        <v/>
      </c>
      <c r="L1116" s="28" t="str">
        <f aca="false">IF(E1116="","",IFERROR(INDEX(Settings!$K$8:$K$38,MATCH(E1116,Settings!$H$8:$H$38,0))&amp;"",""))</f>
        <v/>
      </c>
    </row>
    <row r="1117" customFormat="false" ht="15" hidden="false" customHeight="false" outlineLevel="0" collapsed="false">
      <c r="A1117" s="33"/>
      <c r="B1117" s="27"/>
      <c r="C1117" s="27"/>
      <c r="D1117" s="27"/>
      <c r="E1117" s="27"/>
      <c r="F1117" s="34"/>
      <c r="G1117" s="27"/>
      <c r="H1117" s="27"/>
      <c r="I1117" s="28" t="str">
        <f aca="false">IF(C1117="","",IFERROR(INDEX(Settings!$C$8:$C$19,MATCH(C1117,Settings!$B$8:$B$19,0)),"?"))</f>
        <v/>
      </c>
      <c r="J1117" s="28" t="str">
        <f aca="false">IF(G1117="","",IFERROR(INDEX(Settings!$C$8:$C$19,MATCH(G1117,Settings!$B$8:$B$19,0)),"?"))</f>
        <v/>
      </c>
      <c r="K1117" s="35" t="str">
        <f aca="false">IF(A1117="","",DATE(YEAR(A1117),MONTH(A1117),1))</f>
        <v/>
      </c>
      <c r="L1117" s="28" t="str">
        <f aca="false">IF(E1117="","",IFERROR(INDEX(Settings!$K$8:$K$38,MATCH(E1117,Settings!$H$8:$H$38,0))&amp;"",""))</f>
        <v/>
      </c>
    </row>
    <row r="1118" customFormat="false" ht="15" hidden="false" customHeight="false" outlineLevel="0" collapsed="false">
      <c r="A1118" s="33"/>
      <c r="B1118" s="27"/>
      <c r="C1118" s="27"/>
      <c r="D1118" s="27"/>
      <c r="E1118" s="27"/>
      <c r="F1118" s="34"/>
      <c r="G1118" s="27"/>
      <c r="H1118" s="27"/>
      <c r="I1118" s="28" t="str">
        <f aca="false">IF(C1118="","",IFERROR(INDEX(Settings!$C$8:$C$19,MATCH(C1118,Settings!$B$8:$B$19,0)),"?"))</f>
        <v/>
      </c>
      <c r="J1118" s="28" t="str">
        <f aca="false">IF(G1118="","",IFERROR(INDEX(Settings!$C$8:$C$19,MATCH(G1118,Settings!$B$8:$B$19,0)),"?"))</f>
        <v/>
      </c>
      <c r="K1118" s="35" t="str">
        <f aca="false">IF(A1118="","",DATE(YEAR(A1118),MONTH(A1118),1))</f>
        <v/>
      </c>
      <c r="L1118" s="28" t="str">
        <f aca="false">IF(E1118="","",IFERROR(INDEX(Settings!$K$8:$K$38,MATCH(E1118,Settings!$H$8:$H$38,0))&amp;"",""))</f>
        <v/>
      </c>
    </row>
    <row r="1119" customFormat="false" ht="15" hidden="false" customHeight="false" outlineLevel="0" collapsed="false">
      <c r="A1119" s="33"/>
      <c r="B1119" s="27"/>
      <c r="C1119" s="27"/>
      <c r="D1119" s="27"/>
      <c r="E1119" s="27"/>
      <c r="F1119" s="34"/>
      <c r="G1119" s="27"/>
      <c r="H1119" s="27"/>
      <c r="I1119" s="28" t="str">
        <f aca="false">IF(C1119="","",IFERROR(INDEX(Settings!$C$8:$C$19,MATCH(C1119,Settings!$B$8:$B$19,0)),"?"))</f>
        <v/>
      </c>
      <c r="J1119" s="28" t="str">
        <f aca="false">IF(G1119="","",IFERROR(INDEX(Settings!$C$8:$C$19,MATCH(G1119,Settings!$B$8:$B$19,0)),"?"))</f>
        <v/>
      </c>
      <c r="K1119" s="35" t="str">
        <f aca="false">IF(A1119="","",DATE(YEAR(A1119),MONTH(A1119),1))</f>
        <v/>
      </c>
      <c r="L1119" s="28" t="str">
        <f aca="false">IF(E1119="","",IFERROR(INDEX(Settings!$K$8:$K$38,MATCH(E1119,Settings!$H$8:$H$38,0))&amp;"",""))</f>
        <v/>
      </c>
    </row>
    <row r="1120" customFormat="false" ht="15" hidden="false" customHeight="false" outlineLevel="0" collapsed="false">
      <c r="A1120" s="33"/>
      <c r="B1120" s="27"/>
      <c r="C1120" s="27"/>
      <c r="D1120" s="27"/>
      <c r="E1120" s="27"/>
      <c r="F1120" s="34"/>
      <c r="G1120" s="27"/>
      <c r="H1120" s="27"/>
      <c r="I1120" s="28" t="str">
        <f aca="false">IF(C1120="","",IFERROR(INDEX(Settings!$C$8:$C$19,MATCH(C1120,Settings!$B$8:$B$19,0)),"?"))</f>
        <v/>
      </c>
      <c r="J1120" s="28" t="str">
        <f aca="false">IF(G1120="","",IFERROR(INDEX(Settings!$C$8:$C$19,MATCH(G1120,Settings!$B$8:$B$19,0)),"?"))</f>
        <v/>
      </c>
      <c r="K1120" s="35" t="str">
        <f aca="false">IF(A1120="","",DATE(YEAR(A1120),MONTH(A1120),1))</f>
        <v/>
      </c>
      <c r="L1120" s="28" t="str">
        <f aca="false">IF(E1120="","",IFERROR(INDEX(Settings!$K$8:$K$38,MATCH(E1120,Settings!$H$8:$H$38,0))&amp;"",""))</f>
        <v/>
      </c>
    </row>
    <row r="1121" customFormat="false" ht="15" hidden="false" customHeight="false" outlineLevel="0" collapsed="false">
      <c r="A1121" s="33"/>
      <c r="B1121" s="27"/>
      <c r="C1121" s="27"/>
      <c r="D1121" s="27"/>
      <c r="E1121" s="27"/>
      <c r="F1121" s="34"/>
      <c r="G1121" s="27"/>
      <c r="H1121" s="27"/>
      <c r="I1121" s="28" t="str">
        <f aca="false">IF(C1121="","",IFERROR(INDEX(Settings!$C$8:$C$19,MATCH(C1121,Settings!$B$8:$B$19,0)),"?"))</f>
        <v/>
      </c>
      <c r="J1121" s="28" t="str">
        <f aca="false">IF(G1121="","",IFERROR(INDEX(Settings!$C$8:$C$19,MATCH(G1121,Settings!$B$8:$B$19,0)),"?"))</f>
        <v/>
      </c>
      <c r="K1121" s="35" t="str">
        <f aca="false">IF(A1121="","",DATE(YEAR(A1121),MONTH(A1121),1))</f>
        <v/>
      </c>
      <c r="L1121" s="28" t="str">
        <f aca="false">IF(E1121="","",IFERROR(INDEX(Settings!$K$8:$K$38,MATCH(E1121,Settings!$H$8:$H$38,0))&amp;"",""))</f>
        <v/>
      </c>
    </row>
    <row r="1122" customFormat="false" ht="15" hidden="false" customHeight="false" outlineLevel="0" collapsed="false">
      <c r="A1122" s="33"/>
      <c r="B1122" s="27"/>
      <c r="C1122" s="27"/>
      <c r="D1122" s="27"/>
      <c r="E1122" s="27"/>
      <c r="F1122" s="34"/>
      <c r="G1122" s="27"/>
      <c r="H1122" s="27"/>
      <c r="I1122" s="28" t="str">
        <f aca="false">IF(C1122="","",IFERROR(INDEX(Settings!$C$8:$C$19,MATCH(C1122,Settings!$B$8:$B$19,0)),"?"))</f>
        <v/>
      </c>
      <c r="J1122" s="28" t="str">
        <f aca="false">IF(G1122="","",IFERROR(INDEX(Settings!$C$8:$C$19,MATCH(G1122,Settings!$B$8:$B$19,0)),"?"))</f>
        <v/>
      </c>
      <c r="K1122" s="35" t="str">
        <f aca="false">IF(A1122="","",DATE(YEAR(A1122),MONTH(A1122),1))</f>
        <v/>
      </c>
      <c r="L1122" s="28" t="str">
        <f aca="false">IF(E1122="","",IFERROR(INDEX(Settings!$K$8:$K$38,MATCH(E1122,Settings!$H$8:$H$38,0))&amp;"",""))</f>
        <v/>
      </c>
    </row>
    <row r="1123" customFormat="false" ht="15" hidden="false" customHeight="false" outlineLevel="0" collapsed="false">
      <c r="A1123" s="33"/>
      <c r="B1123" s="27"/>
      <c r="C1123" s="27"/>
      <c r="D1123" s="27"/>
      <c r="E1123" s="27"/>
      <c r="F1123" s="34"/>
      <c r="G1123" s="27"/>
      <c r="H1123" s="27"/>
      <c r="I1123" s="28" t="str">
        <f aca="false">IF(C1123="","",IFERROR(INDEX(Settings!$C$8:$C$19,MATCH(C1123,Settings!$B$8:$B$19,0)),"?"))</f>
        <v/>
      </c>
      <c r="J1123" s="28" t="str">
        <f aca="false">IF(G1123="","",IFERROR(INDEX(Settings!$C$8:$C$19,MATCH(G1123,Settings!$B$8:$B$19,0)),"?"))</f>
        <v/>
      </c>
      <c r="K1123" s="35" t="str">
        <f aca="false">IF(A1123="","",DATE(YEAR(A1123),MONTH(A1123),1))</f>
        <v/>
      </c>
      <c r="L1123" s="28" t="str">
        <f aca="false">IF(E1123="","",IFERROR(INDEX(Settings!$K$8:$K$38,MATCH(E1123,Settings!$H$8:$H$38,0))&amp;"",""))</f>
        <v/>
      </c>
    </row>
    <row r="1124" customFormat="false" ht="15" hidden="false" customHeight="false" outlineLevel="0" collapsed="false">
      <c r="A1124" s="33"/>
      <c r="B1124" s="27"/>
      <c r="C1124" s="27"/>
      <c r="D1124" s="27"/>
      <c r="E1124" s="27"/>
      <c r="F1124" s="34"/>
      <c r="G1124" s="27"/>
      <c r="H1124" s="27"/>
      <c r="I1124" s="28" t="str">
        <f aca="false">IF(C1124="","",IFERROR(INDEX(Settings!$C$8:$C$19,MATCH(C1124,Settings!$B$8:$B$19,0)),"?"))</f>
        <v/>
      </c>
      <c r="J1124" s="28" t="str">
        <f aca="false">IF(G1124="","",IFERROR(INDEX(Settings!$C$8:$C$19,MATCH(G1124,Settings!$B$8:$B$19,0)),"?"))</f>
        <v/>
      </c>
      <c r="K1124" s="35" t="str">
        <f aca="false">IF(A1124="","",DATE(YEAR(A1124),MONTH(A1124),1))</f>
        <v/>
      </c>
      <c r="L1124" s="28" t="str">
        <f aca="false">IF(E1124="","",IFERROR(INDEX(Settings!$K$8:$K$38,MATCH(E1124,Settings!$H$8:$H$38,0))&amp;"",""))</f>
        <v/>
      </c>
    </row>
    <row r="1125" customFormat="false" ht="15" hidden="false" customHeight="false" outlineLevel="0" collapsed="false">
      <c r="A1125" s="33"/>
      <c r="B1125" s="27"/>
      <c r="C1125" s="27"/>
      <c r="D1125" s="27"/>
      <c r="E1125" s="27"/>
      <c r="F1125" s="34"/>
      <c r="G1125" s="27"/>
      <c r="H1125" s="27"/>
      <c r="I1125" s="28" t="str">
        <f aca="false">IF(C1125="","",IFERROR(INDEX(Settings!$C$8:$C$19,MATCH(C1125,Settings!$B$8:$B$19,0)),"?"))</f>
        <v/>
      </c>
      <c r="J1125" s="28" t="str">
        <f aca="false">IF(G1125="","",IFERROR(INDEX(Settings!$C$8:$C$19,MATCH(G1125,Settings!$B$8:$B$19,0)),"?"))</f>
        <v/>
      </c>
      <c r="K1125" s="35" t="str">
        <f aca="false">IF(A1125="","",DATE(YEAR(A1125),MONTH(A1125),1))</f>
        <v/>
      </c>
      <c r="L1125" s="28" t="str">
        <f aca="false">IF(E1125="","",IFERROR(INDEX(Settings!$K$8:$K$38,MATCH(E1125,Settings!$H$8:$H$38,0))&amp;"",""))</f>
        <v/>
      </c>
    </row>
    <row r="1126" customFormat="false" ht="15" hidden="false" customHeight="false" outlineLevel="0" collapsed="false">
      <c r="A1126" s="33"/>
      <c r="B1126" s="27"/>
      <c r="C1126" s="27"/>
      <c r="D1126" s="27"/>
      <c r="E1126" s="27"/>
      <c r="F1126" s="34"/>
      <c r="G1126" s="27"/>
      <c r="H1126" s="27"/>
      <c r="I1126" s="28" t="str">
        <f aca="false">IF(C1126="","",IFERROR(INDEX(Settings!$C$8:$C$19,MATCH(C1126,Settings!$B$8:$B$19,0)),"?"))</f>
        <v/>
      </c>
      <c r="J1126" s="28" t="str">
        <f aca="false">IF(G1126="","",IFERROR(INDEX(Settings!$C$8:$C$19,MATCH(G1126,Settings!$B$8:$B$19,0)),"?"))</f>
        <v/>
      </c>
      <c r="K1126" s="35" t="str">
        <f aca="false">IF(A1126="","",DATE(YEAR(A1126),MONTH(A1126),1))</f>
        <v/>
      </c>
      <c r="L1126" s="28" t="str">
        <f aca="false">IF(E1126="","",IFERROR(INDEX(Settings!$K$8:$K$38,MATCH(E1126,Settings!$H$8:$H$38,0))&amp;"",""))</f>
        <v/>
      </c>
    </row>
    <row r="1127" customFormat="false" ht="15" hidden="false" customHeight="false" outlineLevel="0" collapsed="false">
      <c r="A1127" s="33"/>
      <c r="B1127" s="27"/>
      <c r="C1127" s="27"/>
      <c r="D1127" s="27"/>
      <c r="E1127" s="27"/>
      <c r="F1127" s="34"/>
      <c r="G1127" s="27"/>
      <c r="H1127" s="27"/>
      <c r="I1127" s="28" t="str">
        <f aca="false">IF(C1127="","",IFERROR(INDEX(Settings!$C$8:$C$19,MATCH(C1127,Settings!$B$8:$B$19,0)),"?"))</f>
        <v/>
      </c>
      <c r="J1127" s="28" t="str">
        <f aca="false">IF(G1127="","",IFERROR(INDEX(Settings!$C$8:$C$19,MATCH(G1127,Settings!$B$8:$B$19,0)),"?"))</f>
        <v/>
      </c>
      <c r="K1127" s="35" t="str">
        <f aca="false">IF(A1127="","",DATE(YEAR(A1127),MONTH(A1127),1))</f>
        <v/>
      </c>
      <c r="L1127" s="28" t="str">
        <f aca="false">IF(E1127="","",IFERROR(INDEX(Settings!$K$8:$K$38,MATCH(E1127,Settings!$H$8:$H$38,0))&amp;"",""))</f>
        <v/>
      </c>
    </row>
    <row r="1128" customFormat="false" ht="15" hidden="false" customHeight="false" outlineLevel="0" collapsed="false">
      <c r="A1128" s="33"/>
      <c r="B1128" s="27"/>
      <c r="C1128" s="27"/>
      <c r="D1128" s="27"/>
      <c r="E1128" s="27"/>
      <c r="F1128" s="34"/>
      <c r="G1128" s="27"/>
      <c r="H1128" s="27"/>
      <c r="I1128" s="28" t="str">
        <f aca="false">IF(C1128="","",IFERROR(INDEX(Settings!$C$8:$C$19,MATCH(C1128,Settings!$B$8:$B$19,0)),"?"))</f>
        <v/>
      </c>
      <c r="J1128" s="28" t="str">
        <f aca="false">IF(G1128="","",IFERROR(INDEX(Settings!$C$8:$C$19,MATCH(G1128,Settings!$B$8:$B$19,0)),"?"))</f>
        <v/>
      </c>
      <c r="K1128" s="35" t="str">
        <f aca="false">IF(A1128="","",DATE(YEAR(A1128),MONTH(A1128),1))</f>
        <v/>
      </c>
      <c r="L1128" s="28" t="str">
        <f aca="false">IF(E1128="","",IFERROR(INDEX(Settings!$K$8:$K$38,MATCH(E1128,Settings!$H$8:$H$38,0))&amp;"",""))</f>
        <v/>
      </c>
    </row>
    <row r="1129" customFormat="false" ht="15" hidden="false" customHeight="false" outlineLevel="0" collapsed="false">
      <c r="A1129" s="33"/>
      <c r="B1129" s="27"/>
      <c r="C1129" s="27"/>
      <c r="D1129" s="27"/>
      <c r="E1129" s="27"/>
      <c r="F1129" s="34"/>
      <c r="G1129" s="27"/>
      <c r="H1129" s="27"/>
      <c r="I1129" s="28" t="str">
        <f aca="false">IF(C1129="","",IFERROR(INDEX(Settings!$C$8:$C$19,MATCH(C1129,Settings!$B$8:$B$19,0)),"?"))</f>
        <v/>
      </c>
      <c r="J1129" s="28" t="str">
        <f aca="false">IF(G1129="","",IFERROR(INDEX(Settings!$C$8:$C$19,MATCH(G1129,Settings!$B$8:$B$19,0)),"?"))</f>
        <v/>
      </c>
      <c r="K1129" s="35" t="str">
        <f aca="false">IF(A1129="","",DATE(YEAR(A1129),MONTH(A1129),1))</f>
        <v/>
      </c>
      <c r="L1129" s="28" t="str">
        <f aca="false">IF(E1129="","",IFERROR(INDEX(Settings!$K$8:$K$38,MATCH(E1129,Settings!$H$8:$H$38,0))&amp;"",""))</f>
        <v/>
      </c>
    </row>
    <row r="1130" customFormat="false" ht="15" hidden="false" customHeight="false" outlineLevel="0" collapsed="false">
      <c r="A1130" s="33"/>
      <c r="B1130" s="27"/>
      <c r="C1130" s="27"/>
      <c r="D1130" s="27"/>
      <c r="E1130" s="27"/>
      <c r="F1130" s="34"/>
      <c r="G1130" s="27"/>
      <c r="H1130" s="27"/>
      <c r="I1130" s="28" t="str">
        <f aca="false">IF(C1130="","",IFERROR(INDEX(Settings!$C$8:$C$19,MATCH(C1130,Settings!$B$8:$B$19,0)),"?"))</f>
        <v/>
      </c>
      <c r="J1130" s="28" t="str">
        <f aca="false">IF(G1130="","",IFERROR(INDEX(Settings!$C$8:$C$19,MATCH(G1130,Settings!$B$8:$B$19,0)),"?"))</f>
        <v/>
      </c>
      <c r="K1130" s="35" t="str">
        <f aca="false">IF(A1130="","",DATE(YEAR(A1130),MONTH(A1130),1))</f>
        <v/>
      </c>
      <c r="L1130" s="28" t="str">
        <f aca="false">IF(E1130="","",IFERROR(INDEX(Settings!$K$8:$K$38,MATCH(E1130,Settings!$H$8:$H$38,0))&amp;"",""))</f>
        <v/>
      </c>
    </row>
    <row r="1131" customFormat="false" ht="15" hidden="false" customHeight="false" outlineLevel="0" collapsed="false">
      <c r="A1131" s="33"/>
      <c r="B1131" s="27"/>
      <c r="C1131" s="27"/>
      <c r="D1131" s="27"/>
      <c r="E1131" s="27"/>
      <c r="F1131" s="34"/>
      <c r="G1131" s="27"/>
      <c r="H1131" s="27"/>
      <c r="I1131" s="28" t="str">
        <f aca="false">IF(C1131="","",IFERROR(INDEX(Settings!$C$8:$C$19,MATCH(C1131,Settings!$B$8:$B$19,0)),"?"))</f>
        <v/>
      </c>
      <c r="J1131" s="28" t="str">
        <f aca="false">IF(G1131="","",IFERROR(INDEX(Settings!$C$8:$C$19,MATCH(G1131,Settings!$B$8:$B$19,0)),"?"))</f>
        <v/>
      </c>
      <c r="K1131" s="35" t="str">
        <f aca="false">IF(A1131="","",DATE(YEAR(A1131),MONTH(A1131),1))</f>
        <v/>
      </c>
      <c r="L1131" s="28" t="str">
        <f aca="false">IF(E1131="","",IFERROR(INDEX(Settings!$K$8:$K$38,MATCH(E1131,Settings!$H$8:$H$38,0))&amp;"",""))</f>
        <v/>
      </c>
    </row>
    <row r="1132" customFormat="false" ht="15" hidden="false" customHeight="false" outlineLevel="0" collapsed="false">
      <c r="A1132" s="33"/>
      <c r="B1132" s="27"/>
      <c r="C1132" s="27"/>
      <c r="D1132" s="27"/>
      <c r="E1132" s="27"/>
      <c r="F1132" s="34"/>
      <c r="G1132" s="27"/>
      <c r="H1132" s="27"/>
      <c r="I1132" s="28" t="str">
        <f aca="false">IF(C1132="","",IFERROR(INDEX(Settings!$C$8:$C$19,MATCH(C1132,Settings!$B$8:$B$19,0)),"?"))</f>
        <v/>
      </c>
      <c r="J1132" s="28" t="str">
        <f aca="false">IF(G1132="","",IFERROR(INDEX(Settings!$C$8:$C$19,MATCH(G1132,Settings!$B$8:$B$19,0)),"?"))</f>
        <v/>
      </c>
      <c r="K1132" s="35" t="str">
        <f aca="false">IF(A1132="","",DATE(YEAR(A1132),MONTH(A1132),1))</f>
        <v/>
      </c>
      <c r="L1132" s="28" t="str">
        <f aca="false">IF(E1132="","",IFERROR(INDEX(Settings!$K$8:$K$38,MATCH(E1132,Settings!$H$8:$H$38,0))&amp;"",""))</f>
        <v/>
      </c>
    </row>
    <row r="1133" customFormat="false" ht="15" hidden="false" customHeight="false" outlineLevel="0" collapsed="false">
      <c r="A1133" s="33"/>
      <c r="B1133" s="27"/>
      <c r="C1133" s="27"/>
      <c r="D1133" s="27"/>
      <c r="E1133" s="27"/>
      <c r="F1133" s="34"/>
      <c r="G1133" s="27"/>
      <c r="H1133" s="27"/>
      <c r="I1133" s="28" t="str">
        <f aca="false">IF(C1133="","",IFERROR(INDEX(Settings!$C$8:$C$19,MATCH(C1133,Settings!$B$8:$B$19,0)),"?"))</f>
        <v/>
      </c>
      <c r="J1133" s="28" t="str">
        <f aca="false">IF(G1133="","",IFERROR(INDEX(Settings!$C$8:$C$19,MATCH(G1133,Settings!$B$8:$B$19,0)),"?"))</f>
        <v/>
      </c>
      <c r="K1133" s="35" t="str">
        <f aca="false">IF(A1133="","",DATE(YEAR(A1133),MONTH(A1133),1))</f>
        <v/>
      </c>
      <c r="L1133" s="28" t="str">
        <f aca="false">IF(E1133="","",IFERROR(INDEX(Settings!$K$8:$K$38,MATCH(E1133,Settings!$H$8:$H$38,0))&amp;"",""))</f>
        <v/>
      </c>
    </row>
    <row r="1134" customFormat="false" ht="15" hidden="false" customHeight="false" outlineLevel="0" collapsed="false">
      <c r="A1134" s="33"/>
      <c r="B1134" s="27"/>
      <c r="C1134" s="27"/>
      <c r="D1134" s="27"/>
      <c r="E1134" s="27"/>
      <c r="F1134" s="34"/>
      <c r="G1134" s="27"/>
      <c r="H1134" s="27"/>
      <c r="I1134" s="28" t="str">
        <f aca="false">IF(C1134="","",IFERROR(INDEX(Settings!$C$8:$C$19,MATCH(C1134,Settings!$B$8:$B$19,0)),"?"))</f>
        <v/>
      </c>
      <c r="J1134" s="28" t="str">
        <f aca="false">IF(G1134="","",IFERROR(INDEX(Settings!$C$8:$C$19,MATCH(G1134,Settings!$B$8:$B$19,0)),"?"))</f>
        <v/>
      </c>
      <c r="K1134" s="35" t="str">
        <f aca="false">IF(A1134="","",DATE(YEAR(A1134),MONTH(A1134),1))</f>
        <v/>
      </c>
      <c r="L1134" s="28" t="str">
        <f aca="false">IF(E1134="","",IFERROR(INDEX(Settings!$K$8:$K$38,MATCH(E1134,Settings!$H$8:$H$38,0))&amp;"",""))</f>
        <v/>
      </c>
    </row>
    <row r="1135" customFormat="false" ht="15" hidden="false" customHeight="false" outlineLevel="0" collapsed="false">
      <c r="A1135" s="33"/>
      <c r="B1135" s="27"/>
      <c r="C1135" s="27"/>
      <c r="D1135" s="27"/>
      <c r="E1135" s="27"/>
      <c r="F1135" s="34"/>
      <c r="G1135" s="27"/>
      <c r="H1135" s="27"/>
      <c r="I1135" s="28" t="str">
        <f aca="false">IF(C1135="","",IFERROR(INDEX(Settings!$C$8:$C$19,MATCH(C1135,Settings!$B$8:$B$19,0)),"?"))</f>
        <v/>
      </c>
      <c r="J1135" s="28" t="str">
        <f aca="false">IF(G1135="","",IFERROR(INDEX(Settings!$C$8:$C$19,MATCH(G1135,Settings!$B$8:$B$19,0)),"?"))</f>
        <v/>
      </c>
      <c r="K1135" s="35" t="str">
        <f aca="false">IF(A1135="","",DATE(YEAR(A1135),MONTH(A1135),1))</f>
        <v/>
      </c>
      <c r="L1135" s="28" t="str">
        <f aca="false">IF(E1135="","",IFERROR(INDEX(Settings!$K$8:$K$38,MATCH(E1135,Settings!$H$8:$H$38,0))&amp;"",""))</f>
        <v/>
      </c>
    </row>
    <row r="1136" customFormat="false" ht="15" hidden="false" customHeight="false" outlineLevel="0" collapsed="false">
      <c r="A1136" s="33"/>
      <c r="B1136" s="27"/>
      <c r="C1136" s="27"/>
      <c r="D1136" s="27"/>
      <c r="E1136" s="27"/>
      <c r="F1136" s="34"/>
      <c r="G1136" s="27"/>
      <c r="H1136" s="27"/>
      <c r="I1136" s="28" t="str">
        <f aca="false">IF(C1136="","",IFERROR(INDEX(Settings!$C$8:$C$19,MATCH(C1136,Settings!$B$8:$B$19,0)),"?"))</f>
        <v/>
      </c>
      <c r="J1136" s="28" t="str">
        <f aca="false">IF(G1136="","",IFERROR(INDEX(Settings!$C$8:$C$19,MATCH(G1136,Settings!$B$8:$B$19,0)),"?"))</f>
        <v/>
      </c>
      <c r="K1136" s="35" t="str">
        <f aca="false">IF(A1136="","",DATE(YEAR(A1136),MONTH(A1136),1))</f>
        <v/>
      </c>
      <c r="L1136" s="28" t="str">
        <f aca="false">IF(E1136="","",IFERROR(INDEX(Settings!$K$8:$K$38,MATCH(E1136,Settings!$H$8:$H$38,0))&amp;"",""))</f>
        <v/>
      </c>
    </row>
    <row r="1137" customFormat="false" ht="15" hidden="false" customHeight="false" outlineLevel="0" collapsed="false">
      <c r="A1137" s="33"/>
      <c r="B1137" s="27"/>
      <c r="C1137" s="27"/>
      <c r="D1137" s="27"/>
      <c r="E1137" s="27"/>
      <c r="F1137" s="34"/>
      <c r="G1137" s="27"/>
      <c r="H1137" s="27"/>
      <c r="I1137" s="28" t="str">
        <f aca="false">IF(C1137="","",IFERROR(INDEX(Settings!$C$8:$C$19,MATCH(C1137,Settings!$B$8:$B$19,0)),"?"))</f>
        <v/>
      </c>
      <c r="J1137" s="28" t="str">
        <f aca="false">IF(G1137="","",IFERROR(INDEX(Settings!$C$8:$C$19,MATCH(G1137,Settings!$B$8:$B$19,0)),"?"))</f>
        <v/>
      </c>
      <c r="K1137" s="35" t="str">
        <f aca="false">IF(A1137="","",DATE(YEAR(A1137),MONTH(A1137),1))</f>
        <v/>
      </c>
      <c r="L1137" s="28" t="str">
        <f aca="false">IF(E1137="","",IFERROR(INDEX(Settings!$K$8:$K$38,MATCH(E1137,Settings!$H$8:$H$38,0))&amp;"",""))</f>
        <v/>
      </c>
    </row>
    <row r="1138" customFormat="false" ht="15" hidden="false" customHeight="false" outlineLevel="0" collapsed="false">
      <c r="A1138" s="33"/>
      <c r="B1138" s="27"/>
      <c r="C1138" s="27"/>
      <c r="D1138" s="27"/>
      <c r="E1138" s="27"/>
      <c r="F1138" s="34"/>
      <c r="G1138" s="27"/>
      <c r="H1138" s="27"/>
      <c r="I1138" s="28" t="str">
        <f aca="false">IF(C1138="","",IFERROR(INDEX(Settings!$C$8:$C$19,MATCH(C1138,Settings!$B$8:$B$19,0)),"?"))</f>
        <v/>
      </c>
      <c r="J1138" s="28" t="str">
        <f aca="false">IF(G1138="","",IFERROR(INDEX(Settings!$C$8:$C$19,MATCH(G1138,Settings!$B$8:$B$19,0)),"?"))</f>
        <v/>
      </c>
      <c r="K1138" s="35" t="str">
        <f aca="false">IF(A1138="","",DATE(YEAR(A1138),MONTH(A1138),1))</f>
        <v/>
      </c>
      <c r="L1138" s="28" t="str">
        <f aca="false">IF(E1138="","",IFERROR(INDEX(Settings!$K$8:$K$38,MATCH(E1138,Settings!$H$8:$H$38,0))&amp;"",""))</f>
        <v/>
      </c>
    </row>
    <row r="1139" customFormat="false" ht="15" hidden="false" customHeight="false" outlineLevel="0" collapsed="false">
      <c r="A1139" s="33"/>
      <c r="B1139" s="27"/>
      <c r="C1139" s="27"/>
      <c r="D1139" s="27"/>
      <c r="E1139" s="27"/>
      <c r="F1139" s="34"/>
      <c r="G1139" s="27"/>
      <c r="H1139" s="27"/>
      <c r="I1139" s="28" t="str">
        <f aca="false">IF(C1139="","",IFERROR(INDEX(Settings!$C$8:$C$19,MATCH(C1139,Settings!$B$8:$B$19,0)),"?"))</f>
        <v/>
      </c>
      <c r="J1139" s="28" t="str">
        <f aca="false">IF(G1139="","",IFERROR(INDEX(Settings!$C$8:$C$19,MATCH(G1139,Settings!$B$8:$B$19,0)),"?"))</f>
        <v/>
      </c>
      <c r="K1139" s="35" t="str">
        <f aca="false">IF(A1139="","",DATE(YEAR(A1139),MONTH(A1139),1))</f>
        <v/>
      </c>
      <c r="L1139" s="28" t="str">
        <f aca="false">IF(E1139="","",IFERROR(INDEX(Settings!$K$8:$K$38,MATCH(E1139,Settings!$H$8:$H$38,0))&amp;"",""))</f>
        <v/>
      </c>
    </row>
    <row r="1140" customFormat="false" ht="15" hidden="false" customHeight="false" outlineLevel="0" collapsed="false">
      <c r="A1140" s="33"/>
      <c r="B1140" s="27"/>
      <c r="C1140" s="27"/>
      <c r="D1140" s="27"/>
      <c r="E1140" s="27"/>
      <c r="F1140" s="34"/>
      <c r="G1140" s="27"/>
      <c r="H1140" s="27"/>
      <c r="I1140" s="28" t="str">
        <f aca="false">IF(C1140="","",IFERROR(INDEX(Settings!$C$8:$C$19,MATCH(C1140,Settings!$B$8:$B$19,0)),"?"))</f>
        <v/>
      </c>
      <c r="J1140" s="28" t="str">
        <f aca="false">IF(G1140="","",IFERROR(INDEX(Settings!$C$8:$C$19,MATCH(G1140,Settings!$B$8:$B$19,0)),"?"))</f>
        <v/>
      </c>
      <c r="K1140" s="35" t="str">
        <f aca="false">IF(A1140="","",DATE(YEAR(A1140),MONTH(A1140),1))</f>
        <v/>
      </c>
      <c r="L1140" s="28" t="str">
        <f aca="false">IF(E1140="","",IFERROR(INDEX(Settings!$K$8:$K$38,MATCH(E1140,Settings!$H$8:$H$38,0))&amp;"",""))</f>
        <v/>
      </c>
    </row>
    <row r="1141" customFormat="false" ht="15" hidden="false" customHeight="false" outlineLevel="0" collapsed="false">
      <c r="A1141" s="33"/>
      <c r="B1141" s="27"/>
      <c r="C1141" s="27"/>
      <c r="D1141" s="27"/>
      <c r="E1141" s="27"/>
      <c r="F1141" s="34"/>
      <c r="G1141" s="27"/>
      <c r="H1141" s="27"/>
      <c r="I1141" s="28" t="str">
        <f aca="false">IF(C1141="","",IFERROR(INDEX(Settings!$C$8:$C$19,MATCH(C1141,Settings!$B$8:$B$19,0)),"?"))</f>
        <v/>
      </c>
      <c r="J1141" s="28" t="str">
        <f aca="false">IF(G1141="","",IFERROR(INDEX(Settings!$C$8:$C$19,MATCH(G1141,Settings!$B$8:$B$19,0)),"?"))</f>
        <v/>
      </c>
      <c r="K1141" s="35" t="str">
        <f aca="false">IF(A1141="","",DATE(YEAR(A1141),MONTH(A1141),1))</f>
        <v/>
      </c>
      <c r="L1141" s="28" t="str">
        <f aca="false">IF(E1141="","",IFERROR(INDEX(Settings!$K$8:$K$38,MATCH(E1141,Settings!$H$8:$H$38,0))&amp;"",""))</f>
        <v/>
      </c>
    </row>
    <row r="1142" customFormat="false" ht="15" hidden="false" customHeight="false" outlineLevel="0" collapsed="false">
      <c r="A1142" s="33"/>
      <c r="B1142" s="27"/>
      <c r="C1142" s="27"/>
      <c r="D1142" s="27"/>
      <c r="E1142" s="27"/>
      <c r="F1142" s="34"/>
      <c r="G1142" s="27"/>
      <c r="H1142" s="27"/>
      <c r="I1142" s="28" t="str">
        <f aca="false">IF(C1142="","",IFERROR(INDEX(Settings!$C$8:$C$19,MATCH(C1142,Settings!$B$8:$B$19,0)),"?"))</f>
        <v/>
      </c>
      <c r="J1142" s="28" t="str">
        <f aca="false">IF(G1142="","",IFERROR(INDEX(Settings!$C$8:$C$19,MATCH(G1142,Settings!$B$8:$B$19,0)),"?"))</f>
        <v/>
      </c>
      <c r="K1142" s="35" t="str">
        <f aca="false">IF(A1142="","",DATE(YEAR(A1142),MONTH(A1142),1))</f>
        <v/>
      </c>
      <c r="L1142" s="28" t="str">
        <f aca="false">IF(E1142="","",IFERROR(INDEX(Settings!$K$8:$K$38,MATCH(E1142,Settings!$H$8:$H$38,0))&amp;"",""))</f>
        <v/>
      </c>
    </row>
    <row r="1143" customFormat="false" ht="15" hidden="false" customHeight="false" outlineLevel="0" collapsed="false">
      <c r="A1143" s="33"/>
      <c r="B1143" s="27"/>
      <c r="C1143" s="27"/>
      <c r="D1143" s="27"/>
      <c r="E1143" s="27"/>
      <c r="F1143" s="34"/>
      <c r="G1143" s="27"/>
      <c r="H1143" s="27"/>
      <c r="I1143" s="28" t="str">
        <f aca="false">IF(C1143="","",IFERROR(INDEX(Settings!$C$8:$C$19,MATCH(C1143,Settings!$B$8:$B$19,0)),"?"))</f>
        <v/>
      </c>
      <c r="J1143" s="28" t="str">
        <f aca="false">IF(G1143="","",IFERROR(INDEX(Settings!$C$8:$C$19,MATCH(G1143,Settings!$B$8:$B$19,0)),"?"))</f>
        <v/>
      </c>
      <c r="K1143" s="35" t="str">
        <f aca="false">IF(A1143="","",DATE(YEAR(A1143),MONTH(A1143),1))</f>
        <v/>
      </c>
      <c r="L1143" s="28" t="str">
        <f aca="false">IF(E1143="","",IFERROR(INDEX(Settings!$K$8:$K$38,MATCH(E1143,Settings!$H$8:$H$38,0))&amp;"",""))</f>
        <v/>
      </c>
    </row>
    <row r="1144" customFormat="false" ht="15" hidden="false" customHeight="false" outlineLevel="0" collapsed="false">
      <c r="A1144" s="33"/>
      <c r="B1144" s="27"/>
      <c r="C1144" s="27"/>
      <c r="D1144" s="27"/>
      <c r="E1144" s="27"/>
      <c r="F1144" s="34"/>
      <c r="G1144" s="27"/>
      <c r="H1144" s="27"/>
      <c r="I1144" s="28" t="str">
        <f aca="false">IF(C1144="","",IFERROR(INDEX(Settings!$C$8:$C$19,MATCH(C1144,Settings!$B$8:$B$19,0)),"?"))</f>
        <v/>
      </c>
      <c r="J1144" s="28" t="str">
        <f aca="false">IF(G1144="","",IFERROR(INDEX(Settings!$C$8:$C$19,MATCH(G1144,Settings!$B$8:$B$19,0)),"?"))</f>
        <v/>
      </c>
      <c r="K1144" s="35" t="str">
        <f aca="false">IF(A1144="","",DATE(YEAR(A1144),MONTH(A1144),1))</f>
        <v/>
      </c>
      <c r="L1144" s="28" t="str">
        <f aca="false">IF(E1144="","",IFERROR(INDEX(Settings!$K$8:$K$38,MATCH(E1144,Settings!$H$8:$H$38,0))&amp;"",""))</f>
        <v/>
      </c>
    </row>
    <row r="1145" customFormat="false" ht="15" hidden="false" customHeight="false" outlineLevel="0" collapsed="false">
      <c r="A1145" s="33"/>
      <c r="B1145" s="27"/>
      <c r="C1145" s="27"/>
      <c r="D1145" s="27"/>
      <c r="E1145" s="27"/>
      <c r="F1145" s="34"/>
      <c r="G1145" s="27"/>
      <c r="H1145" s="27"/>
      <c r="I1145" s="28" t="str">
        <f aca="false">IF(C1145="","",IFERROR(INDEX(Settings!$C$8:$C$19,MATCH(C1145,Settings!$B$8:$B$19,0)),"?"))</f>
        <v/>
      </c>
      <c r="J1145" s="28" t="str">
        <f aca="false">IF(G1145="","",IFERROR(INDEX(Settings!$C$8:$C$19,MATCH(G1145,Settings!$B$8:$B$19,0)),"?"))</f>
        <v/>
      </c>
      <c r="K1145" s="35" t="str">
        <f aca="false">IF(A1145="","",DATE(YEAR(A1145),MONTH(A1145),1))</f>
        <v/>
      </c>
      <c r="L1145" s="28" t="str">
        <f aca="false">IF(E1145="","",IFERROR(INDEX(Settings!$K$8:$K$38,MATCH(E1145,Settings!$H$8:$H$38,0))&amp;"",""))</f>
        <v/>
      </c>
    </row>
    <row r="1146" customFormat="false" ht="15" hidden="false" customHeight="false" outlineLevel="0" collapsed="false">
      <c r="A1146" s="33"/>
      <c r="B1146" s="27"/>
      <c r="C1146" s="27"/>
      <c r="D1146" s="27"/>
      <c r="E1146" s="27"/>
      <c r="F1146" s="34"/>
      <c r="G1146" s="27"/>
      <c r="H1146" s="27"/>
      <c r="I1146" s="28" t="str">
        <f aca="false">IF(C1146="","",IFERROR(INDEX(Settings!$C$8:$C$19,MATCH(C1146,Settings!$B$8:$B$19,0)),"?"))</f>
        <v/>
      </c>
      <c r="J1146" s="28" t="str">
        <f aca="false">IF(G1146="","",IFERROR(INDEX(Settings!$C$8:$C$19,MATCH(G1146,Settings!$B$8:$B$19,0)),"?"))</f>
        <v/>
      </c>
      <c r="K1146" s="35" t="str">
        <f aca="false">IF(A1146="","",DATE(YEAR(A1146),MONTH(A1146),1))</f>
        <v/>
      </c>
      <c r="L1146" s="28" t="str">
        <f aca="false">IF(E1146="","",IFERROR(INDEX(Settings!$K$8:$K$38,MATCH(E1146,Settings!$H$8:$H$38,0))&amp;"",""))</f>
        <v/>
      </c>
    </row>
    <row r="1147" customFormat="false" ht="15" hidden="false" customHeight="false" outlineLevel="0" collapsed="false">
      <c r="A1147" s="33"/>
      <c r="B1147" s="27"/>
      <c r="C1147" s="27"/>
      <c r="D1147" s="27"/>
      <c r="E1147" s="27"/>
      <c r="F1147" s="34"/>
      <c r="G1147" s="27"/>
      <c r="H1147" s="27"/>
      <c r="I1147" s="28" t="str">
        <f aca="false">IF(C1147="","",IFERROR(INDEX(Settings!$C$8:$C$19,MATCH(C1147,Settings!$B$8:$B$19,0)),"?"))</f>
        <v/>
      </c>
      <c r="J1147" s="28" t="str">
        <f aca="false">IF(G1147="","",IFERROR(INDEX(Settings!$C$8:$C$19,MATCH(G1147,Settings!$B$8:$B$19,0)),"?"))</f>
        <v/>
      </c>
      <c r="K1147" s="35" t="str">
        <f aca="false">IF(A1147="","",DATE(YEAR(A1147),MONTH(A1147),1))</f>
        <v/>
      </c>
      <c r="L1147" s="28" t="str">
        <f aca="false">IF(E1147="","",IFERROR(INDEX(Settings!$K$8:$K$38,MATCH(E1147,Settings!$H$8:$H$38,0))&amp;"",""))</f>
        <v/>
      </c>
    </row>
    <row r="1148" customFormat="false" ht="15" hidden="false" customHeight="false" outlineLevel="0" collapsed="false">
      <c r="A1148" s="33"/>
      <c r="B1148" s="27"/>
      <c r="C1148" s="27"/>
      <c r="D1148" s="27"/>
      <c r="E1148" s="27"/>
      <c r="F1148" s="34"/>
      <c r="G1148" s="27"/>
      <c r="H1148" s="27"/>
      <c r="I1148" s="28" t="str">
        <f aca="false">IF(C1148="","",IFERROR(INDEX(Settings!$C$8:$C$19,MATCH(C1148,Settings!$B$8:$B$19,0)),"?"))</f>
        <v/>
      </c>
      <c r="J1148" s="28" t="str">
        <f aca="false">IF(G1148="","",IFERROR(INDEX(Settings!$C$8:$C$19,MATCH(G1148,Settings!$B$8:$B$19,0)),"?"))</f>
        <v/>
      </c>
      <c r="K1148" s="35" t="str">
        <f aca="false">IF(A1148="","",DATE(YEAR(A1148),MONTH(A1148),1))</f>
        <v/>
      </c>
      <c r="L1148" s="28" t="str">
        <f aca="false">IF(E1148="","",IFERROR(INDEX(Settings!$K$8:$K$38,MATCH(E1148,Settings!$H$8:$H$38,0))&amp;"",""))</f>
        <v/>
      </c>
    </row>
    <row r="1149" customFormat="false" ht="15" hidden="false" customHeight="false" outlineLevel="0" collapsed="false">
      <c r="A1149" s="33"/>
      <c r="B1149" s="27"/>
      <c r="C1149" s="27"/>
      <c r="D1149" s="27"/>
      <c r="E1149" s="27"/>
      <c r="F1149" s="34"/>
      <c r="G1149" s="27"/>
      <c r="H1149" s="27"/>
      <c r="I1149" s="28" t="str">
        <f aca="false">IF(C1149="","",IFERROR(INDEX(Settings!$C$8:$C$19,MATCH(C1149,Settings!$B$8:$B$19,0)),"?"))</f>
        <v/>
      </c>
      <c r="J1149" s="28" t="str">
        <f aca="false">IF(G1149="","",IFERROR(INDEX(Settings!$C$8:$C$19,MATCH(G1149,Settings!$B$8:$B$19,0)),"?"))</f>
        <v/>
      </c>
      <c r="K1149" s="35" t="str">
        <f aca="false">IF(A1149="","",DATE(YEAR(A1149),MONTH(A1149),1))</f>
        <v/>
      </c>
      <c r="L1149" s="28" t="str">
        <f aca="false">IF(E1149="","",IFERROR(INDEX(Settings!$K$8:$K$38,MATCH(E1149,Settings!$H$8:$H$38,0))&amp;"",""))</f>
        <v/>
      </c>
    </row>
    <row r="1150" customFormat="false" ht="15" hidden="false" customHeight="false" outlineLevel="0" collapsed="false">
      <c r="A1150" s="33"/>
      <c r="B1150" s="27"/>
      <c r="C1150" s="27"/>
      <c r="D1150" s="27"/>
      <c r="E1150" s="27"/>
      <c r="F1150" s="34"/>
      <c r="G1150" s="27"/>
      <c r="H1150" s="27"/>
      <c r="I1150" s="28" t="str">
        <f aca="false">IF(C1150="","",IFERROR(INDEX(Settings!$C$8:$C$19,MATCH(C1150,Settings!$B$8:$B$19,0)),"?"))</f>
        <v/>
      </c>
      <c r="J1150" s="28" t="str">
        <f aca="false">IF(G1150="","",IFERROR(INDEX(Settings!$C$8:$C$19,MATCH(G1150,Settings!$B$8:$B$19,0)),"?"))</f>
        <v/>
      </c>
      <c r="K1150" s="35" t="str">
        <f aca="false">IF(A1150="","",DATE(YEAR(A1150),MONTH(A1150),1))</f>
        <v/>
      </c>
      <c r="L1150" s="28" t="str">
        <f aca="false">IF(E1150="","",IFERROR(INDEX(Settings!$K$8:$K$38,MATCH(E1150,Settings!$H$8:$H$38,0))&amp;"",""))</f>
        <v/>
      </c>
    </row>
    <row r="1151" customFormat="false" ht="15" hidden="false" customHeight="false" outlineLevel="0" collapsed="false">
      <c r="A1151" s="33"/>
      <c r="B1151" s="27"/>
      <c r="C1151" s="27"/>
      <c r="D1151" s="27"/>
      <c r="E1151" s="27"/>
      <c r="F1151" s="34"/>
      <c r="G1151" s="27"/>
      <c r="H1151" s="27"/>
      <c r="I1151" s="28" t="str">
        <f aca="false">IF(C1151="","",IFERROR(INDEX(Settings!$C$8:$C$19,MATCH(C1151,Settings!$B$8:$B$19,0)),"?"))</f>
        <v/>
      </c>
      <c r="J1151" s="28" t="str">
        <f aca="false">IF(G1151="","",IFERROR(INDEX(Settings!$C$8:$C$19,MATCH(G1151,Settings!$B$8:$B$19,0)),"?"))</f>
        <v/>
      </c>
      <c r="K1151" s="35" t="str">
        <f aca="false">IF(A1151="","",DATE(YEAR(A1151),MONTH(A1151),1))</f>
        <v/>
      </c>
      <c r="L1151" s="28" t="str">
        <f aca="false">IF(E1151="","",IFERROR(INDEX(Settings!$K$8:$K$38,MATCH(E1151,Settings!$H$8:$H$38,0))&amp;"",""))</f>
        <v/>
      </c>
    </row>
    <row r="1152" customFormat="false" ht="15" hidden="false" customHeight="false" outlineLevel="0" collapsed="false">
      <c r="A1152" s="33"/>
      <c r="B1152" s="27"/>
      <c r="C1152" s="27"/>
      <c r="D1152" s="27"/>
      <c r="E1152" s="27"/>
      <c r="F1152" s="34"/>
      <c r="G1152" s="27"/>
      <c r="H1152" s="27"/>
      <c r="I1152" s="28" t="str">
        <f aca="false">IF(C1152="","",IFERROR(INDEX(Settings!$C$8:$C$19,MATCH(C1152,Settings!$B$8:$B$19,0)),"?"))</f>
        <v/>
      </c>
      <c r="J1152" s="28" t="str">
        <f aca="false">IF(G1152="","",IFERROR(INDEX(Settings!$C$8:$C$19,MATCH(G1152,Settings!$B$8:$B$19,0)),"?"))</f>
        <v/>
      </c>
      <c r="K1152" s="35" t="str">
        <f aca="false">IF(A1152="","",DATE(YEAR(A1152),MONTH(A1152),1))</f>
        <v/>
      </c>
      <c r="L1152" s="28" t="str">
        <f aca="false">IF(E1152="","",IFERROR(INDEX(Settings!$K$8:$K$38,MATCH(E1152,Settings!$H$8:$H$38,0))&amp;"",""))</f>
        <v/>
      </c>
    </row>
    <row r="1153" customFormat="false" ht="15" hidden="false" customHeight="false" outlineLevel="0" collapsed="false">
      <c r="A1153" s="33"/>
      <c r="B1153" s="27"/>
      <c r="C1153" s="27"/>
      <c r="D1153" s="27"/>
      <c r="E1153" s="27"/>
      <c r="F1153" s="34"/>
      <c r="G1153" s="27"/>
      <c r="H1153" s="27"/>
      <c r="I1153" s="28" t="str">
        <f aca="false">IF(C1153="","",IFERROR(INDEX(Settings!$C$8:$C$19,MATCH(C1153,Settings!$B$8:$B$19,0)),"?"))</f>
        <v/>
      </c>
      <c r="J1153" s="28" t="str">
        <f aca="false">IF(G1153="","",IFERROR(INDEX(Settings!$C$8:$C$19,MATCH(G1153,Settings!$B$8:$B$19,0)),"?"))</f>
        <v/>
      </c>
      <c r="K1153" s="35" t="str">
        <f aca="false">IF(A1153="","",DATE(YEAR(A1153),MONTH(A1153),1))</f>
        <v/>
      </c>
      <c r="L1153" s="28" t="str">
        <f aca="false">IF(E1153="","",IFERROR(INDEX(Settings!$K$8:$K$38,MATCH(E1153,Settings!$H$8:$H$38,0))&amp;"",""))</f>
        <v/>
      </c>
    </row>
    <row r="1154" customFormat="false" ht="15" hidden="false" customHeight="false" outlineLevel="0" collapsed="false">
      <c r="A1154" s="33"/>
      <c r="B1154" s="27"/>
      <c r="C1154" s="27"/>
      <c r="D1154" s="27"/>
      <c r="E1154" s="27"/>
      <c r="F1154" s="34"/>
      <c r="G1154" s="27"/>
      <c r="H1154" s="27"/>
      <c r="I1154" s="28" t="str">
        <f aca="false">IF(C1154="","",IFERROR(INDEX(Settings!$C$8:$C$19,MATCH(C1154,Settings!$B$8:$B$19,0)),"?"))</f>
        <v/>
      </c>
      <c r="J1154" s="28" t="str">
        <f aca="false">IF(G1154="","",IFERROR(INDEX(Settings!$C$8:$C$19,MATCH(G1154,Settings!$B$8:$B$19,0)),"?"))</f>
        <v/>
      </c>
      <c r="K1154" s="35" t="str">
        <f aca="false">IF(A1154="","",DATE(YEAR(A1154),MONTH(A1154),1))</f>
        <v/>
      </c>
      <c r="L1154" s="28" t="str">
        <f aca="false">IF(E1154="","",IFERROR(INDEX(Settings!$K$8:$K$38,MATCH(E1154,Settings!$H$8:$H$38,0))&amp;"",""))</f>
        <v/>
      </c>
    </row>
    <row r="1155" customFormat="false" ht="15" hidden="false" customHeight="false" outlineLevel="0" collapsed="false">
      <c r="A1155" s="33"/>
      <c r="B1155" s="27"/>
      <c r="C1155" s="27"/>
      <c r="D1155" s="27"/>
      <c r="E1155" s="27"/>
      <c r="F1155" s="34"/>
      <c r="G1155" s="27"/>
      <c r="H1155" s="27"/>
      <c r="I1155" s="28" t="str">
        <f aca="false">IF(C1155="","",IFERROR(INDEX(Settings!$C$8:$C$19,MATCH(C1155,Settings!$B$8:$B$19,0)),"?"))</f>
        <v/>
      </c>
      <c r="J1155" s="28" t="str">
        <f aca="false">IF(G1155="","",IFERROR(INDEX(Settings!$C$8:$C$19,MATCH(G1155,Settings!$B$8:$B$19,0)),"?"))</f>
        <v/>
      </c>
      <c r="K1155" s="35" t="str">
        <f aca="false">IF(A1155="","",DATE(YEAR(A1155),MONTH(A1155),1))</f>
        <v/>
      </c>
      <c r="L1155" s="28" t="str">
        <f aca="false">IF(E1155="","",IFERROR(INDEX(Settings!$K$8:$K$38,MATCH(E1155,Settings!$H$8:$H$38,0))&amp;"",""))</f>
        <v/>
      </c>
    </row>
    <row r="1156" customFormat="false" ht="15" hidden="false" customHeight="false" outlineLevel="0" collapsed="false">
      <c r="A1156" s="33"/>
      <c r="B1156" s="27"/>
      <c r="C1156" s="27"/>
      <c r="D1156" s="27"/>
      <c r="E1156" s="27"/>
      <c r="F1156" s="34"/>
      <c r="G1156" s="27"/>
      <c r="H1156" s="27"/>
      <c r="I1156" s="28" t="str">
        <f aca="false">IF(C1156="","",IFERROR(INDEX(Settings!$C$8:$C$19,MATCH(C1156,Settings!$B$8:$B$19,0)),"?"))</f>
        <v/>
      </c>
      <c r="J1156" s="28" t="str">
        <f aca="false">IF(G1156="","",IFERROR(INDEX(Settings!$C$8:$C$19,MATCH(G1156,Settings!$B$8:$B$19,0)),"?"))</f>
        <v/>
      </c>
      <c r="K1156" s="35" t="str">
        <f aca="false">IF(A1156="","",DATE(YEAR(A1156),MONTH(A1156),1))</f>
        <v/>
      </c>
      <c r="L1156" s="28" t="str">
        <f aca="false">IF(E1156="","",IFERROR(INDEX(Settings!$K$8:$K$38,MATCH(E1156,Settings!$H$8:$H$38,0))&amp;"",""))</f>
        <v/>
      </c>
    </row>
    <row r="1157" customFormat="false" ht="15" hidden="false" customHeight="false" outlineLevel="0" collapsed="false">
      <c r="A1157" s="33"/>
      <c r="B1157" s="27"/>
      <c r="C1157" s="27"/>
      <c r="D1157" s="27"/>
      <c r="E1157" s="27"/>
      <c r="F1157" s="34"/>
      <c r="G1157" s="27"/>
      <c r="H1157" s="27"/>
      <c r="I1157" s="28" t="str">
        <f aca="false">IF(C1157="","",IFERROR(INDEX(Settings!$C$8:$C$19,MATCH(C1157,Settings!$B$8:$B$19,0)),"?"))</f>
        <v/>
      </c>
      <c r="J1157" s="28" t="str">
        <f aca="false">IF(G1157="","",IFERROR(INDEX(Settings!$C$8:$C$19,MATCH(G1157,Settings!$B$8:$B$19,0)),"?"))</f>
        <v/>
      </c>
      <c r="K1157" s="35" t="str">
        <f aca="false">IF(A1157="","",DATE(YEAR(A1157),MONTH(A1157),1))</f>
        <v/>
      </c>
      <c r="L1157" s="28" t="str">
        <f aca="false">IF(E1157="","",IFERROR(INDEX(Settings!$K$8:$K$38,MATCH(E1157,Settings!$H$8:$H$38,0))&amp;"",""))</f>
        <v/>
      </c>
    </row>
    <row r="1158" customFormat="false" ht="15" hidden="false" customHeight="false" outlineLevel="0" collapsed="false">
      <c r="A1158" s="33"/>
      <c r="B1158" s="27"/>
      <c r="C1158" s="27"/>
      <c r="D1158" s="27"/>
      <c r="E1158" s="27"/>
      <c r="F1158" s="34"/>
      <c r="G1158" s="27"/>
      <c r="H1158" s="27"/>
      <c r="I1158" s="28" t="str">
        <f aca="false">IF(C1158="","",IFERROR(INDEX(Settings!$C$8:$C$19,MATCH(C1158,Settings!$B$8:$B$19,0)),"?"))</f>
        <v/>
      </c>
      <c r="J1158" s="28" t="str">
        <f aca="false">IF(G1158="","",IFERROR(INDEX(Settings!$C$8:$C$19,MATCH(G1158,Settings!$B$8:$B$19,0)),"?"))</f>
        <v/>
      </c>
      <c r="K1158" s="35" t="str">
        <f aca="false">IF(A1158="","",DATE(YEAR(A1158),MONTH(A1158),1))</f>
        <v/>
      </c>
      <c r="L1158" s="28" t="str">
        <f aca="false">IF(E1158="","",IFERROR(INDEX(Settings!$K$8:$K$38,MATCH(E1158,Settings!$H$8:$H$38,0))&amp;"",""))</f>
        <v/>
      </c>
    </row>
    <row r="1159" customFormat="false" ht="15" hidden="false" customHeight="false" outlineLevel="0" collapsed="false">
      <c r="A1159" s="33"/>
      <c r="B1159" s="27"/>
      <c r="C1159" s="27"/>
      <c r="D1159" s="27"/>
      <c r="E1159" s="27"/>
      <c r="F1159" s="34"/>
      <c r="G1159" s="27"/>
      <c r="H1159" s="27"/>
      <c r="I1159" s="28" t="str">
        <f aca="false">IF(C1159="","",IFERROR(INDEX(Settings!$C$8:$C$19,MATCH(C1159,Settings!$B$8:$B$19,0)),"?"))</f>
        <v/>
      </c>
      <c r="J1159" s="28" t="str">
        <f aca="false">IF(G1159="","",IFERROR(INDEX(Settings!$C$8:$C$19,MATCH(G1159,Settings!$B$8:$B$19,0)),"?"))</f>
        <v/>
      </c>
      <c r="K1159" s="35" t="str">
        <f aca="false">IF(A1159="","",DATE(YEAR(A1159),MONTH(A1159),1))</f>
        <v/>
      </c>
      <c r="L1159" s="28" t="str">
        <f aca="false">IF(E1159="","",IFERROR(INDEX(Settings!$K$8:$K$38,MATCH(E1159,Settings!$H$8:$H$38,0))&amp;"",""))</f>
        <v/>
      </c>
    </row>
    <row r="1160" customFormat="false" ht="15" hidden="false" customHeight="false" outlineLevel="0" collapsed="false">
      <c r="A1160" s="33"/>
      <c r="B1160" s="27"/>
      <c r="C1160" s="27"/>
      <c r="D1160" s="27"/>
      <c r="E1160" s="27"/>
      <c r="F1160" s="34"/>
      <c r="G1160" s="27"/>
      <c r="H1160" s="27"/>
      <c r="I1160" s="28" t="str">
        <f aca="false">IF(C1160="","",IFERROR(INDEX(Settings!$C$8:$C$19,MATCH(C1160,Settings!$B$8:$B$19,0)),"?"))</f>
        <v/>
      </c>
      <c r="J1160" s="28" t="str">
        <f aca="false">IF(G1160="","",IFERROR(INDEX(Settings!$C$8:$C$19,MATCH(G1160,Settings!$B$8:$B$19,0)),"?"))</f>
        <v/>
      </c>
      <c r="K1160" s="35" t="str">
        <f aca="false">IF(A1160="","",DATE(YEAR(A1160),MONTH(A1160),1))</f>
        <v/>
      </c>
      <c r="L1160" s="28" t="str">
        <f aca="false">IF(E1160="","",IFERROR(INDEX(Settings!$K$8:$K$38,MATCH(E1160,Settings!$H$8:$H$38,0))&amp;"",""))</f>
        <v/>
      </c>
    </row>
    <row r="1161" customFormat="false" ht="15" hidden="false" customHeight="false" outlineLevel="0" collapsed="false">
      <c r="A1161" s="33"/>
      <c r="B1161" s="27"/>
      <c r="C1161" s="27"/>
      <c r="D1161" s="27"/>
      <c r="E1161" s="27"/>
      <c r="F1161" s="34"/>
      <c r="G1161" s="27"/>
      <c r="H1161" s="27"/>
      <c r="I1161" s="28" t="str">
        <f aca="false">IF(C1161="","",IFERROR(INDEX(Settings!$C$8:$C$19,MATCH(C1161,Settings!$B$8:$B$19,0)),"?"))</f>
        <v/>
      </c>
      <c r="J1161" s="28" t="str">
        <f aca="false">IF(G1161="","",IFERROR(INDEX(Settings!$C$8:$C$19,MATCH(G1161,Settings!$B$8:$B$19,0)),"?"))</f>
        <v/>
      </c>
      <c r="K1161" s="35" t="str">
        <f aca="false">IF(A1161="","",DATE(YEAR(A1161),MONTH(A1161),1))</f>
        <v/>
      </c>
      <c r="L1161" s="28" t="str">
        <f aca="false">IF(E1161="","",IFERROR(INDEX(Settings!$K$8:$K$38,MATCH(E1161,Settings!$H$8:$H$38,0))&amp;"",""))</f>
        <v/>
      </c>
    </row>
    <row r="1162" customFormat="false" ht="15" hidden="false" customHeight="false" outlineLevel="0" collapsed="false">
      <c r="A1162" s="33"/>
      <c r="B1162" s="27"/>
      <c r="C1162" s="27"/>
      <c r="D1162" s="27"/>
      <c r="E1162" s="27"/>
      <c r="F1162" s="34"/>
      <c r="G1162" s="27"/>
      <c r="H1162" s="27"/>
      <c r="I1162" s="28" t="str">
        <f aca="false">IF(C1162="","",IFERROR(INDEX(Settings!$C$8:$C$19,MATCH(C1162,Settings!$B$8:$B$19,0)),"?"))</f>
        <v/>
      </c>
      <c r="J1162" s="28" t="str">
        <f aca="false">IF(G1162="","",IFERROR(INDEX(Settings!$C$8:$C$19,MATCH(G1162,Settings!$B$8:$B$19,0)),"?"))</f>
        <v/>
      </c>
      <c r="K1162" s="35" t="str">
        <f aca="false">IF(A1162="","",DATE(YEAR(A1162),MONTH(A1162),1))</f>
        <v/>
      </c>
      <c r="L1162" s="28" t="str">
        <f aca="false">IF(E1162="","",IFERROR(INDEX(Settings!$K$8:$K$38,MATCH(E1162,Settings!$H$8:$H$38,0))&amp;"",""))</f>
        <v/>
      </c>
    </row>
    <row r="1163" customFormat="false" ht="15" hidden="false" customHeight="false" outlineLevel="0" collapsed="false">
      <c r="A1163" s="33"/>
      <c r="B1163" s="27"/>
      <c r="C1163" s="27"/>
      <c r="D1163" s="27"/>
      <c r="E1163" s="27"/>
      <c r="F1163" s="34"/>
      <c r="G1163" s="27"/>
      <c r="H1163" s="27"/>
      <c r="I1163" s="28" t="str">
        <f aca="false">IF(C1163="","",IFERROR(INDEX(Settings!$C$8:$C$19,MATCH(C1163,Settings!$B$8:$B$19,0)),"?"))</f>
        <v/>
      </c>
      <c r="J1163" s="28" t="str">
        <f aca="false">IF(G1163="","",IFERROR(INDEX(Settings!$C$8:$C$19,MATCH(G1163,Settings!$B$8:$B$19,0)),"?"))</f>
        <v/>
      </c>
      <c r="K1163" s="35" t="str">
        <f aca="false">IF(A1163="","",DATE(YEAR(A1163),MONTH(A1163),1))</f>
        <v/>
      </c>
      <c r="L1163" s="28" t="str">
        <f aca="false">IF(E1163="","",IFERROR(INDEX(Settings!$K$8:$K$38,MATCH(E1163,Settings!$H$8:$H$38,0))&amp;"",""))</f>
        <v/>
      </c>
    </row>
    <row r="1164" customFormat="false" ht="15" hidden="false" customHeight="false" outlineLevel="0" collapsed="false">
      <c r="A1164" s="33"/>
      <c r="B1164" s="27"/>
      <c r="C1164" s="27"/>
      <c r="D1164" s="27"/>
      <c r="E1164" s="27"/>
      <c r="F1164" s="34"/>
      <c r="G1164" s="27"/>
      <c r="H1164" s="27"/>
      <c r="I1164" s="28" t="str">
        <f aca="false">IF(C1164="","",IFERROR(INDEX(Settings!$C$8:$C$19,MATCH(C1164,Settings!$B$8:$B$19,0)),"?"))</f>
        <v/>
      </c>
      <c r="J1164" s="28" t="str">
        <f aca="false">IF(G1164="","",IFERROR(INDEX(Settings!$C$8:$C$19,MATCH(G1164,Settings!$B$8:$B$19,0)),"?"))</f>
        <v/>
      </c>
      <c r="K1164" s="35" t="str">
        <f aca="false">IF(A1164="","",DATE(YEAR(A1164),MONTH(A1164),1))</f>
        <v/>
      </c>
      <c r="L1164" s="28" t="str">
        <f aca="false">IF(E1164="","",IFERROR(INDEX(Settings!$K$8:$K$38,MATCH(E1164,Settings!$H$8:$H$38,0))&amp;"",""))</f>
        <v/>
      </c>
    </row>
    <row r="1165" customFormat="false" ht="15" hidden="false" customHeight="false" outlineLevel="0" collapsed="false">
      <c r="A1165" s="33"/>
      <c r="B1165" s="27"/>
      <c r="C1165" s="27"/>
      <c r="D1165" s="27"/>
      <c r="E1165" s="27"/>
      <c r="F1165" s="34"/>
      <c r="G1165" s="27"/>
      <c r="H1165" s="27"/>
      <c r="I1165" s="28" t="str">
        <f aca="false">IF(C1165="","",IFERROR(INDEX(Settings!$C$8:$C$19,MATCH(C1165,Settings!$B$8:$B$19,0)),"?"))</f>
        <v/>
      </c>
      <c r="J1165" s="28" t="str">
        <f aca="false">IF(G1165="","",IFERROR(INDEX(Settings!$C$8:$C$19,MATCH(G1165,Settings!$B$8:$B$19,0)),"?"))</f>
        <v/>
      </c>
      <c r="K1165" s="35" t="str">
        <f aca="false">IF(A1165="","",DATE(YEAR(A1165),MONTH(A1165),1))</f>
        <v/>
      </c>
      <c r="L1165" s="28" t="str">
        <f aca="false">IF(E1165="","",IFERROR(INDEX(Settings!$K$8:$K$38,MATCH(E1165,Settings!$H$8:$H$38,0))&amp;"",""))</f>
        <v/>
      </c>
    </row>
    <row r="1166" customFormat="false" ht="15" hidden="false" customHeight="false" outlineLevel="0" collapsed="false">
      <c r="A1166" s="33"/>
      <c r="B1166" s="27"/>
      <c r="C1166" s="27"/>
      <c r="D1166" s="27"/>
      <c r="E1166" s="27"/>
      <c r="F1166" s="34"/>
      <c r="G1166" s="27"/>
      <c r="H1166" s="27"/>
      <c r="I1166" s="28" t="str">
        <f aca="false">IF(C1166="","",IFERROR(INDEX(Settings!$C$8:$C$19,MATCH(C1166,Settings!$B$8:$B$19,0)),"?"))</f>
        <v/>
      </c>
      <c r="J1166" s="28" t="str">
        <f aca="false">IF(G1166="","",IFERROR(INDEX(Settings!$C$8:$C$19,MATCH(G1166,Settings!$B$8:$B$19,0)),"?"))</f>
        <v/>
      </c>
      <c r="K1166" s="35" t="str">
        <f aca="false">IF(A1166="","",DATE(YEAR(A1166),MONTH(A1166),1))</f>
        <v/>
      </c>
      <c r="L1166" s="28" t="str">
        <f aca="false">IF(E1166="","",IFERROR(INDEX(Settings!$K$8:$K$38,MATCH(E1166,Settings!$H$8:$H$38,0))&amp;"",""))</f>
        <v/>
      </c>
    </row>
    <row r="1167" customFormat="false" ht="15" hidden="false" customHeight="false" outlineLevel="0" collapsed="false">
      <c r="A1167" s="33"/>
      <c r="B1167" s="27"/>
      <c r="C1167" s="27"/>
      <c r="D1167" s="27"/>
      <c r="E1167" s="27"/>
      <c r="F1167" s="34"/>
      <c r="G1167" s="27"/>
      <c r="H1167" s="27"/>
      <c r="I1167" s="28" t="str">
        <f aca="false">IF(C1167="","",IFERROR(INDEX(Settings!$C$8:$C$19,MATCH(C1167,Settings!$B$8:$B$19,0)),"?"))</f>
        <v/>
      </c>
      <c r="J1167" s="28" t="str">
        <f aca="false">IF(G1167="","",IFERROR(INDEX(Settings!$C$8:$C$19,MATCH(G1167,Settings!$B$8:$B$19,0)),"?"))</f>
        <v/>
      </c>
      <c r="K1167" s="35" t="str">
        <f aca="false">IF(A1167="","",DATE(YEAR(A1167),MONTH(A1167),1))</f>
        <v/>
      </c>
      <c r="L1167" s="28" t="str">
        <f aca="false">IF(E1167="","",IFERROR(INDEX(Settings!$K$8:$K$38,MATCH(E1167,Settings!$H$8:$H$38,0))&amp;"",""))</f>
        <v/>
      </c>
    </row>
    <row r="1168" customFormat="false" ht="15" hidden="false" customHeight="false" outlineLevel="0" collapsed="false">
      <c r="A1168" s="33"/>
      <c r="B1168" s="27"/>
      <c r="C1168" s="27"/>
      <c r="D1168" s="27"/>
      <c r="E1168" s="27"/>
      <c r="F1168" s="34"/>
      <c r="G1168" s="27"/>
      <c r="H1168" s="27"/>
      <c r="I1168" s="28" t="str">
        <f aca="false">IF(C1168="","",IFERROR(INDEX(Settings!$C$8:$C$19,MATCH(C1168,Settings!$B$8:$B$19,0)),"?"))</f>
        <v/>
      </c>
      <c r="J1168" s="28" t="str">
        <f aca="false">IF(G1168="","",IFERROR(INDEX(Settings!$C$8:$C$19,MATCH(G1168,Settings!$B$8:$B$19,0)),"?"))</f>
        <v/>
      </c>
      <c r="K1168" s="35" t="str">
        <f aca="false">IF(A1168="","",DATE(YEAR(A1168),MONTH(A1168),1))</f>
        <v/>
      </c>
      <c r="L1168" s="28" t="str">
        <f aca="false">IF(E1168="","",IFERROR(INDEX(Settings!$K$8:$K$38,MATCH(E1168,Settings!$H$8:$H$38,0))&amp;"",""))</f>
        <v/>
      </c>
    </row>
    <row r="1169" customFormat="false" ht="15" hidden="false" customHeight="false" outlineLevel="0" collapsed="false">
      <c r="A1169" s="33"/>
      <c r="B1169" s="27"/>
      <c r="C1169" s="27"/>
      <c r="D1169" s="27"/>
      <c r="E1169" s="27"/>
      <c r="F1169" s="34"/>
      <c r="G1169" s="27"/>
      <c r="H1169" s="27"/>
      <c r="I1169" s="28" t="str">
        <f aca="false">IF(C1169="","",IFERROR(INDEX(Settings!$C$8:$C$19,MATCH(C1169,Settings!$B$8:$B$19,0)),"?"))</f>
        <v/>
      </c>
      <c r="J1169" s="28" t="str">
        <f aca="false">IF(G1169="","",IFERROR(INDEX(Settings!$C$8:$C$19,MATCH(G1169,Settings!$B$8:$B$19,0)),"?"))</f>
        <v/>
      </c>
      <c r="K1169" s="35" t="str">
        <f aca="false">IF(A1169="","",DATE(YEAR(A1169),MONTH(A1169),1))</f>
        <v/>
      </c>
      <c r="L1169" s="28" t="str">
        <f aca="false">IF(E1169="","",IFERROR(INDEX(Settings!$K$8:$K$38,MATCH(E1169,Settings!$H$8:$H$38,0))&amp;"",""))</f>
        <v/>
      </c>
    </row>
    <row r="1170" customFormat="false" ht="15" hidden="false" customHeight="false" outlineLevel="0" collapsed="false">
      <c r="A1170" s="33"/>
      <c r="B1170" s="27"/>
      <c r="C1170" s="27"/>
      <c r="D1170" s="27"/>
      <c r="E1170" s="27"/>
      <c r="F1170" s="34"/>
      <c r="G1170" s="27"/>
      <c r="H1170" s="27"/>
      <c r="I1170" s="28" t="str">
        <f aca="false">IF(C1170="","",IFERROR(INDEX(Settings!$C$8:$C$19,MATCH(C1170,Settings!$B$8:$B$19,0)),"?"))</f>
        <v/>
      </c>
      <c r="J1170" s="28" t="str">
        <f aca="false">IF(G1170="","",IFERROR(INDEX(Settings!$C$8:$C$19,MATCH(G1170,Settings!$B$8:$B$19,0)),"?"))</f>
        <v/>
      </c>
      <c r="K1170" s="35" t="str">
        <f aca="false">IF(A1170="","",DATE(YEAR(A1170),MONTH(A1170),1))</f>
        <v/>
      </c>
      <c r="L1170" s="28" t="str">
        <f aca="false">IF(E1170="","",IFERROR(INDEX(Settings!$K$8:$K$38,MATCH(E1170,Settings!$H$8:$H$38,0))&amp;"",""))</f>
        <v/>
      </c>
    </row>
    <row r="1171" customFormat="false" ht="15" hidden="false" customHeight="false" outlineLevel="0" collapsed="false">
      <c r="A1171" s="33"/>
      <c r="B1171" s="27"/>
      <c r="C1171" s="27"/>
      <c r="D1171" s="27"/>
      <c r="E1171" s="27"/>
      <c r="F1171" s="34"/>
      <c r="G1171" s="27"/>
      <c r="H1171" s="27"/>
      <c r="I1171" s="28" t="str">
        <f aca="false">IF(C1171="","",IFERROR(INDEX(Settings!$C$8:$C$19,MATCH(C1171,Settings!$B$8:$B$19,0)),"?"))</f>
        <v/>
      </c>
      <c r="J1171" s="28" t="str">
        <f aca="false">IF(G1171="","",IFERROR(INDEX(Settings!$C$8:$C$19,MATCH(G1171,Settings!$B$8:$B$19,0)),"?"))</f>
        <v/>
      </c>
      <c r="K1171" s="35" t="str">
        <f aca="false">IF(A1171="","",DATE(YEAR(A1171),MONTH(A1171),1))</f>
        <v/>
      </c>
      <c r="L1171" s="28" t="str">
        <f aca="false">IF(E1171="","",IFERROR(INDEX(Settings!$K$8:$K$38,MATCH(E1171,Settings!$H$8:$H$38,0))&amp;"",""))</f>
        <v/>
      </c>
    </row>
    <row r="1172" customFormat="false" ht="15" hidden="false" customHeight="false" outlineLevel="0" collapsed="false">
      <c r="A1172" s="33"/>
      <c r="B1172" s="27"/>
      <c r="C1172" s="27"/>
      <c r="D1172" s="27"/>
      <c r="E1172" s="27"/>
      <c r="F1172" s="34"/>
      <c r="G1172" s="27"/>
      <c r="H1172" s="27"/>
      <c r="I1172" s="28" t="str">
        <f aca="false">IF(C1172="","",IFERROR(INDEX(Settings!$C$8:$C$19,MATCH(C1172,Settings!$B$8:$B$19,0)),"?"))</f>
        <v/>
      </c>
      <c r="J1172" s="28" t="str">
        <f aca="false">IF(G1172="","",IFERROR(INDEX(Settings!$C$8:$C$19,MATCH(G1172,Settings!$B$8:$B$19,0)),"?"))</f>
        <v/>
      </c>
      <c r="K1172" s="35" t="str">
        <f aca="false">IF(A1172="","",DATE(YEAR(A1172),MONTH(A1172),1))</f>
        <v/>
      </c>
      <c r="L1172" s="28" t="str">
        <f aca="false">IF(E1172="","",IFERROR(INDEX(Settings!$K$8:$K$38,MATCH(E1172,Settings!$H$8:$H$38,0))&amp;"",""))</f>
        <v/>
      </c>
    </row>
    <row r="1173" customFormat="false" ht="15" hidden="false" customHeight="false" outlineLevel="0" collapsed="false">
      <c r="A1173" s="33"/>
      <c r="B1173" s="27"/>
      <c r="C1173" s="27"/>
      <c r="D1173" s="27"/>
      <c r="E1173" s="27"/>
      <c r="F1173" s="34"/>
      <c r="G1173" s="27"/>
      <c r="H1173" s="27"/>
      <c r="I1173" s="28" t="str">
        <f aca="false">IF(C1173="","",IFERROR(INDEX(Settings!$C$8:$C$19,MATCH(C1173,Settings!$B$8:$B$19,0)),"?"))</f>
        <v/>
      </c>
      <c r="J1173" s="28" t="str">
        <f aca="false">IF(G1173="","",IFERROR(INDEX(Settings!$C$8:$C$19,MATCH(G1173,Settings!$B$8:$B$19,0)),"?"))</f>
        <v/>
      </c>
      <c r="K1173" s="35" t="str">
        <f aca="false">IF(A1173="","",DATE(YEAR(A1173),MONTH(A1173),1))</f>
        <v/>
      </c>
      <c r="L1173" s="28" t="str">
        <f aca="false">IF(E1173="","",IFERROR(INDEX(Settings!$K$8:$K$38,MATCH(E1173,Settings!$H$8:$H$38,0))&amp;"",""))</f>
        <v/>
      </c>
    </row>
    <row r="1174" customFormat="false" ht="15" hidden="false" customHeight="false" outlineLevel="0" collapsed="false">
      <c r="A1174" s="33"/>
      <c r="B1174" s="27"/>
      <c r="C1174" s="27"/>
      <c r="D1174" s="27"/>
      <c r="E1174" s="27"/>
      <c r="F1174" s="34"/>
      <c r="G1174" s="27"/>
      <c r="H1174" s="27"/>
      <c r="I1174" s="28" t="str">
        <f aca="false">IF(C1174="","",IFERROR(INDEX(Settings!$C$8:$C$19,MATCH(C1174,Settings!$B$8:$B$19,0)),"?"))</f>
        <v/>
      </c>
      <c r="J1174" s="28" t="str">
        <f aca="false">IF(G1174="","",IFERROR(INDEX(Settings!$C$8:$C$19,MATCH(G1174,Settings!$B$8:$B$19,0)),"?"))</f>
        <v/>
      </c>
      <c r="K1174" s="35" t="str">
        <f aca="false">IF(A1174="","",DATE(YEAR(A1174),MONTH(A1174),1))</f>
        <v/>
      </c>
      <c r="L1174" s="28" t="str">
        <f aca="false">IF(E1174="","",IFERROR(INDEX(Settings!$K$8:$K$38,MATCH(E1174,Settings!$H$8:$H$38,0))&amp;"",""))</f>
        <v/>
      </c>
    </row>
    <row r="1175" customFormat="false" ht="15" hidden="false" customHeight="false" outlineLevel="0" collapsed="false">
      <c r="A1175" s="33"/>
      <c r="B1175" s="27"/>
      <c r="C1175" s="27"/>
      <c r="D1175" s="27"/>
      <c r="E1175" s="27"/>
      <c r="F1175" s="34"/>
      <c r="G1175" s="27"/>
      <c r="H1175" s="27"/>
      <c r="I1175" s="28" t="str">
        <f aca="false">IF(C1175="","",IFERROR(INDEX(Settings!$C$8:$C$19,MATCH(C1175,Settings!$B$8:$B$19,0)),"?"))</f>
        <v/>
      </c>
      <c r="J1175" s="28" t="str">
        <f aca="false">IF(G1175="","",IFERROR(INDEX(Settings!$C$8:$C$19,MATCH(G1175,Settings!$B$8:$B$19,0)),"?"))</f>
        <v/>
      </c>
      <c r="K1175" s="35" t="str">
        <f aca="false">IF(A1175="","",DATE(YEAR(A1175),MONTH(A1175),1))</f>
        <v/>
      </c>
      <c r="L1175" s="28" t="str">
        <f aca="false">IF(E1175="","",IFERROR(INDEX(Settings!$K$8:$K$38,MATCH(E1175,Settings!$H$8:$H$38,0))&amp;"",""))</f>
        <v/>
      </c>
    </row>
    <row r="1176" customFormat="false" ht="15" hidden="false" customHeight="false" outlineLevel="0" collapsed="false">
      <c r="A1176" s="33"/>
      <c r="B1176" s="27"/>
      <c r="C1176" s="27"/>
      <c r="D1176" s="27"/>
      <c r="E1176" s="27"/>
      <c r="F1176" s="34"/>
      <c r="G1176" s="27"/>
      <c r="H1176" s="27"/>
      <c r="I1176" s="28" t="str">
        <f aca="false">IF(C1176="","",IFERROR(INDEX(Settings!$C$8:$C$19,MATCH(C1176,Settings!$B$8:$B$19,0)),"?"))</f>
        <v/>
      </c>
      <c r="J1176" s="28" t="str">
        <f aca="false">IF(G1176="","",IFERROR(INDEX(Settings!$C$8:$C$19,MATCH(G1176,Settings!$B$8:$B$19,0)),"?"))</f>
        <v/>
      </c>
      <c r="K1176" s="35" t="str">
        <f aca="false">IF(A1176="","",DATE(YEAR(A1176),MONTH(A1176),1))</f>
        <v/>
      </c>
      <c r="L1176" s="28" t="str">
        <f aca="false">IF(E1176="","",IFERROR(INDEX(Settings!$K$8:$K$38,MATCH(E1176,Settings!$H$8:$H$38,0))&amp;"",""))</f>
        <v/>
      </c>
    </row>
    <row r="1177" customFormat="false" ht="15" hidden="false" customHeight="false" outlineLevel="0" collapsed="false">
      <c r="A1177" s="33"/>
      <c r="B1177" s="27"/>
      <c r="C1177" s="27"/>
      <c r="D1177" s="27"/>
      <c r="E1177" s="27"/>
      <c r="F1177" s="34"/>
      <c r="G1177" s="27"/>
      <c r="H1177" s="27"/>
      <c r="I1177" s="28" t="str">
        <f aca="false">IF(C1177="","",IFERROR(INDEX(Settings!$C$8:$C$19,MATCH(C1177,Settings!$B$8:$B$19,0)),"?"))</f>
        <v/>
      </c>
      <c r="J1177" s="28" t="str">
        <f aca="false">IF(G1177="","",IFERROR(INDEX(Settings!$C$8:$C$19,MATCH(G1177,Settings!$B$8:$B$19,0)),"?"))</f>
        <v/>
      </c>
      <c r="K1177" s="35" t="str">
        <f aca="false">IF(A1177="","",DATE(YEAR(A1177),MONTH(A1177),1))</f>
        <v/>
      </c>
      <c r="L1177" s="28" t="str">
        <f aca="false">IF(E1177="","",IFERROR(INDEX(Settings!$K$8:$K$38,MATCH(E1177,Settings!$H$8:$H$38,0))&amp;"",""))</f>
        <v/>
      </c>
    </row>
    <row r="1178" customFormat="false" ht="15" hidden="false" customHeight="false" outlineLevel="0" collapsed="false">
      <c r="A1178" s="33"/>
      <c r="B1178" s="27"/>
      <c r="C1178" s="27"/>
      <c r="D1178" s="27"/>
      <c r="E1178" s="27"/>
      <c r="F1178" s="34"/>
      <c r="G1178" s="27"/>
      <c r="H1178" s="27"/>
      <c r="I1178" s="28" t="str">
        <f aca="false">IF(C1178="","",IFERROR(INDEX(Settings!$C$8:$C$19,MATCH(C1178,Settings!$B$8:$B$19,0)),"?"))</f>
        <v/>
      </c>
      <c r="J1178" s="28" t="str">
        <f aca="false">IF(G1178="","",IFERROR(INDEX(Settings!$C$8:$C$19,MATCH(G1178,Settings!$B$8:$B$19,0)),"?"))</f>
        <v/>
      </c>
      <c r="K1178" s="35" t="str">
        <f aca="false">IF(A1178="","",DATE(YEAR(A1178),MONTH(A1178),1))</f>
        <v/>
      </c>
      <c r="L1178" s="28" t="str">
        <f aca="false">IF(E1178="","",IFERROR(INDEX(Settings!$K$8:$K$38,MATCH(E1178,Settings!$H$8:$H$38,0))&amp;"",""))</f>
        <v/>
      </c>
    </row>
    <row r="1179" customFormat="false" ht="15" hidden="false" customHeight="false" outlineLevel="0" collapsed="false">
      <c r="A1179" s="33"/>
      <c r="B1179" s="27"/>
      <c r="C1179" s="27"/>
      <c r="D1179" s="27"/>
      <c r="E1179" s="27"/>
      <c r="F1179" s="34"/>
      <c r="G1179" s="27"/>
      <c r="H1179" s="27"/>
      <c r="I1179" s="28" t="str">
        <f aca="false">IF(C1179="","",IFERROR(INDEX(Settings!$C$8:$C$19,MATCH(C1179,Settings!$B$8:$B$19,0)),"?"))</f>
        <v/>
      </c>
      <c r="J1179" s="28" t="str">
        <f aca="false">IF(G1179="","",IFERROR(INDEX(Settings!$C$8:$C$19,MATCH(G1179,Settings!$B$8:$B$19,0)),"?"))</f>
        <v/>
      </c>
      <c r="K1179" s="35" t="str">
        <f aca="false">IF(A1179="","",DATE(YEAR(A1179),MONTH(A1179),1))</f>
        <v/>
      </c>
      <c r="L1179" s="28" t="str">
        <f aca="false">IF(E1179="","",IFERROR(INDEX(Settings!$K$8:$K$38,MATCH(E1179,Settings!$H$8:$H$38,0))&amp;"",""))</f>
        <v/>
      </c>
    </row>
    <row r="1180" customFormat="false" ht="15" hidden="false" customHeight="false" outlineLevel="0" collapsed="false">
      <c r="A1180" s="33"/>
      <c r="B1180" s="27"/>
      <c r="C1180" s="27"/>
      <c r="D1180" s="27"/>
      <c r="E1180" s="27"/>
      <c r="F1180" s="34"/>
      <c r="G1180" s="27"/>
      <c r="H1180" s="27"/>
      <c r="I1180" s="28" t="str">
        <f aca="false">IF(C1180="","",IFERROR(INDEX(Settings!$C$8:$C$19,MATCH(C1180,Settings!$B$8:$B$19,0)),"?"))</f>
        <v/>
      </c>
      <c r="J1180" s="28" t="str">
        <f aca="false">IF(G1180="","",IFERROR(INDEX(Settings!$C$8:$C$19,MATCH(G1180,Settings!$B$8:$B$19,0)),"?"))</f>
        <v/>
      </c>
      <c r="K1180" s="35" t="str">
        <f aca="false">IF(A1180="","",DATE(YEAR(A1180),MONTH(A1180),1))</f>
        <v/>
      </c>
      <c r="L1180" s="28" t="str">
        <f aca="false">IF(E1180="","",IFERROR(INDEX(Settings!$K$8:$K$38,MATCH(E1180,Settings!$H$8:$H$38,0))&amp;"",""))</f>
        <v/>
      </c>
    </row>
    <row r="1181" customFormat="false" ht="15" hidden="false" customHeight="false" outlineLevel="0" collapsed="false">
      <c r="A1181" s="33"/>
      <c r="B1181" s="27"/>
      <c r="C1181" s="27"/>
      <c r="D1181" s="27"/>
      <c r="E1181" s="27"/>
      <c r="F1181" s="34"/>
      <c r="G1181" s="27"/>
      <c r="H1181" s="27"/>
      <c r="I1181" s="28" t="str">
        <f aca="false">IF(C1181="","",IFERROR(INDEX(Settings!$C$8:$C$19,MATCH(C1181,Settings!$B$8:$B$19,0)),"?"))</f>
        <v/>
      </c>
      <c r="J1181" s="28" t="str">
        <f aca="false">IF(G1181="","",IFERROR(INDEX(Settings!$C$8:$C$19,MATCH(G1181,Settings!$B$8:$B$19,0)),"?"))</f>
        <v/>
      </c>
      <c r="K1181" s="35" t="str">
        <f aca="false">IF(A1181="","",DATE(YEAR(A1181),MONTH(A1181),1))</f>
        <v/>
      </c>
      <c r="L1181" s="28" t="str">
        <f aca="false">IF(E1181="","",IFERROR(INDEX(Settings!$K$8:$K$38,MATCH(E1181,Settings!$H$8:$H$38,0))&amp;"",""))</f>
        <v/>
      </c>
    </row>
    <row r="1182" customFormat="false" ht="15" hidden="false" customHeight="false" outlineLevel="0" collapsed="false">
      <c r="A1182" s="33"/>
      <c r="B1182" s="27"/>
      <c r="C1182" s="27"/>
      <c r="D1182" s="27"/>
      <c r="E1182" s="27"/>
      <c r="F1182" s="34"/>
      <c r="G1182" s="27"/>
      <c r="H1182" s="27"/>
      <c r="I1182" s="28" t="str">
        <f aca="false">IF(C1182="","",IFERROR(INDEX(Settings!$C$8:$C$19,MATCH(C1182,Settings!$B$8:$B$19,0)),"?"))</f>
        <v/>
      </c>
      <c r="J1182" s="28" t="str">
        <f aca="false">IF(G1182="","",IFERROR(INDEX(Settings!$C$8:$C$19,MATCH(G1182,Settings!$B$8:$B$19,0)),"?"))</f>
        <v/>
      </c>
      <c r="K1182" s="35" t="str">
        <f aca="false">IF(A1182="","",DATE(YEAR(A1182),MONTH(A1182),1))</f>
        <v/>
      </c>
      <c r="L1182" s="28" t="str">
        <f aca="false">IF(E1182="","",IFERROR(INDEX(Settings!$K$8:$K$38,MATCH(E1182,Settings!$H$8:$H$38,0))&amp;"",""))</f>
        <v/>
      </c>
    </row>
    <row r="1183" customFormat="false" ht="15" hidden="false" customHeight="false" outlineLevel="0" collapsed="false">
      <c r="A1183" s="33"/>
      <c r="B1183" s="27"/>
      <c r="C1183" s="27"/>
      <c r="D1183" s="27"/>
      <c r="E1183" s="27"/>
      <c r="F1183" s="34"/>
      <c r="G1183" s="27"/>
      <c r="H1183" s="27"/>
      <c r="I1183" s="28" t="str">
        <f aca="false">IF(C1183="","",IFERROR(INDEX(Settings!$C$8:$C$19,MATCH(C1183,Settings!$B$8:$B$19,0)),"?"))</f>
        <v/>
      </c>
      <c r="J1183" s="28" t="str">
        <f aca="false">IF(G1183="","",IFERROR(INDEX(Settings!$C$8:$C$19,MATCH(G1183,Settings!$B$8:$B$19,0)),"?"))</f>
        <v/>
      </c>
      <c r="K1183" s="35" t="str">
        <f aca="false">IF(A1183="","",DATE(YEAR(A1183),MONTH(A1183),1))</f>
        <v/>
      </c>
      <c r="L1183" s="28" t="str">
        <f aca="false">IF(E1183="","",IFERROR(INDEX(Settings!$K$8:$K$38,MATCH(E1183,Settings!$H$8:$H$38,0))&amp;"",""))</f>
        <v/>
      </c>
    </row>
    <row r="1184" customFormat="false" ht="15" hidden="false" customHeight="false" outlineLevel="0" collapsed="false">
      <c r="A1184" s="33"/>
      <c r="B1184" s="27"/>
      <c r="C1184" s="27"/>
      <c r="D1184" s="27"/>
      <c r="E1184" s="27"/>
      <c r="F1184" s="34"/>
      <c r="G1184" s="27"/>
      <c r="H1184" s="27"/>
      <c r="I1184" s="28" t="str">
        <f aca="false">IF(C1184="","",IFERROR(INDEX(Settings!$C$8:$C$19,MATCH(C1184,Settings!$B$8:$B$19,0)),"?"))</f>
        <v/>
      </c>
      <c r="J1184" s="28" t="str">
        <f aca="false">IF(G1184="","",IFERROR(INDEX(Settings!$C$8:$C$19,MATCH(G1184,Settings!$B$8:$B$19,0)),"?"))</f>
        <v/>
      </c>
      <c r="K1184" s="35" t="str">
        <f aca="false">IF(A1184="","",DATE(YEAR(A1184),MONTH(A1184),1))</f>
        <v/>
      </c>
      <c r="L1184" s="28" t="str">
        <f aca="false">IF(E1184="","",IFERROR(INDEX(Settings!$K$8:$K$38,MATCH(E1184,Settings!$H$8:$H$38,0))&amp;"",""))</f>
        <v/>
      </c>
    </row>
    <row r="1185" customFormat="false" ht="15" hidden="false" customHeight="false" outlineLevel="0" collapsed="false">
      <c r="A1185" s="33"/>
      <c r="B1185" s="27"/>
      <c r="C1185" s="27"/>
      <c r="D1185" s="27"/>
      <c r="E1185" s="27"/>
      <c r="F1185" s="34"/>
      <c r="G1185" s="27"/>
      <c r="H1185" s="27"/>
      <c r="I1185" s="28" t="str">
        <f aca="false">IF(C1185="","",IFERROR(INDEX(Settings!$C$8:$C$19,MATCH(C1185,Settings!$B$8:$B$19,0)),"?"))</f>
        <v/>
      </c>
      <c r="J1185" s="28" t="str">
        <f aca="false">IF(G1185="","",IFERROR(INDEX(Settings!$C$8:$C$19,MATCH(G1185,Settings!$B$8:$B$19,0)),"?"))</f>
        <v/>
      </c>
      <c r="K1185" s="35" t="str">
        <f aca="false">IF(A1185="","",DATE(YEAR(A1185),MONTH(A1185),1))</f>
        <v/>
      </c>
      <c r="L1185" s="28" t="str">
        <f aca="false">IF(E1185="","",IFERROR(INDEX(Settings!$K$8:$K$38,MATCH(E1185,Settings!$H$8:$H$38,0))&amp;"",""))</f>
        <v/>
      </c>
    </row>
    <row r="1186" customFormat="false" ht="15" hidden="false" customHeight="false" outlineLevel="0" collapsed="false">
      <c r="A1186" s="33"/>
      <c r="B1186" s="27"/>
      <c r="C1186" s="27"/>
      <c r="D1186" s="27"/>
      <c r="E1186" s="27"/>
      <c r="F1186" s="34"/>
      <c r="G1186" s="27"/>
      <c r="H1186" s="27"/>
      <c r="I1186" s="28" t="str">
        <f aca="false">IF(C1186="","",IFERROR(INDEX(Settings!$C$8:$C$19,MATCH(C1186,Settings!$B$8:$B$19,0)),"?"))</f>
        <v/>
      </c>
      <c r="J1186" s="28" t="str">
        <f aca="false">IF(G1186="","",IFERROR(INDEX(Settings!$C$8:$C$19,MATCH(G1186,Settings!$B$8:$B$19,0)),"?"))</f>
        <v/>
      </c>
      <c r="K1186" s="35" t="str">
        <f aca="false">IF(A1186="","",DATE(YEAR(A1186),MONTH(A1186),1))</f>
        <v/>
      </c>
      <c r="L1186" s="28" t="str">
        <f aca="false">IF(E1186="","",IFERROR(INDEX(Settings!$K$8:$K$38,MATCH(E1186,Settings!$H$8:$H$38,0))&amp;"",""))</f>
        <v/>
      </c>
    </row>
    <row r="1187" customFormat="false" ht="15" hidden="false" customHeight="false" outlineLevel="0" collapsed="false">
      <c r="A1187" s="33"/>
      <c r="B1187" s="27"/>
      <c r="C1187" s="27"/>
      <c r="D1187" s="27"/>
      <c r="E1187" s="27"/>
      <c r="F1187" s="34"/>
      <c r="G1187" s="27"/>
      <c r="H1187" s="27"/>
      <c r="I1187" s="28" t="str">
        <f aca="false">IF(C1187="","",IFERROR(INDEX(Settings!$C$8:$C$19,MATCH(C1187,Settings!$B$8:$B$19,0)),"?"))</f>
        <v/>
      </c>
      <c r="J1187" s="28" t="str">
        <f aca="false">IF(G1187="","",IFERROR(INDEX(Settings!$C$8:$C$19,MATCH(G1187,Settings!$B$8:$B$19,0)),"?"))</f>
        <v/>
      </c>
      <c r="K1187" s="35" t="str">
        <f aca="false">IF(A1187="","",DATE(YEAR(A1187),MONTH(A1187),1))</f>
        <v/>
      </c>
      <c r="L1187" s="28" t="str">
        <f aca="false">IF(E1187="","",IFERROR(INDEX(Settings!$K$8:$K$38,MATCH(E1187,Settings!$H$8:$H$38,0))&amp;"",""))</f>
        <v/>
      </c>
    </row>
    <row r="1188" customFormat="false" ht="15" hidden="false" customHeight="false" outlineLevel="0" collapsed="false">
      <c r="A1188" s="33"/>
      <c r="B1188" s="27"/>
      <c r="C1188" s="27"/>
      <c r="D1188" s="27"/>
      <c r="E1188" s="27"/>
      <c r="F1188" s="34"/>
      <c r="G1188" s="27"/>
      <c r="H1188" s="27"/>
      <c r="I1188" s="28" t="str">
        <f aca="false">IF(C1188="","",IFERROR(INDEX(Settings!$C$8:$C$19,MATCH(C1188,Settings!$B$8:$B$19,0)),"?"))</f>
        <v/>
      </c>
      <c r="J1188" s="28" t="str">
        <f aca="false">IF(G1188="","",IFERROR(INDEX(Settings!$C$8:$C$19,MATCH(G1188,Settings!$B$8:$B$19,0)),"?"))</f>
        <v/>
      </c>
      <c r="K1188" s="35" t="str">
        <f aca="false">IF(A1188="","",DATE(YEAR(A1188),MONTH(A1188),1))</f>
        <v/>
      </c>
      <c r="L1188" s="28" t="str">
        <f aca="false">IF(E1188="","",IFERROR(INDEX(Settings!$K$8:$K$38,MATCH(E1188,Settings!$H$8:$H$38,0))&amp;"",""))</f>
        <v/>
      </c>
    </row>
    <row r="1189" customFormat="false" ht="15" hidden="false" customHeight="false" outlineLevel="0" collapsed="false">
      <c r="A1189" s="33"/>
      <c r="B1189" s="27"/>
      <c r="C1189" s="27"/>
      <c r="D1189" s="27"/>
      <c r="E1189" s="27"/>
      <c r="F1189" s="34"/>
      <c r="G1189" s="27"/>
      <c r="H1189" s="27"/>
      <c r="I1189" s="28" t="str">
        <f aca="false">IF(C1189="","",IFERROR(INDEX(Settings!$C$8:$C$19,MATCH(C1189,Settings!$B$8:$B$19,0)),"?"))</f>
        <v/>
      </c>
      <c r="J1189" s="28" t="str">
        <f aca="false">IF(G1189="","",IFERROR(INDEX(Settings!$C$8:$C$19,MATCH(G1189,Settings!$B$8:$B$19,0)),"?"))</f>
        <v/>
      </c>
      <c r="K1189" s="35" t="str">
        <f aca="false">IF(A1189="","",DATE(YEAR(A1189),MONTH(A1189),1))</f>
        <v/>
      </c>
      <c r="L1189" s="28" t="str">
        <f aca="false">IF(E1189="","",IFERROR(INDEX(Settings!$K$8:$K$38,MATCH(E1189,Settings!$H$8:$H$38,0))&amp;"",""))</f>
        <v/>
      </c>
    </row>
    <row r="1190" customFormat="false" ht="15" hidden="false" customHeight="false" outlineLevel="0" collapsed="false">
      <c r="A1190" s="33"/>
      <c r="B1190" s="27"/>
      <c r="C1190" s="27"/>
      <c r="D1190" s="27"/>
      <c r="E1190" s="27"/>
      <c r="F1190" s="34"/>
      <c r="G1190" s="27"/>
      <c r="H1190" s="27"/>
      <c r="I1190" s="28" t="str">
        <f aca="false">IF(C1190="","",IFERROR(INDEX(Settings!$C$8:$C$19,MATCH(C1190,Settings!$B$8:$B$19,0)),"?"))</f>
        <v/>
      </c>
      <c r="J1190" s="28" t="str">
        <f aca="false">IF(G1190="","",IFERROR(INDEX(Settings!$C$8:$C$19,MATCH(G1190,Settings!$B$8:$B$19,0)),"?"))</f>
        <v/>
      </c>
      <c r="K1190" s="35" t="str">
        <f aca="false">IF(A1190="","",DATE(YEAR(A1190),MONTH(A1190),1))</f>
        <v/>
      </c>
      <c r="L1190" s="28" t="str">
        <f aca="false">IF(E1190="","",IFERROR(INDEX(Settings!$K$8:$K$38,MATCH(E1190,Settings!$H$8:$H$38,0))&amp;"",""))</f>
        <v/>
      </c>
    </row>
    <row r="1191" customFormat="false" ht="15" hidden="false" customHeight="false" outlineLevel="0" collapsed="false">
      <c r="A1191" s="33"/>
      <c r="B1191" s="27"/>
      <c r="C1191" s="27"/>
      <c r="D1191" s="27"/>
      <c r="E1191" s="27"/>
      <c r="F1191" s="34"/>
      <c r="G1191" s="27"/>
      <c r="H1191" s="27"/>
      <c r="I1191" s="28" t="str">
        <f aca="false">IF(C1191="","",IFERROR(INDEX(Settings!$C$8:$C$19,MATCH(C1191,Settings!$B$8:$B$19,0)),"?"))</f>
        <v/>
      </c>
      <c r="J1191" s="28" t="str">
        <f aca="false">IF(G1191="","",IFERROR(INDEX(Settings!$C$8:$C$19,MATCH(G1191,Settings!$B$8:$B$19,0)),"?"))</f>
        <v/>
      </c>
      <c r="K1191" s="35" t="str">
        <f aca="false">IF(A1191="","",DATE(YEAR(A1191),MONTH(A1191),1))</f>
        <v/>
      </c>
      <c r="L1191" s="28" t="str">
        <f aca="false">IF(E1191="","",IFERROR(INDEX(Settings!$K$8:$K$38,MATCH(E1191,Settings!$H$8:$H$38,0))&amp;"",""))</f>
        <v/>
      </c>
    </row>
    <row r="1192" customFormat="false" ht="15" hidden="false" customHeight="false" outlineLevel="0" collapsed="false">
      <c r="A1192" s="33"/>
      <c r="B1192" s="27"/>
      <c r="C1192" s="27"/>
      <c r="D1192" s="27"/>
      <c r="E1192" s="27"/>
      <c r="F1192" s="34"/>
      <c r="G1192" s="27"/>
      <c r="H1192" s="27"/>
      <c r="I1192" s="28" t="str">
        <f aca="false">IF(C1192="","",IFERROR(INDEX(Settings!$C$8:$C$19,MATCH(C1192,Settings!$B$8:$B$19,0)),"?"))</f>
        <v/>
      </c>
      <c r="J1192" s="28" t="str">
        <f aca="false">IF(G1192="","",IFERROR(INDEX(Settings!$C$8:$C$19,MATCH(G1192,Settings!$B$8:$B$19,0)),"?"))</f>
        <v/>
      </c>
      <c r="K1192" s="35" t="str">
        <f aca="false">IF(A1192="","",DATE(YEAR(A1192),MONTH(A1192),1))</f>
        <v/>
      </c>
      <c r="L1192" s="28" t="str">
        <f aca="false">IF(E1192="","",IFERROR(INDEX(Settings!$K$8:$K$38,MATCH(E1192,Settings!$H$8:$H$38,0))&amp;"",""))</f>
        <v/>
      </c>
    </row>
    <row r="1193" customFormat="false" ht="15" hidden="false" customHeight="false" outlineLevel="0" collapsed="false">
      <c r="A1193" s="33"/>
      <c r="B1193" s="27"/>
      <c r="C1193" s="27"/>
      <c r="D1193" s="27"/>
      <c r="E1193" s="27"/>
      <c r="F1193" s="34"/>
      <c r="G1193" s="27"/>
      <c r="H1193" s="27"/>
      <c r="I1193" s="28" t="str">
        <f aca="false">IF(C1193="","",IFERROR(INDEX(Settings!$C$8:$C$19,MATCH(C1193,Settings!$B$8:$B$19,0)),"?"))</f>
        <v/>
      </c>
      <c r="J1193" s="28" t="str">
        <f aca="false">IF(G1193="","",IFERROR(INDEX(Settings!$C$8:$C$19,MATCH(G1193,Settings!$B$8:$B$19,0)),"?"))</f>
        <v/>
      </c>
      <c r="K1193" s="35" t="str">
        <f aca="false">IF(A1193="","",DATE(YEAR(A1193),MONTH(A1193),1))</f>
        <v/>
      </c>
      <c r="L1193" s="28" t="str">
        <f aca="false">IF(E1193="","",IFERROR(INDEX(Settings!$K$8:$K$38,MATCH(E1193,Settings!$H$8:$H$38,0))&amp;"",""))</f>
        <v/>
      </c>
    </row>
    <row r="1194" customFormat="false" ht="15" hidden="false" customHeight="false" outlineLevel="0" collapsed="false">
      <c r="A1194" s="33"/>
      <c r="B1194" s="27"/>
      <c r="C1194" s="27"/>
      <c r="D1194" s="27"/>
      <c r="E1194" s="27"/>
      <c r="F1194" s="34"/>
      <c r="G1194" s="27"/>
      <c r="H1194" s="27"/>
      <c r="I1194" s="28" t="str">
        <f aca="false">IF(C1194="","",IFERROR(INDEX(Settings!$C$8:$C$19,MATCH(C1194,Settings!$B$8:$B$19,0)),"?"))</f>
        <v/>
      </c>
      <c r="J1194" s="28" t="str">
        <f aca="false">IF(G1194="","",IFERROR(INDEX(Settings!$C$8:$C$19,MATCH(G1194,Settings!$B$8:$B$19,0)),"?"))</f>
        <v/>
      </c>
      <c r="K1194" s="35" t="str">
        <f aca="false">IF(A1194="","",DATE(YEAR(A1194),MONTH(A1194),1))</f>
        <v/>
      </c>
      <c r="L1194" s="28" t="str">
        <f aca="false">IF(E1194="","",IFERROR(INDEX(Settings!$K$8:$K$38,MATCH(E1194,Settings!$H$8:$H$38,0))&amp;"",""))</f>
        <v/>
      </c>
    </row>
    <row r="1195" customFormat="false" ht="15" hidden="false" customHeight="false" outlineLevel="0" collapsed="false">
      <c r="A1195" s="33"/>
      <c r="B1195" s="27"/>
      <c r="C1195" s="27"/>
      <c r="D1195" s="27"/>
      <c r="E1195" s="27"/>
      <c r="F1195" s="34"/>
      <c r="G1195" s="27"/>
      <c r="H1195" s="27"/>
      <c r="I1195" s="28" t="str">
        <f aca="false">IF(C1195="","",IFERROR(INDEX(Settings!$C$8:$C$19,MATCH(C1195,Settings!$B$8:$B$19,0)),"?"))</f>
        <v/>
      </c>
      <c r="J1195" s="28" t="str">
        <f aca="false">IF(G1195="","",IFERROR(INDEX(Settings!$C$8:$C$19,MATCH(G1195,Settings!$B$8:$B$19,0)),"?"))</f>
        <v/>
      </c>
      <c r="K1195" s="35" t="str">
        <f aca="false">IF(A1195="","",DATE(YEAR(A1195),MONTH(A1195),1))</f>
        <v/>
      </c>
      <c r="L1195" s="28" t="str">
        <f aca="false">IF(E1195="","",IFERROR(INDEX(Settings!$K$8:$K$38,MATCH(E1195,Settings!$H$8:$H$38,0))&amp;"",""))</f>
        <v/>
      </c>
    </row>
    <row r="1196" customFormat="false" ht="15" hidden="false" customHeight="false" outlineLevel="0" collapsed="false">
      <c r="A1196" s="33"/>
      <c r="B1196" s="27"/>
      <c r="C1196" s="27"/>
      <c r="D1196" s="27"/>
      <c r="E1196" s="27"/>
      <c r="F1196" s="34"/>
      <c r="G1196" s="27"/>
      <c r="H1196" s="27"/>
      <c r="I1196" s="28" t="str">
        <f aca="false">IF(C1196="","",IFERROR(INDEX(Settings!$C$8:$C$19,MATCH(C1196,Settings!$B$8:$B$19,0)),"?"))</f>
        <v/>
      </c>
      <c r="J1196" s="28" t="str">
        <f aca="false">IF(G1196="","",IFERROR(INDEX(Settings!$C$8:$C$19,MATCH(G1196,Settings!$B$8:$B$19,0)),"?"))</f>
        <v/>
      </c>
      <c r="K1196" s="35" t="str">
        <f aca="false">IF(A1196="","",DATE(YEAR(A1196),MONTH(A1196),1))</f>
        <v/>
      </c>
      <c r="L1196" s="28" t="str">
        <f aca="false">IF(E1196="","",IFERROR(INDEX(Settings!$K$8:$K$38,MATCH(E1196,Settings!$H$8:$H$38,0))&amp;"",""))</f>
        <v/>
      </c>
    </row>
    <row r="1197" customFormat="false" ht="15" hidden="false" customHeight="false" outlineLevel="0" collapsed="false">
      <c r="A1197" s="33"/>
      <c r="B1197" s="27"/>
      <c r="C1197" s="27"/>
      <c r="D1197" s="27"/>
      <c r="E1197" s="27"/>
      <c r="F1197" s="34"/>
      <c r="G1197" s="27"/>
      <c r="H1197" s="27"/>
      <c r="I1197" s="28" t="str">
        <f aca="false">IF(C1197="","",IFERROR(INDEX(Settings!$C$8:$C$19,MATCH(C1197,Settings!$B$8:$B$19,0)),"?"))</f>
        <v/>
      </c>
      <c r="J1197" s="28" t="str">
        <f aca="false">IF(G1197="","",IFERROR(INDEX(Settings!$C$8:$C$19,MATCH(G1197,Settings!$B$8:$B$19,0)),"?"))</f>
        <v/>
      </c>
      <c r="K1197" s="35" t="str">
        <f aca="false">IF(A1197="","",DATE(YEAR(A1197),MONTH(A1197),1))</f>
        <v/>
      </c>
      <c r="L1197" s="28" t="str">
        <f aca="false">IF(E1197="","",IFERROR(INDEX(Settings!$K$8:$K$38,MATCH(E1197,Settings!$H$8:$H$38,0))&amp;"",""))</f>
        <v/>
      </c>
    </row>
    <row r="1198" customFormat="false" ht="15" hidden="false" customHeight="false" outlineLevel="0" collapsed="false">
      <c r="A1198" s="33"/>
      <c r="B1198" s="27"/>
      <c r="C1198" s="27"/>
      <c r="D1198" s="27"/>
      <c r="E1198" s="27"/>
      <c r="F1198" s="34"/>
      <c r="G1198" s="27"/>
      <c r="H1198" s="27"/>
      <c r="I1198" s="28" t="str">
        <f aca="false">IF(C1198="","",IFERROR(INDEX(Settings!$C$8:$C$19,MATCH(C1198,Settings!$B$8:$B$19,0)),"?"))</f>
        <v/>
      </c>
      <c r="J1198" s="28" t="str">
        <f aca="false">IF(G1198="","",IFERROR(INDEX(Settings!$C$8:$C$19,MATCH(G1198,Settings!$B$8:$B$19,0)),"?"))</f>
        <v/>
      </c>
      <c r="K1198" s="35" t="str">
        <f aca="false">IF(A1198="","",DATE(YEAR(A1198),MONTH(A1198),1))</f>
        <v/>
      </c>
      <c r="L1198" s="28" t="str">
        <f aca="false">IF(E1198="","",IFERROR(INDEX(Settings!$K$8:$K$38,MATCH(E1198,Settings!$H$8:$H$38,0))&amp;"",""))</f>
        <v/>
      </c>
    </row>
    <row r="1199" customFormat="false" ht="15" hidden="false" customHeight="false" outlineLevel="0" collapsed="false">
      <c r="A1199" s="33"/>
      <c r="B1199" s="27"/>
      <c r="C1199" s="27"/>
      <c r="D1199" s="27"/>
      <c r="E1199" s="27"/>
      <c r="F1199" s="34"/>
      <c r="G1199" s="27"/>
      <c r="H1199" s="27"/>
      <c r="I1199" s="28" t="str">
        <f aca="false">IF(C1199="","",IFERROR(INDEX(Settings!$C$8:$C$19,MATCH(C1199,Settings!$B$8:$B$19,0)),"?"))</f>
        <v/>
      </c>
      <c r="J1199" s="28" t="str">
        <f aca="false">IF(G1199="","",IFERROR(INDEX(Settings!$C$8:$C$19,MATCH(G1199,Settings!$B$8:$B$19,0)),"?"))</f>
        <v/>
      </c>
      <c r="K1199" s="35" t="str">
        <f aca="false">IF(A1199="","",DATE(YEAR(A1199),MONTH(A1199),1))</f>
        <v/>
      </c>
      <c r="L1199" s="28" t="str">
        <f aca="false">IF(E1199="","",IFERROR(INDEX(Settings!$K$8:$K$38,MATCH(E1199,Settings!$H$8:$H$38,0))&amp;"",""))</f>
        <v/>
      </c>
    </row>
    <row r="1200" customFormat="false" ht="15" hidden="false" customHeight="false" outlineLevel="0" collapsed="false">
      <c r="A1200" s="33"/>
      <c r="B1200" s="27"/>
      <c r="C1200" s="27"/>
      <c r="D1200" s="27"/>
      <c r="E1200" s="27"/>
      <c r="F1200" s="34"/>
      <c r="G1200" s="27"/>
      <c r="H1200" s="27"/>
      <c r="I1200" s="28" t="str">
        <f aca="false">IF(C1200="","",IFERROR(INDEX(Settings!$C$8:$C$19,MATCH(C1200,Settings!$B$8:$B$19,0)),"?"))</f>
        <v/>
      </c>
      <c r="J1200" s="28" t="str">
        <f aca="false">IF(G1200="","",IFERROR(INDEX(Settings!$C$8:$C$19,MATCH(G1200,Settings!$B$8:$B$19,0)),"?"))</f>
        <v/>
      </c>
      <c r="K1200" s="35" t="str">
        <f aca="false">IF(A1200="","",DATE(YEAR(A1200),MONTH(A1200),1))</f>
        <v/>
      </c>
      <c r="L1200" s="28" t="str">
        <f aca="false">IF(E1200="","",IFERROR(INDEX(Settings!$K$8:$K$38,MATCH(E1200,Settings!$H$8:$H$38,0))&amp;"",""))</f>
        <v/>
      </c>
    </row>
    <row r="1201" customFormat="false" ht="15" hidden="false" customHeight="false" outlineLevel="0" collapsed="false">
      <c r="A1201" s="33"/>
      <c r="B1201" s="27"/>
      <c r="C1201" s="27"/>
      <c r="D1201" s="27"/>
      <c r="E1201" s="27"/>
      <c r="F1201" s="34"/>
      <c r="G1201" s="27"/>
      <c r="H1201" s="27"/>
      <c r="I1201" s="28" t="str">
        <f aca="false">IF(C1201="","",IFERROR(INDEX(Settings!$C$8:$C$19,MATCH(C1201,Settings!$B$8:$B$19,0)),"?"))</f>
        <v/>
      </c>
      <c r="J1201" s="28" t="str">
        <f aca="false">IF(G1201="","",IFERROR(INDEX(Settings!$C$8:$C$19,MATCH(G1201,Settings!$B$8:$B$19,0)),"?"))</f>
        <v/>
      </c>
      <c r="K1201" s="35" t="str">
        <f aca="false">IF(A1201="","",DATE(YEAR(A1201),MONTH(A1201),1))</f>
        <v/>
      </c>
      <c r="L1201" s="28" t="str">
        <f aca="false">IF(E1201="","",IFERROR(INDEX(Settings!$K$8:$K$38,MATCH(E1201,Settings!$H$8:$H$38,0))&amp;"",""))</f>
        <v/>
      </c>
    </row>
    <row r="1202" customFormat="false" ht="15" hidden="false" customHeight="false" outlineLevel="0" collapsed="false">
      <c r="A1202" s="33"/>
      <c r="B1202" s="27"/>
      <c r="C1202" s="27"/>
      <c r="D1202" s="27"/>
      <c r="E1202" s="27"/>
      <c r="F1202" s="34"/>
      <c r="G1202" s="27"/>
      <c r="H1202" s="27"/>
      <c r="I1202" s="28" t="str">
        <f aca="false">IF(C1202="","",IFERROR(INDEX(Settings!$C$8:$C$19,MATCH(C1202,Settings!$B$8:$B$19,0)),"?"))</f>
        <v/>
      </c>
      <c r="J1202" s="28" t="str">
        <f aca="false">IF(G1202="","",IFERROR(INDEX(Settings!$C$8:$C$19,MATCH(G1202,Settings!$B$8:$B$19,0)),"?"))</f>
        <v/>
      </c>
      <c r="K1202" s="35" t="str">
        <f aca="false">IF(A1202="","",DATE(YEAR(A1202),MONTH(A1202),1))</f>
        <v/>
      </c>
      <c r="L1202" s="28" t="str">
        <f aca="false">IF(E1202="","",IFERROR(INDEX(Settings!$K$8:$K$38,MATCH(E1202,Settings!$H$8:$H$38,0))&amp;"",""))</f>
        <v/>
      </c>
    </row>
    <row r="1203" customFormat="false" ht="15" hidden="false" customHeight="false" outlineLevel="0" collapsed="false">
      <c r="A1203" s="33"/>
      <c r="B1203" s="27"/>
      <c r="C1203" s="27"/>
      <c r="D1203" s="27"/>
      <c r="E1203" s="27"/>
      <c r="F1203" s="34"/>
      <c r="G1203" s="27"/>
      <c r="H1203" s="27"/>
      <c r="I1203" s="28" t="str">
        <f aca="false">IF(C1203="","",IFERROR(INDEX(Settings!$C$8:$C$19,MATCH(C1203,Settings!$B$8:$B$19,0)),"?"))</f>
        <v/>
      </c>
      <c r="J1203" s="28" t="str">
        <f aca="false">IF(G1203="","",IFERROR(INDEX(Settings!$C$8:$C$19,MATCH(G1203,Settings!$B$8:$B$19,0)),"?"))</f>
        <v/>
      </c>
      <c r="K1203" s="35" t="str">
        <f aca="false">IF(A1203="","",DATE(YEAR(A1203),MONTH(A1203),1))</f>
        <v/>
      </c>
      <c r="L1203" s="28" t="str">
        <f aca="false">IF(E1203="","",IFERROR(INDEX(Settings!$K$8:$K$38,MATCH(E1203,Settings!$H$8:$H$38,0))&amp;"",""))</f>
        <v/>
      </c>
    </row>
    <row r="1204" customFormat="false" ht="15" hidden="false" customHeight="false" outlineLevel="0" collapsed="false">
      <c r="A1204" s="33"/>
      <c r="B1204" s="27"/>
      <c r="C1204" s="27"/>
      <c r="D1204" s="27"/>
      <c r="E1204" s="27"/>
      <c r="F1204" s="34"/>
      <c r="G1204" s="27"/>
      <c r="H1204" s="27"/>
      <c r="I1204" s="28" t="str">
        <f aca="false">IF(C1204="","",IFERROR(INDEX(Settings!$C$8:$C$19,MATCH(C1204,Settings!$B$8:$B$19,0)),"?"))</f>
        <v/>
      </c>
      <c r="J1204" s="28" t="str">
        <f aca="false">IF(G1204="","",IFERROR(INDEX(Settings!$C$8:$C$19,MATCH(G1204,Settings!$B$8:$B$19,0)),"?"))</f>
        <v/>
      </c>
      <c r="K1204" s="35" t="str">
        <f aca="false">IF(A1204="","",DATE(YEAR(A1204),MONTH(A1204),1))</f>
        <v/>
      </c>
      <c r="L1204" s="28" t="str">
        <f aca="false">IF(E1204="","",IFERROR(INDEX(Settings!$K$8:$K$38,MATCH(E1204,Settings!$H$8:$H$38,0))&amp;"",""))</f>
        <v/>
      </c>
    </row>
    <row r="1205" customFormat="false" ht="15" hidden="false" customHeight="false" outlineLevel="0" collapsed="false">
      <c r="A1205" s="33"/>
      <c r="B1205" s="27"/>
      <c r="C1205" s="27"/>
      <c r="D1205" s="27"/>
      <c r="E1205" s="27"/>
      <c r="F1205" s="34"/>
      <c r="G1205" s="27"/>
      <c r="H1205" s="27"/>
      <c r="I1205" s="28" t="str">
        <f aca="false">IF(C1205="","",IFERROR(INDEX(Settings!$C$8:$C$19,MATCH(C1205,Settings!$B$8:$B$19,0)),"?"))</f>
        <v/>
      </c>
      <c r="J1205" s="28" t="str">
        <f aca="false">IF(G1205="","",IFERROR(INDEX(Settings!$C$8:$C$19,MATCH(G1205,Settings!$B$8:$B$19,0)),"?"))</f>
        <v/>
      </c>
      <c r="K1205" s="35" t="str">
        <f aca="false">IF(A1205="","",DATE(YEAR(A1205),MONTH(A1205),1))</f>
        <v/>
      </c>
      <c r="L1205" s="28" t="str">
        <f aca="false">IF(E1205="","",IFERROR(INDEX(Settings!$K$8:$K$38,MATCH(E1205,Settings!$H$8:$H$38,0))&amp;"",""))</f>
        <v/>
      </c>
    </row>
    <row r="1206" customFormat="false" ht="15" hidden="false" customHeight="false" outlineLevel="0" collapsed="false">
      <c r="A1206" s="33"/>
      <c r="B1206" s="27"/>
      <c r="C1206" s="27"/>
      <c r="D1206" s="27"/>
      <c r="E1206" s="27"/>
      <c r="F1206" s="34"/>
      <c r="G1206" s="27"/>
      <c r="H1206" s="27"/>
      <c r="I1206" s="28" t="str">
        <f aca="false">IF(C1206="","",IFERROR(INDEX(Settings!$C$8:$C$19,MATCH(C1206,Settings!$B$8:$B$19,0)),"?"))</f>
        <v/>
      </c>
      <c r="J1206" s="28" t="str">
        <f aca="false">IF(G1206="","",IFERROR(INDEX(Settings!$C$8:$C$19,MATCH(G1206,Settings!$B$8:$B$19,0)),"?"))</f>
        <v/>
      </c>
      <c r="K1206" s="35" t="str">
        <f aca="false">IF(A1206="","",DATE(YEAR(A1206),MONTH(A1206),1))</f>
        <v/>
      </c>
      <c r="L1206" s="28" t="str">
        <f aca="false">IF(E1206="","",IFERROR(INDEX(Settings!$K$8:$K$38,MATCH(E1206,Settings!$H$8:$H$38,0))&amp;"",""))</f>
        <v/>
      </c>
    </row>
    <row r="1207" customFormat="false" ht="15" hidden="false" customHeight="false" outlineLevel="0" collapsed="false">
      <c r="A1207" s="33"/>
      <c r="B1207" s="27"/>
      <c r="C1207" s="27"/>
      <c r="D1207" s="27"/>
      <c r="E1207" s="27"/>
      <c r="F1207" s="34"/>
      <c r="G1207" s="27"/>
      <c r="H1207" s="27"/>
      <c r="I1207" s="28" t="str">
        <f aca="false">IF(C1207="","",IFERROR(INDEX(Settings!$C$8:$C$19,MATCH(C1207,Settings!$B$8:$B$19,0)),"?"))</f>
        <v/>
      </c>
      <c r="J1207" s="28" t="str">
        <f aca="false">IF(G1207="","",IFERROR(INDEX(Settings!$C$8:$C$19,MATCH(G1207,Settings!$B$8:$B$19,0)),"?"))</f>
        <v/>
      </c>
      <c r="K1207" s="35" t="str">
        <f aca="false">IF(A1207="","",DATE(YEAR(A1207),MONTH(A1207),1))</f>
        <v/>
      </c>
      <c r="L1207" s="28" t="str">
        <f aca="false">IF(E1207="","",IFERROR(INDEX(Settings!$K$8:$K$38,MATCH(E1207,Settings!$H$8:$H$38,0))&amp;"",""))</f>
        <v/>
      </c>
    </row>
    <row r="1208" customFormat="false" ht="15" hidden="false" customHeight="false" outlineLevel="0" collapsed="false">
      <c r="A1208" s="33"/>
      <c r="B1208" s="27"/>
      <c r="C1208" s="27"/>
      <c r="D1208" s="27"/>
      <c r="E1208" s="27"/>
      <c r="F1208" s="34"/>
      <c r="G1208" s="27"/>
      <c r="H1208" s="27"/>
      <c r="I1208" s="28" t="str">
        <f aca="false">IF(C1208="","",IFERROR(INDEX(Settings!$C$8:$C$19,MATCH(C1208,Settings!$B$8:$B$19,0)),"?"))</f>
        <v/>
      </c>
      <c r="J1208" s="28" t="str">
        <f aca="false">IF(G1208="","",IFERROR(INDEX(Settings!$C$8:$C$19,MATCH(G1208,Settings!$B$8:$B$19,0)),"?"))</f>
        <v/>
      </c>
      <c r="K1208" s="35" t="str">
        <f aca="false">IF(A1208="","",DATE(YEAR(A1208),MONTH(A1208),1))</f>
        <v/>
      </c>
      <c r="L1208" s="28" t="str">
        <f aca="false">IF(E1208="","",IFERROR(INDEX(Settings!$K$8:$K$38,MATCH(E1208,Settings!$H$8:$H$38,0))&amp;"",""))</f>
        <v/>
      </c>
    </row>
    <row r="1209" customFormat="false" ht="15" hidden="false" customHeight="false" outlineLevel="0" collapsed="false">
      <c r="A1209" s="33"/>
      <c r="B1209" s="27"/>
      <c r="C1209" s="27"/>
      <c r="D1209" s="27"/>
      <c r="E1209" s="27"/>
      <c r="F1209" s="34"/>
      <c r="G1209" s="27"/>
      <c r="H1209" s="27"/>
      <c r="I1209" s="28" t="str">
        <f aca="false">IF(C1209="","",IFERROR(INDEX(Settings!$C$8:$C$19,MATCH(C1209,Settings!$B$8:$B$19,0)),"?"))</f>
        <v/>
      </c>
      <c r="J1209" s="28" t="str">
        <f aca="false">IF(G1209="","",IFERROR(INDEX(Settings!$C$8:$C$19,MATCH(G1209,Settings!$B$8:$B$19,0)),"?"))</f>
        <v/>
      </c>
      <c r="K1209" s="35" t="str">
        <f aca="false">IF(A1209="","",DATE(YEAR(A1209),MONTH(A1209),1))</f>
        <v/>
      </c>
      <c r="L1209" s="28" t="str">
        <f aca="false">IF(E1209="","",IFERROR(INDEX(Settings!$K$8:$K$38,MATCH(E1209,Settings!$H$8:$H$38,0))&amp;"",""))</f>
        <v/>
      </c>
    </row>
    <row r="1210" customFormat="false" ht="15" hidden="false" customHeight="false" outlineLevel="0" collapsed="false">
      <c r="A1210" s="33"/>
      <c r="B1210" s="27"/>
      <c r="C1210" s="27"/>
      <c r="D1210" s="27"/>
      <c r="E1210" s="27"/>
      <c r="F1210" s="34"/>
      <c r="G1210" s="27"/>
      <c r="H1210" s="27"/>
      <c r="I1210" s="28" t="str">
        <f aca="false">IF(C1210="","",IFERROR(INDEX(Settings!$C$8:$C$19,MATCH(C1210,Settings!$B$8:$B$19,0)),"?"))</f>
        <v/>
      </c>
      <c r="J1210" s="28" t="str">
        <f aca="false">IF(G1210="","",IFERROR(INDEX(Settings!$C$8:$C$19,MATCH(G1210,Settings!$B$8:$B$19,0)),"?"))</f>
        <v/>
      </c>
      <c r="K1210" s="35" t="str">
        <f aca="false">IF(A1210="","",DATE(YEAR(A1210),MONTH(A1210),1))</f>
        <v/>
      </c>
      <c r="L1210" s="28" t="str">
        <f aca="false">IF(E1210="","",IFERROR(INDEX(Settings!$K$8:$K$38,MATCH(E1210,Settings!$H$8:$H$38,0))&amp;"",""))</f>
        <v/>
      </c>
    </row>
    <row r="1211" customFormat="false" ht="15" hidden="false" customHeight="false" outlineLevel="0" collapsed="false">
      <c r="A1211" s="33"/>
      <c r="B1211" s="27"/>
      <c r="C1211" s="27"/>
      <c r="D1211" s="27"/>
      <c r="E1211" s="27"/>
      <c r="F1211" s="34"/>
      <c r="G1211" s="27"/>
      <c r="H1211" s="27"/>
      <c r="I1211" s="28" t="str">
        <f aca="false">IF(C1211="","",IFERROR(INDEX(Settings!$C$8:$C$19,MATCH(C1211,Settings!$B$8:$B$19,0)),"?"))</f>
        <v/>
      </c>
      <c r="J1211" s="28" t="str">
        <f aca="false">IF(G1211="","",IFERROR(INDEX(Settings!$C$8:$C$19,MATCH(G1211,Settings!$B$8:$B$19,0)),"?"))</f>
        <v/>
      </c>
      <c r="K1211" s="35" t="str">
        <f aca="false">IF(A1211="","",DATE(YEAR(A1211),MONTH(A1211),1))</f>
        <v/>
      </c>
      <c r="L1211" s="28" t="str">
        <f aca="false">IF(E1211="","",IFERROR(INDEX(Settings!$K$8:$K$38,MATCH(E1211,Settings!$H$8:$H$38,0))&amp;"",""))</f>
        <v/>
      </c>
    </row>
    <row r="1212" customFormat="false" ht="15" hidden="false" customHeight="false" outlineLevel="0" collapsed="false">
      <c r="A1212" s="33"/>
      <c r="B1212" s="27"/>
      <c r="C1212" s="27"/>
      <c r="D1212" s="27"/>
      <c r="E1212" s="27"/>
      <c r="F1212" s="34"/>
      <c r="G1212" s="27"/>
      <c r="H1212" s="27"/>
      <c r="I1212" s="28" t="str">
        <f aca="false">IF(C1212="","",IFERROR(INDEX(Settings!$C$8:$C$19,MATCH(C1212,Settings!$B$8:$B$19,0)),"?"))</f>
        <v/>
      </c>
      <c r="J1212" s="28" t="str">
        <f aca="false">IF(G1212="","",IFERROR(INDEX(Settings!$C$8:$C$19,MATCH(G1212,Settings!$B$8:$B$19,0)),"?"))</f>
        <v/>
      </c>
      <c r="K1212" s="35" t="str">
        <f aca="false">IF(A1212="","",DATE(YEAR(A1212),MONTH(A1212),1))</f>
        <v/>
      </c>
      <c r="L1212" s="28" t="str">
        <f aca="false">IF(E1212="","",IFERROR(INDEX(Settings!$K$8:$K$38,MATCH(E1212,Settings!$H$8:$H$38,0))&amp;"",""))</f>
        <v/>
      </c>
    </row>
    <row r="1213" customFormat="false" ht="15" hidden="false" customHeight="false" outlineLevel="0" collapsed="false">
      <c r="A1213" s="33"/>
      <c r="B1213" s="27"/>
      <c r="C1213" s="27"/>
      <c r="D1213" s="27"/>
      <c r="E1213" s="27"/>
      <c r="F1213" s="34"/>
      <c r="G1213" s="27"/>
      <c r="H1213" s="27"/>
      <c r="I1213" s="28" t="str">
        <f aca="false">IF(C1213="","",IFERROR(INDEX(Settings!$C$8:$C$19,MATCH(C1213,Settings!$B$8:$B$19,0)),"?"))</f>
        <v/>
      </c>
      <c r="J1213" s="28" t="str">
        <f aca="false">IF(G1213="","",IFERROR(INDEX(Settings!$C$8:$C$19,MATCH(G1213,Settings!$B$8:$B$19,0)),"?"))</f>
        <v/>
      </c>
      <c r="K1213" s="35" t="str">
        <f aca="false">IF(A1213="","",DATE(YEAR(A1213),MONTH(A1213),1))</f>
        <v/>
      </c>
      <c r="L1213" s="28" t="str">
        <f aca="false">IF(E1213="","",IFERROR(INDEX(Settings!$K$8:$K$38,MATCH(E1213,Settings!$H$8:$H$38,0))&amp;"",""))</f>
        <v/>
      </c>
    </row>
    <row r="1214" customFormat="false" ht="15" hidden="false" customHeight="false" outlineLevel="0" collapsed="false">
      <c r="A1214" s="33"/>
      <c r="B1214" s="27"/>
      <c r="C1214" s="27"/>
      <c r="D1214" s="27"/>
      <c r="E1214" s="27"/>
      <c r="F1214" s="34"/>
      <c r="G1214" s="27"/>
      <c r="H1214" s="27"/>
      <c r="I1214" s="28" t="str">
        <f aca="false">IF(C1214="","",IFERROR(INDEX(Settings!$C$8:$C$19,MATCH(C1214,Settings!$B$8:$B$19,0)),"?"))</f>
        <v/>
      </c>
      <c r="J1214" s="28" t="str">
        <f aca="false">IF(G1214="","",IFERROR(INDEX(Settings!$C$8:$C$19,MATCH(G1214,Settings!$B$8:$B$19,0)),"?"))</f>
        <v/>
      </c>
      <c r="K1214" s="35" t="str">
        <f aca="false">IF(A1214="","",DATE(YEAR(A1214),MONTH(A1214),1))</f>
        <v/>
      </c>
      <c r="L1214" s="28" t="str">
        <f aca="false">IF(E1214="","",IFERROR(INDEX(Settings!$K$8:$K$38,MATCH(E1214,Settings!$H$8:$H$38,0))&amp;"",""))</f>
        <v/>
      </c>
    </row>
    <row r="1215" customFormat="false" ht="15" hidden="false" customHeight="false" outlineLevel="0" collapsed="false">
      <c r="A1215" s="33"/>
      <c r="B1215" s="27"/>
      <c r="C1215" s="27"/>
      <c r="D1215" s="27"/>
      <c r="E1215" s="27"/>
      <c r="F1215" s="34"/>
      <c r="G1215" s="27"/>
      <c r="H1215" s="27"/>
      <c r="I1215" s="28" t="str">
        <f aca="false">IF(C1215="","",IFERROR(INDEX(Settings!$C$8:$C$19,MATCH(C1215,Settings!$B$8:$B$19,0)),"?"))</f>
        <v/>
      </c>
      <c r="J1215" s="28" t="str">
        <f aca="false">IF(G1215="","",IFERROR(INDEX(Settings!$C$8:$C$19,MATCH(G1215,Settings!$B$8:$B$19,0)),"?"))</f>
        <v/>
      </c>
      <c r="K1215" s="35" t="str">
        <f aca="false">IF(A1215="","",DATE(YEAR(A1215),MONTH(A1215),1))</f>
        <v/>
      </c>
      <c r="L1215" s="28" t="str">
        <f aca="false">IF(E1215="","",IFERROR(INDEX(Settings!$K$8:$K$38,MATCH(E1215,Settings!$H$8:$H$38,0))&amp;"",""))</f>
        <v/>
      </c>
    </row>
    <row r="1216" customFormat="false" ht="15" hidden="false" customHeight="false" outlineLevel="0" collapsed="false">
      <c r="A1216" s="33"/>
      <c r="B1216" s="27"/>
      <c r="C1216" s="27"/>
      <c r="D1216" s="27"/>
      <c r="E1216" s="27"/>
      <c r="F1216" s="34"/>
      <c r="G1216" s="27"/>
      <c r="H1216" s="27"/>
      <c r="I1216" s="28" t="str">
        <f aca="false">IF(C1216="","",IFERROR(INDEX(Settings!$C$8:$C$19,MATCH(C1216,Settings!$B$8:$B$19,0)),"?"))</f>
        <v/>
      </c>
      <c r="J1216" s="28" t="str">
        <f aca="false">IF(G1216="","",IFERROR(INDEX(Settings!$C$8:$C$19,MATCH(G1216,Settings!$B$8:$B$19,0)),"?"))</f>
        <v/>
      </c>
      <c r="K1216" s="35" t="str">
        <f aca="false">IF(A1216="","",DATE(YEAR(A1216),MONTH(A1216),1))</f>
        <v/>
      </c>
      <c r="L1216" s="28" t="str">
        <f aca="false">IF(E1216="","",IFERROR(INDEX(Settings!$K$8:$K$38,MATCH(E1216,Settings!$H$8:$H$38,0))&amp;"",""))</f>
        <v/>
      </c>
    </row>
    <row r="1217" customFormat="false" ht="15" hidden="false" customHeight="false" outlineLevel="0" collapsed="false">
      <c r="A1217" s="33"/>
      <c r="B1217" s="27"/>
      <c r="C1217" s="27"/>
      <c r="D1217" s="27"/>
      <c r="E1217" s="27"/>
      <c r="F1217" s="34"/>
      <c r="G1217" s="27"/>
      <c r="H1217" s="27"/>
      <c r="I1217" s="28" t="str">
        <f aca="false">IF(C1217="","",IFERROR(INDEX(Settings!$C$8:$C$19,MATCH(C1217,Settings!$B$8:$B$19,0)),"?"))</f>
        <v/>
      </c>
      <c r="J1217" s="28" t="str">
        <f aca="false">IF(G1217="","",IFERROR(INDEX(Settings!$C$8:$C$19,MATCH(G1217,Settings!$B$8:$B$19,0)),"?"))</f>
        <v/>
      </c>
      <c r="K1217" s="35" t="str">
        <f aca="false">IF(A1217="","",DATE(YEAR(A1217),MONTH(A1217),1))</f>
        <v/>
      </c>
      <c r="L1217" s="28" t="str">
        <f aca="false">IF(E1217="","",IFERROR(INDEX(Settings!$K$8:$K$38,MATCH(E1217,Settings!$H$8:$H$38,0))&amp;"",""))</f>
        <v/>
      </c>
    </row>
    <row r="1218" customFormat="false" ht="15" hidden="false" customHeight="false" outlineLevel="0" collapsed="false">
      <c r="A1218" s="33"/>
      <c r="B1218" s="27"/>
      <c r="C1218" s="27"/>
      <c r="D1218" s="27"/>
      <c r="E1218" s="27"/>
      <c r="F1218" s="34"/>
      <c r="G1218" s="27"/>
      <c r="H1218" s="27"/>
      <c r="I1218" s="28" t="str">
        <f aca="false">IF(C1218="","",IFERROR(INDEX(Settings!$C$8:$C$19,MATCH(C1218,Settings!$B$8:$B$19,0)),"?"))</f>
        <v/>
      </c>
      <c r="J1218" s="28" t="str">
        <f aca="false">IF(G1218="","",IFERROR(INDEX(Settings!$C$8:$C$19,MATCH(G1218,Settings!$B$8:$B$19,0)),"?"))</f>
        <v/>
      </c>
      <c r="K1218" s="35" t="str">
        <f aca="false">IF(A1218="","",DATE(YEAR(A1218),MONTH(A1218),1))</f>
        <v/>
      </c>
      <c r="L1218" s="28" t="str">
        <f aca="false">IF(E1218="","",IFERROR(INDEX(Settings!$K$8:$K$38,MATCH(E1218,Settings!$H$8:$H$38,0))&amp;"",""))</f>
        <v/>
      </c>
    </row>
    <row r="1219" customFormat="false" ht="15" hidden="false" customHeight="false" outlineLevel="0" collapsed="false">
      <c r="A1219" s="33"/>
      <c r="B1219" s="27"/>
      <c r="C1219" s="27"/>
      <c r="D1219" s="27"/>
      <c r="E1219" s="27"/>
      <c r="F1219" s="34"/>
      <c r="G1219" s="27"/>
      <c r="H1219" s="27"/>
      <c r="I1219" s="28" t="str">
        <f aca="false">IF(C1219="","",IFERROR(INDEX(Settings!$C$8:$C$19,MATCH(C1219,Settings!$B$8:$B$19,0)),"?"))</f>
        <v/>
      </c>
      <c r="J1219" s="28" t="str">
        <f aca="false">IF(G1219="","",IFERROR(INDEX(Settings!$C$8:$C$19,MATCH(G1219,Settings!$B$8:$B$19,0)),"?"))</f>
        <v/>
      </c>
      <c r="K1219" s="35" t="str">
        <f aca="false">IF(A1219="","",DATE(YEAR(A1219),MONTH(A1219),1))</f>
        <v/>
      </c>
      <c r="L1219" s="28" t="str">
        <f aca="false">IF(E1219="","",IFERROR(INDEX(Settings!$K$8:$K$38,MATCH(E1219,Settings!$H$8:$H$38,0))&amp;"",""))</f>
        <v/>
      </c>
    </row>
    <row r="1220" customFormat="false" ht="15" hidden="false" customHeight="false" outlineLevel="0" collapsed="false">
      <c r="A1220" s="33"/>
      <c r="B1220" s="27"/>
      <c r="C1220" s="27"/>
      <c r="D1220" s="27"/>
      <c r="E1220" s="27"/>
      <c r="F1220" s="34"/>
      <c r="G1220" s="27"/>
      <c r="H1220" s="27"/>
      <c r="I1220" s="28" t="str">
        <f aca="false">IF(C1220="","",IFERROR(INDEX(Settings!$C$8:$C$19,MATCH(C1220,Settings!$B$8:$B$19,0)),"?"))</f>
        <v/>
      </c>
      <c r="J1220" s="28" t="str">
        <f aca="false">IF(G1220="","",IFERROR(INDEX(Settings!$C$8:$C$19,MATCH(G1220,Settings!$B$8:$B$19,0)),"?"))</f>
        <v/>
      </c>
      <c r="K1220" s="35" t="str">
        <f aca="false">IF(A1220="","",DATE(YEAR(A1220),MONTH(A1220),1))</f>
        <v/>
      </c>
      <c r="L1220" s="28" t="str">
        <f aca="false">IF(E1220="","",IFERROR(INDEX(Settings!$K$8:$K$38,MATCH(E1220,Settings!$H$8:$H$38,0))&amp;"",""))</f>
        <v/>
      </c>
    </row>
    <row r="1221" customFormat="false" ht="15" hidden="false" customHeight="false" outlineLevel="0" collapsed="false">
      <c r="A1221" s="33"/>
      <c r="B1221" s="27"/>
      <c r="C1221" s="27"/>
      <c r="D1221" s="27"/>
      <c r="E1221" s="27"/>
      <c r="F1221" s="34"/>
      <c r="G1221" s="27"/>
      <c r="H1221" s="27"/>
      <c r="I1221" s="28" t="str">
        <f aca="false">IF(C1221="","",IFERROR(INDEX(Settings!$C$8:$C$19,MATCH(C1221,Settings!$B$8:$B$19,0)),"?"))</f>
        <v/>
      </c>
      <c r="J1221" s="28" t="str">
        <f aca="false">IF(G1221="","",IFERROR(INDEX(Settings!$C$8:$C$19,MATCH(G1221,Settings!$B$8:$B$19,0)),"?"))</f>
        <v/>
      </c>
      <c r="K1221" s="35" t="str">
        <f aca="false">IF(A1221="","",DATE(YEAR(A1221),MONTH(A1221),1))</f>
        <v/>
      </c>
      <c r="L1221" s="28" t="str">
        <f aca="false">IF(E1221="","",IFERROR(INDEX(Settings!$K$8:$K$38,MATCH(E1221,Settings!$H$8:$H$38,0))&amp;"",""))</f>
        <v/>
      </c>
    </row>
    <row r="1222" customFormat="false" ht="15" hidden="false" customHeight="false" outlineLevel="0" collapsed="false">
      <c r="A1222" s="33"/>
      <c r="B1222" s="27"/>
      <c r="C1222" s="27"/>
      <c r="D1222" s="27"/>
      <c r="E1222" s="27"/>
      <c r="F1222" s="34"/>
      <c r="G1222" s="27"/>
      <c r="H1222" s="27"/>
      <c r="I1222" s="28" t="str">
        <f aca="false">IF(C1222="","",IFERROR(INDEX(Settings!$C$8:$C$19,MATCH(C1222,Settings!$B$8:$B$19,0)),"?"))</f>
        <v/>
      </c>
      <c r="J1222" s="28" t="str">
        <f aca="false">IF(G1222="","",IFERROR(INDEX(Settings!$C$8:$C$19,MATCH(G1222,Settings!$B$8:$B$19,0)),"?"))</f>
        <v/>
      </c>
      <c r="K1222" s="35" t="str">
        <f aca="false">IF(A1222="","",DATE(YEAR(A1222),MONTH(A1222),1))</f>
        <v/>
      </c>
      <c r="L1222" s="28" t="str">
        <f aca="false">IF(E1222="","",IFERROR(INDEX(Settings!$K$8:$K$38,MATCH(E1222,Settings!$H$8:$H$38,0))&amp;"",""))</f>
        <v/>
      </c>
    </row>
    <row r="1223" customFormat="false" ht="15" hidden="false" customHeight="false" outlineLevel="0" collapsed="false">
      <c r="A1223" s="33"/>
      <c r="B1223" s="27"/>
      <c r="C1223" s="27"/>
      <c r="D1223" s="27"/>
      <c r="E1223" s="27"/>
      <c r="F1223" s="34"/>
      <c r="G1223" s="27"/>
      <c r="H1223" s="27"/>
      <c r="I1223" s="28" t="str">
        <f aca="false">IF(C1223="","",IFERROR(INDEX(Settings!$C$8:$C$19,MATCH(C1223,Settings!$B$8:$B$19,0)),"?"))</f>
        <v/>
      </c>
      <c r="J1223" s="28" t="str">
        <f aca="false">IF(G1223="","",IFERROR(INDEX(Settings!$C$8:$C$19,MATCH(G1223,Settings!$B$8:$B$19,0)),"?"))</f>
        <v/>
      </c>
      <c r="K1223" s="35" t="str">
        <f aca="false">IF(A1223="","",DATE(YEAR(A1223),MONTH(A1223),1))</f>
        <v/>
      </c>
      <c r="L1223" s="28" t="str">
        <f aca="false">IF(E1223="","",IFERROR(INDEX(Settings!$K$8:$K$38,MATCH(E1223,Settings!$H$8:$H$38,0))&amp;"",""))</f>
        <v/>
      </c>
    </row>
    <row r="1224" customFormat="false" ht="15" hidden="false" customHeight="false" outlineLevel="0" collapsed="false">
      <c r="A1224" s="33"/>
      <c r="B1224" s="27"/>
      <c r="C1224" s="27"/>
      <c r="D1224" s="27"/>
      <c r="E1224" s="27"/>
      <c r="F1224" s="34"/>
      <c r="G1224" s="27"/>
      <c r="H1224" s="27"/>
      <c r="I1224" s="28" t="str">
        <f aca="false">IF(C1224="","",IFERROR(INDEX(Settings!$C$8:$C$19,MATCH(C1224,Settings!$B$8:$B$19,0)),"?"))</f>
        <v/>
      </c>
      <c r="J1224" s="28" t="str">
        <f aca="false">IF(G1224="","",IFERROR(INDEX(Settings!$C$8:$C$19,MATCH(G1224,Settings!$B$8:$B$19,0)),"?"))</f>
        <v/>
      </c>
      <c r="K1224" s="35" t="str">
        <f aca="false">IF(A1224="","",DATE(YEAR(A1224),MONTH(A1224),1))</f>
        <v/>
      </c>
      <c r="L1224" s="28" t="str">
        <f aca="false">IF(E1224="","",IFERROR(INDEX(Settings!$K$8:$K$38,MATCH(E1224,Settings!$H$8:$H$38,0))&amp;"",""))</f>
        <v/>
      </c>
    </row>
    <row r="1225" customFormat="false" ht="15" hidden="false" customHeight="false" outlineLevel="0" collapsed="false">
      <c r="A1225" s="33"/>
      <c r="B1225" s="27"/>
      <c r="C1225" s="27"/>
      <c r="D1225" s="27"/>
      <c r="E1225" s="27"/>
      <c r="F1225" s="34"/>
      <c r="G1225" s="27"/>
      <c r="H1225" s="27"/>
      <c r="I1225" s="28" t="str">
        <f aca="false">IF(C1225="","",IFERROR(INDEX(Settings!$C$8:$C$19,MATCH(C1225,Settings!$B$8:$B$19,0)),"?"))</f>
        <v/>
      </c>
      <c r="J1225" s="28" t="str">
        <f aca="false">IF(G1225="","",IFERROR(INDEX(Settings!$C$8:$C$19,MATCH(G1225,Settings!$B$8:$B$19,0)),"?"))</f>
        <v/>
      </c>
      <c r="K1225" s="35" t="str">
        <f aca="false">IF(A1225="","",DATE(YEAR(A1225),MONTH(A1225),1))</f>
        <v/>
      </c>
      <c r="L1225" s="28" t="str">
        <f aca="false">IF(E1225="","",IFERROR(INDEX(Settings!$K$8:$K$38,MATCH(E1225,Settings!$H$8:$H$38,0))&amp;"",""))</f>
        <v/>
      </c>
    </row>
    <row r="1226" customFormat="false" ht="15" hidden="false" customHeight="false" outlineLevel="0" collapsed="false">
      <c r="A1226" s="33"/>
      <c r="B1226" s="27"/>
      <c r="C1226" s="27"/>
      <c r="D1226" s="27"/>
      <c r="E1226" s="27"/>
      <c r="F1226" s="34"/>
      <c r="G1226" s="27"/>
      <c r="H1226" s="27"/>
      <c r="I1226" s="28" t="str">
        <f aca="false">IF(C1226="","",IFERROR(INDEX(Settings!$C$8:$C$19,MATCH(C1226,Settings!$B$8:$B$19,0)),"?"))</f>
        <v/>
      </c>
      <c r="J1226" s="28" t="str">
        <f aca="false">IF(G1226="","",IFERROR(INDEX(Settings!$C$8:$C$19,MATCH(G1226,Settings!$B$8:$B$19,0)),"?"))</f>
        <v/>
      </c>
      <c r="K1226" s="35" t="str">
        <f aca="false">IF(A1226="","",DATE(YEAR(A1226),MONTH(A1226),1))</f>
        <v/>
      </c>
      <c r="L1226" s="28" t="str">
        <f aca="false">IF(E1226="","",IFERROR(INDEX(Settings!$K$8:$K$38,MATCH(E1226,Settings!$H$8:$H$38,0))&amp;"",""))</f>
        <v/>
      </c>
    </row>
    <row r="1227" customFormat="false" ht="15" hidden="false" customHeight="false" outlineLevel="0" collapsed="false">
      <c r="A1227" s="33"/>
      <c r="B1227" s="27"/>
      <c r="C1227" s="27"/>
      <c r="D1227" s="27"/>
      <c r="E1227" s="27"/>
      <c r="F1227" s="34"/>
      <c r="G1227" s="27"/>
      <c r="H1227" s="27"/>
      <c r="I1227" s="28" t="str">
        <f aca="false">IF(C1227="","",IFERROR(INDEX(Settings!$C$8:$C$19,MATCH(C1227,Settings!$B$8:$B$19,0)),"?"))</f>
        <v/>
      </c>
      <c r="J1227" s="28" t="str">
        <f aca="false">IF(G1227="","",IFERROR(INDEX(Settings!$C$8:$C$19,MATCH(G1227,Settings!$B$8:$B$19,0)),"?"))</f>
        <v/>
      </c>
      <c r="K1227" s="35" t="str">
        <f aca="false">IF(A1227="","",DATE(YEAR(A1227),MONTH(A1227),1))</f>
        <v/>
      </c>
      <c r="L1227" s="28" t="str">
        <f aca="false">IF(E1227="","",IFERROR(INDEX(Settings!$K$8:$K$38,MATCH(E1227,Settings!$H$8:$H$38,0))&amp;"",""))</f>
        <v/>
      </c>
    </row>
    <row r="1228" customFormat="false" ht="15" hidden="false" customHeight="false" outlineLevel="0" collapsed="false">
      <c r="A1228" s="33"/>
      <c r="B1228" s="27"/>
      <c r="C1228" s="27"/>
      <c r="D1228" s="27"/>
      <c r="E1228" s="27"/>
      <c r="F1228" s="34"/>
      <c r="G1228" s="27"/>
      <c r="H1228" s="27"/>
      <c r="I1228" s="28" t="str">
        <f aca="false">IF(C1228="","",IFERROR(INDEX(Settings!$C$8:$C$19,MATCH(C1228,Settings!$B$8:$B$19,0)),"?"))</f>
        <v/>
      </c>
      <c r="J1228" s="28" t="str">
        <f aca="false">IF(G1228="","",IFERROR(INDEX(Settings!$C$8:$C$19,MATCH(G1228,Settings!$B$8:$B$19,0)),"?"))</f>
        <v/>
      </c>
      <c r="K1228" s="35" t="str">
        <f aca="false">IF(A1228="","",DATE(YEAR(A1228),MONTH(A1228),1))</f>
        <v/>
      </c>
      <c r="L1228" s="28" t="str">
        <f aca="false">IF(E1228="","",IFERROR(INDEX(Settings!$K$8:$K$38,MATCH(E1228,Settings!$H$8:$H$38,0))&amp;"",""))</f>
        <v/>
      </c>
    </row>
    <row r="1229" customFormat="false" ht="15" hidden="false" customHeight="false" outlineLevel="0" collapsed="false">
      <c r="A1229" s="33"/>
      <c r="B1229" s="27"/>
      <c r="C1229" s="27"/>
      <c r="D1229" s="27"/>
      <c r="E1229" s="27"/>
      <c r="F1229" s="34"/>
      <c r="G1229" s="27"/>
      <c r="H1229" s="27"/>
      <c r="I1229" s="28" t="str">
        <f aca="false">IF(C1229="","",IFERROR(INDEX(Settings!$C$8:$C$19,MATCH(C1229,Settings!$B$8:$B$19,0)),"?"))</f>
        <v/>
      </c>
      <c r="J1229" s="28" t="str">
        <f aca="false">IF(G1229="","",IFERROR(INDEX(Settings!$C$8:$C$19,MATCH(G1229,Settings!$B$8:$B$19,0)),"?"))</f>
        <v/>
      </c>
      <c r="K1229" s="35" t="str">
        <f aca="false">IF(A1229="","",DATE(YEAR(A1229),MONTH(A1229),1))</f>
        <v/>
      </c>
      <c r="L1229" s="28" t="str">
        <f aca="false">IF(E1229="","",IFERROR(INDEX(Settings!$K$8:$K$38,MATCH(E1229,Settings!$H$8:$H$38,0))&amp;"",""))</f>
        <v/>
      </c>
    </row>
    <row r="1230" customFormat="false" ht="15" hidden="false" customHeight="false" outlineLevel="0" collapsed="false">
      <c r="A1230" s="33"/>
      <c r="B1230" s="27"/>
      <c r="C1230" s="27"/>
      <c r="D1230" s="27"/>
      <c r="E1230" s="27"/>
      <c r="F1230" s="34"/>
      <c r="G1230" s="27"/>
      <c r="H1230" s="27"/>
      <c r="I1230" s="28" t="str">
        <f aca="false">IF(C1230="","",IFERROR(INDEX(Settings!$C$8:$C$19,MATCH(C1230,Settings!$B$8:$B$19,0)),"?"))</f>
        <v/>
      </c>
      <c r="J1230" s="28" t="str">
        <f aca="false">IF(G1230="","",IFERROR(INDEX(Settings!$C$8:$C$19,MATCH(G1230,Settings!$B$8:$B$19,0)),"?"))</f>
        <v/>
      </c>
      <c r="K1230" s="35" t="str">
        <f aca="false">IF(A1230="","",DATE(YEAR(A1230),MONTH(A1230),1))</f>
        <v/>
      </c>
      <c r="L1230" s="28" t="str">
        <f aca="false">IF(E1230="","",IFERROR(INDEX(Settings!$K$8:$K$38,MATCH(E1230,Settings!$H$8:$H$38,0))&amp;"",""))</f>
        <v/>
      </c>
    </row>
    <row r="1231" customFormat="false" ht="15" hidden="false" customHeight="false" outlineLevel="0" collapsed="false">
      <c r="A1231" s="33"/>
      <c r="B1231" s="27"/>
      <c r="C1231" s="27"/>
      <c r="D1231" s="27"/>
      <c r="E1231" s="27"/>
      <c r="F1231" s="34"/>
      <c r="G1231" s="27"/>
      <c r="H1231" s="27"/>
      <c r="I1231" s="28" t="str">
        <f aca="false">IF(C1231="","",IFERROR(INDEX(Settings!$C$8:$C$19,MATCH(C1231,Settings!$B$8:$B$19,0)),"?"))</f>
        <v/>
      </c>
      <c r="J1231" s="28" t="str">
        <f aca="false">IF(G1231="","",IFERROR(INDEX(Settings!$C$8:$C$19,MATCH(G1231,Settings!$B$8:$B$19,0)),"?"))</f>
        <v/>
      </c>
      <c r="K1231" s="35" t="str">
        <f aca="false">IF(A1231="","",DATE(YEAR(A1231),MONTH(A1231),1))</f>
        <v/>
      </c>
      <c r="L1231" s="28" t="str">
        <f aca="false">IF(E1231="","",IFERROR(INDEX(Settings!$K$8:$K$38,MATCH(E1231,Settings!$H$8:$H$38,0))&amp;"",""))</f>
        <v/>
      </c>
    </row>
    <row r="1232" customFormat="false" ht="15" hidden="false" customHeight="false" outlineLevel="0" collapsed="false">
      <c r="A1232" s="33"/>
      <c r="B1232" s="27"/>
      <c r="C1232" s="27"/>
      <c r="D1232" s="27"/>
      <c r="E1232" s="27"/>
      <c r="F1232" s="34"/>
      <c r="G1232" s="27"/>
      <c r="H1232" s="27"/>
      <c r="I1232" s="28" t="str">
        <f aca="false">IF(C1232="","",IFERROR(INDEX(Settings!$C$8:$C$19,MATCH(C1232,Settings!$B$8:$B$19,0)),"?"))</f>
        <v/>
      </c>
      <c r="J1232" s="28" t="str">
        <f aca="false">IF(G1232="","",IFERROR(INDEX(Settings!$C$8:$C$19,MATCH(G1232,Settings!$B$8:$B$19,0)),"?"))</f>
        <v/>
      </c>
      <c r="K1232" s="35" t="str">
        <f aca="false">IF(A1232="","",DATE(YEAR(A1232),MONTH(A1232),1))</f>
        <v/>
      </c>
      <c r="L1232" s="28" t="str">
        <f aca="false">IF(E1232="","",IFERROR(INDEX(Settings!$K$8:$K$38,MATCH(E1232,Settings!$H$8:$H$38,0))&amp;"",""))</f>
        <v/>
      </c>
    </row>
    <row r="1233" customFormat="false" ht="15" hidden="false" customHeight="false" outlineLevel="0" collapsed="false">
      <c r="A1233" s="33"/>
      <c r="B1233" s="27"/>
      <c r="C1233" s="27"/>
      <c r="D1233" s="27"/>
      <c r="E1233" s="27"/>
      <c r="F1233" s="34"/>
      <c r="G1233" s="27"/>
      <c r="H1233" s="27"/>
      <c r="I1233" s="28" t="str">
        <f aca="false">IF(C1233="","",IFERROR(INDEX(Settings!$C$8:$C$19,MATCH(C1233,Settings!$B$8:$B$19,0)),"?"))</f>
        <v/>
      </c>
      <c r="J1233" s="28" t="str">
        <f aca="false">IF(G1233="","",IFERROR(INDEX(Settings!$C$8:$C$19,MATCH(G1233,Settings!$B$8:$B$19,0)),"?"))</f>
        <v/>
      </c>
      <c r="K1233" s="35" t="str">
        <f aca="false">IF(A1233="","",DATE(YEAR(A1233),MONTH(A1233),1))</f>
        <v/>
      </c>
      <c r="L1233" s="28" t="str">
        <f aca="false">IF(E1233="","",IFERROR(INDEX(Settings!$K$8:$K$38,MATCH(E1233,Settings!$H$8:$H$38,0))&amp;"",""))</f>
        <v/>
      </c>
    </row>
    <row r="1234" customFormat="false" ht="15" hidden="false" customHeight="false" outlineLevel="0" collapsed="false">
      <c r="A1234" s="33"/>
      <c r="B1234" s="27"/>
      <c r="C1234" s="27"/>
      <c r="D1234" s="27"/>
      <c r="E1234" s="27"/>
      <c r="F1234" s="34"/>
      <c r="G1234" s="27"/>
      <c r="H1234" s="27"/>
      <c r="I1234" s="28" t="str">
        <f aca="false">IF(C1234="","",IFERROR(INDEX(Settings!$C$8:$C$19,MATCH(C1234,Settings!$B$8:$B$19,0)),"?"))</f>
        <v/>
      </c>
      <c r="J1234" s="28" t="str">
        <f aca="false">IF(G1234="","",IFERROR(INDEX(Settings!$C$8:$C$19,MATCH(G1234,Settings!$B$8:$B$19,0)),"?"))</f>
        <v/>
      </c>
      <c r="K1234" s="35" t="str">
        <f aca="false">IF(A1234="","",DATE(YEAR(A1234),MONTH(A1234),1))</f>
        <v/>
      </c>
      <c r="L1234" s="28" t="str">
        <f aca="false">IF(E1234="","",IFERROR(INDEX(Settings!$K$8:$K$38,MATCH(E1234,Settings!$H$8:$H$38,0))&amp;"",""))</f>
        <v/>
      </c>
    </row>
    <row r="1235" customFormat="false" ht="15" hidden="false" customHeight="false" outlineLevel="0" collapsed="false">
      <c r="A1235" s="33"/>
      <c r="B1235" s="27"/>
      <c r="C1235" s="27"/>
      <c r="D1235" s="27"/>
      <c r="E1235" s="27"/>
      <c r="F1235" s="34"/>
      <c r="G1235" s="27"/>
      <c r="H1235" s="27"/>
      <c r="I1235" s="28" t="str">
        <f aca="false">IF(C1235="","",IFERROR(INDEX(Settings!$C$8:$C$19,MATCH(C1235,Settings!$B$8:$B$19,0)),"?"))</f>
        <v/>
      </c>
      <c r="J1235" s="28" t="str">
        <f aca="false">IF(G1235="","",IFERROR(INDEX(Settings!$C$8:$C$19,MATCH(G1235,Settings!$B$8:$B$19,0)),"?"))</f>
        <v/>
      </c>
      <c r="K1235" s="35" t="str">
        <f aca="false">IF(A1235="","",DATE(YEAR(A1235),MONTH(A1235),1))</f>
        <v/>
      </c>
      <c r="L1235" s="28" t="str">
        <f aca="false">IF(E1235="","",IFERROR(INDEX(Settings!$K$8:$K$38,MATCH(E1235,Settings!$H$8:$H$38,0))&amp;"",""))</f>
        <v/>
      </c>
    </row>
    <row r="1236" customFormat="false" ht="15" hidden="false" customHeight="false" outlineLevel="0" collapsed="false">
      <c r="A1236" s="33"/>
      <c r="B1236" s="27"/>
      <c r="C1236" s="27"/>
      <c r="D1236" s="27"/>
      <c r="E1236" s="27"/>
      <c r="F1236" s="34"/>
      <c r="G1236" s="27"/>
      <c r="H1236" s="27"/>
      <c r="I1236" s="28" t="str">
        <f aca="false">IF(C1236="","",IFERROR(INDEX(Settings!$C$8:$C$19,MATCH(C1236,Settings!$B$8:$B$19,0)),"?"))</f>
        <v/>
      </c>
      <c r="J1236" s="28" t="str">
        <f aca="false">IF(G1236="","",IFERROR(INDEX(Settings!$C$8:$C$19,MATCH(G1236,Settings!$B$8:$B$19,0)),"?"))</f>
        <v/>
      </c>
      <c r="K1236" s="35" t="str">
        <f aca="false">IF(A1236="","",DATE(YEAR(A1236),MONTH(A1236),1))</f>
        <v/>
      </c>
      <c r="L1236" s="28" t="str">
        <f aca="false">IF(E1236="","",IFERROR(INDEX(Settings!$K$8:$K$38,MATCH(E1236,Settings!$H$8:$H$38,0))&amp;"",""))</f>
        <v/>
      </c>
    </row>
    <row r="1237" customFormat="false" ht="15" hidden="false" customHeight="false" outlineLevel="0" collapsed="false">
      <c r="A1237" s="33"/>
      <c r="B1237" s="27"/>
      <c r="C1237" s="27"/>
      <c r="D1237" s="27"/>
      <c r="E1237" s="27"/>
      <c r="F1237" s="34"/>
      <c r="G1237" s="27"/>
      <c r="H1237" s="27"/>
      <c r="I1237" s="28" t="str">
        <f aca="false">IF(C1237="","",IFERROR(INDEX(Settings!$C$8:$C$19,MATCH(C1237,Settings!$B$8:$B$19,0)),"?"))</f>
        <v/>
      </c>
      <c r="J1237" s="28" t="str">
        <f aca="false">IF(G1237="","",IFERROR(INDEX(Settings!$C$8:$C$19,MATCH(G1237,Settings!$B$8:$B$19,0)),"?"))</f>
        <v/>
      </c>
      <c r="K1237" s="35" t="str">
        <f aca="false">IF(A1237="","",DATE(YEAR(A1237),MONTH(A1237),1))</f>
        <v/>
      </c>
      <c r="L1237" s="28" t="str">
        <f aca="false">IF(E1237="","",IFERROR(INDEX(Settings!$K$8:$K$38,MATCH(E1237,Settings!$H$8:$H$38,0))&amp;"",""))</f>
        <v/>
      </c>
    </row>
    <row r="1238" customFormat="false" ht="15" hidden="false" customHeight="false" outlineLevel="0" collapsed="false">
      <c r="A1238" s="33"/>
      <c r="B1238" s="27"/>
      <c r="C1238" s="27"/>
      <c r="D1238" s="27"/>
      <c r="E1238" s="27"/>
      <c r="F1238" s="34"/>
      <c r="G1238" s="27"/>
      <c r="H1238" s="27"/>
      <c r="I1238" s="28" t="str">
        <f aca="false">IF(C1238="","",IFERROR(INDEX(Settings!$C$8:$C$19,MATCH(C1238,Settings!$B$8:$B$19,0)),"?"))</f>
        <v/>
      </c>
      <c r="J1238" s="28" t="str">
        <f aca="false">IF(G1238="","",IFERROR(INDEX(Settings!$C$8:$C$19,MATCH(G1238,Settings!$B$8:$B$19,0)),"?"))</f>
        <v/>
      </c>
      <c r="K1238" s="35" t="str">
        <f aca="false">IF(A1238="","",DATE(YEAR(A1238),MONTH(A1238),1))</f>
        <v/>
      </c>
      <c r="L1238" s="28" t="str">
        <f aca="false">IF(E1238="","",IFERROR(INDEX(Settings!$K$8:$K$38,MATCH(E1238,Settings!$H$8:$H$38,0))&amp;"",""))</f>
        <v/>
      </c>
    </row>
    <row r="1239" customFormat="false" ht="15" hidden="false" customHeight="false" outlineLevel="0" collapsed="false">
      <c r="A1239" s="33"/>
      <c r="B1239" s="27"/>
      <c r="C1239" s="27"/>
      <c r="D1239" s="27"/>
      <c r="E1239" s="27"/>
      <c r="F1239" s="34"/>
      <c r="G1239" s="27"/>
      <c r="H1239" s="27"/>
      <c r="I1239" s="28" t="str">
        <f aca="false">IF(C1239="","",IFERROR(INDEX(Settings!$C$8:$C$19,MATCH(C1239,Settings!$B$8:$B$19,0)),"?"))</f>
        <v/>
      </c>
      <c r="J1239" s="28" t="str">
        <f aca="false">IF(G1239="","",IFERROR(INDEX(Settings!$C$8:$C$19,MATCH(G1239,Settings!$B$8:$B$19,0)),"?"))</f>
        <v/>
      </c>
      <c r="K1239" s="35" t="str">
        <f aca="false">IF(A1239="","",DATE(YEAR(A1239),MONTH(A1239),1))</f>
        <v/>
      </c>
      <c r="L1239" s="28" t="str">
        <f aca="false">IF(E1239="","",IFERROR(INDEX(Settings!$K$8:$K$38,MATCH(E1239,Settings!$H$8:$H$38,0))&amp;"",""))</f>
        <v/>
      </c>
    </row>
    <row r="1240" customFormat="false" ht="15" hidden="false" customHeight="false" outlineLevel="0" collapsed="false">
      <c r="A1240" s="33"/>
      <c r="B1240" s="27"/>
      <c r="C1240" s="27"/>
      <c r="D1240" s="27"/>
      <c r="E1240" s="27"/>
      <c r="F1240" s="34"/>
      <c r="G1240" s="27"/>
      <c r="H1240" s="27"/>
      <c r="I1240" s="28" t="str">
        <f aca="false">IF(C1240="","",IFERROR(INDEX(Settings!$C$8:$C$19,MATCH(C1240,Settings!$B$8:$B$19,0)),"?"))</f>
        <v/>
      </c>
      <c r="J1240" s="28" t="str">
        <f aca="false">IF(G1240="","",IFERROR(INDEX(Settings!$C$8:$C$19,MATCH(G1240,Settings!$B$8:$B$19,0)),"?"))</f>
        <v/>
      </c>
      <c r="K1240" s="35" t="str">
        <f aca="false">IF(A1240="","",DATE(YEAR(A1240),MONTH(A1240),1))</f>
        <v/>
      </c>
      <c r="L1240" s="28" t="str">
        <f aca="false">IF(E1240="","",IFERROR(INDEX(Settings!$K$8:$K$38,MATCH(E1240,Settings!$H$8:$H$38,0))&amp;"",""))</f>
        <v/>
      </c>
    </row>
    <row r="1241" customFormat="false" ht="15" hidden="false" customHeight="false" outlineLevel="0" collapsed="false">
      <c r="A1241" s="33"/>
      <c r="B1241" s="27"/>
      <c r="C1241" s="27"/>
      <c r="D1241" s="27"/>
      <c r="E1241" s="27"/>
      <c r="F1241" s="34"/>
      <c r="G1241" s="27"/>
      <c r="H1241" s="27"/>
      <c r="I1241" s="28" t="str">
        <f aca="false">IF(C1241="","",IFERROR(INDEX(Settings!$C$8:$C$19,MATCH(C1241,Settings!$B$8:$B$19,0)),"?"))</f>
        <v/>
      </c>
      <c r="J1241" s="28" t="str">
        <f aca="false">IF(G1241="","",IFERROR(INDEX(Settings!$C$8:$C$19,MATCH(G1241,Settings!$B$8:$B$19,0)),"?"))</f>
        <v/>
      </c>
      <c r="K1241" s="35" t="str">
        <f aca="false">IF(A1241="","",DATE(YEAR(A1241),MONTH(A1241),1))</f>
        <v/>
      </c>
      <c r="L1241" s="28" t="str">
        <f aca="false">IF(E1241="","",IFERROR(INDEX(Settings!$K$8:$K$38,MATCH(E1241,Settings!$H$8:$H$38,0))&amp;"",""))</f>
        <v/>
      </c>
    </row>
    <row r="1242" customFormat="false" ht="15" hidden="false" customHeight="false" outlineLevel="0" collapsed="false">
      <c r="A1242" s="33"/>
      <c r="B1242" s="27"/>
      <c r="C1242" s="27"/>
      <c r="D1242" s="27"/>
      <c r="E1242" s="27"/>
      <c r="F1242" s="34"/>
      <c r="G1242" s="27"/>
      <c r="H1242" s="27"/>
      <c r="I1242" s="28" t="str">
        <f aca="false">IF(C1242="","",IFERROR(INDEX(Settings!$C$8:$C$19,MATCH(C1242,Settings!$B$8:$B$19,0)),"?"))</f>
        <v/>
      </c>
      <c r="J1242" s="28" t="str">
        <f aca="false">IF(G1242="","",IFERROR(INDEX(Settings!$C$8:$C$19,MATCH(G1242,Settings!$B$8:$B$19,0)),"?"))</f>
        <v/>
      </c>
      <c r="K1242" s="35" t="str">
        <f aca="false">IF(A1242="","",DATE(YEAR(A1242),MONTH(A1242),1))</f>
        <v/>
      </c>
      <c r="L1242" s="28" t="str">
        <f aca="false">IF(E1242="","",IFERROR(INDEX(Settings!$K$8:$K$38,MATCH(E1242,Settings!$H$8:$H$38,0))&amp;"",""))</f>
        <v/>
      </c>
    </row>
    <row r="1243" customFormat="false" ht="15" hidden="false" customHeight="false" outlineLevel="0" collapsed="false">
      <c r="A1243" s="33"/>
      <c r="B1243" s="27"/>
      <c r="C1243" s="27"/>
      <c r="D1243" s="27"/>
      <c r="E1243" s="27"/>
      <c r="F1243" s="34"/>
      <c r="G1243" s="27"/>
      <c r="H1243" s="27"/>
      <c r="I1243" s="28" t="str">
        <f aca="false">IF(C1243="","",IFERROR(INDEX(Settings!$C$8:$C$19,MATCH(C1243,Settings!$B$8:$B$19,0)),"?"))</f>
        <v/>
      </c>
      <c r="J1243" s="28" t="str">
        <f aca="false">IF(G1243="","",IFERROR(INDEX(Settings!$C$8:$C$19,MATCH(G1243,Settings!$B$8:$B$19,0)),"?"))</f>
        <v/>
      </c>
      <c r="K1243" s="35" t="str">
        <f aca="false">IF(A1243="","",DATE(YEAR(A1243),MONTH(A1243),1))</f>
        <v/>
      </c>
      <c r="L1243" s="28" t="str">
        <f aca="false">IF(E1243="","",IFERROR(INDEX(Settings!$K$8:$K$38,MATCH(E1243,Settings!$H$8:$H$38,0))&amp;"",""))</f>
        <v/>
      </c>
    </row>
    <row r="1244" customFormat="false" ht="15" hidden="false" customHeight="false" outlineLevel="0" collapsed="false">
      <c r="A1244" s="33"/>
      <c r="B1244" s="27"/>
      <c r="C1244" s="27"/>
      <c r="D1244" s="27"/>
      <c r="E1244" s="27"/>
      <c r="F1244" s="34"/>
      <c r="G1244" s="27"/>
      <c r="H1244" s="27"/>
      <c r="I1244" s="28" t="str">
        <f aca="false">IF(C1244="","",IFERROR(INDEX(Settings!$C$8:$C$19,MATCH(C1244,Settings!$B$8:$B$19,0)),"?"))</f>
        <v/>
      </c>
      <c r="J1244" s="28" t="str">
        <f aca="false">IF(G1244="","",IFERROR(INDEX(Settings!$C$8:$C$19,MATCH(G1244,Settings!$B$8:$B$19,0)),"?"))</f>
        <v/>
      </c>
      <c r="K1244" s="35" t="str">
        <f aca="false">IF(A1244="","",DATE(YEAR(A1244),MONTH(A1244),1))</f>
        <v/>
      </c>
      <c r="L1244" s="28" t="str">
        <f aca="false">IF(E1244="","",IFERROR(INDEX(Settings!$K$8:$K$38,MATCH(E1244,Settings!$H$8:$H$38,0))&amp;"",""))</f>
        <v/>
      </c>
    </row>
    <row r="1245" customFormat="false" ht="15" hidden="false" customHeight="false" outlineLevel="0" collapsed="false">
      <c r="A1245" s="33"/>
      <c r="B1245" s="27"/>
      <c r="C1245" s="27"/>
      <c r="D1245" s="27"/>
      <c r="E1245" s="27"/>
      <c r="F1245" s="34"/>
      <c r="G1245" s="27"/>
      <c r="H1245" s="27"/>
      <c r="I1245" s="28" t="str">
        <f aca="false">IF(C1245="","",IFERROR(INDEX(Settings!$C$8:$C$19,MATCH(C1245,Settings!$B$8:$B$19,0)),"?"))</f>
        <v/>
      </c>
      <c r="J1245" s="28" t="str">
        <f aca="false">IF(G1245="","",IFERROR(INDEX(Settings!$C$8:$C$19,MATCH(G1245,Settings!$B$8:$B$19,0)),"?"))</f>
        <v/>
      </c>
      <c r="K1245" s="35" t="str">
        <f aca="false">IF(A1245="","",DATE(YEAR(A1245),MONTH(A1245),1))</f>
        <v/>
      </c>
      <c r="L1245" s="28" t="str">
        <f aca="false">IF(E1245="","",IFERROR(INDEX(Settings!$K$8:$K$38,MATCH(E1245,Settings!$H$8:$H$38,0))&amp;"",""))</f>
        <v/>
      </c>
    </row>
    <row r="1246" customFormat="false" ht="15" hidden="false" customHeight="false" outlineLevel="0" collapsed="false">
      <c r="A1246" s="33"/>
      <c r="B1246" s="27"/>
      <c r="C1246" s="27"/>
      <c r="D1246" s="27"/>
      <c r="E1246" s="27"/>
      <c r="F1246" s="34"/>
      <c r="G1246" s="27"/>
      <c r="H1246" s="27"/>
      <c r="I1246" s="28" t="str">
        <f aca="false">IF(C1246="","",IFERROR(INDEX(Settings!$C$8:$C$19,MATCH(C1246,Settings!$B$8:$B$19,0)),"?"))</f>
        <v/>
      </c>
      <c r="J1246" s="28" t="str">
        <f aca="false">IF(G1246="","",IFERROR(INDEX(Settings!$C$8:$C$19,MATCH(G1246,Settings!$B$8:$B$19,0)),"?"))</f>
        <v/>
      </c>
      <c r="K1246" s="35" t="str">
        <f aca="false">IF(A1246="","",DATE(YEAR(A1246),MONTH(A1246),1))</f>
        <v/>
      </c>
      <c r="L1246" s="28" t="str">
        <f aca="false">IF(E1246="","",IFERROR(INDEX(Settings!$K$8:$K$38,MATCH(E1246,Settings!$H$8:$H$38,0))&amp;"",""))</f>
        <v/>
      </c>
    </row>
    <row r="1247" customFormat="false" ht="15" hidden="false" customHeight="false" outlineLevel="0" collapsed="false">
      <c r="A1247" s="33"/>
      <c r="B1247" s="27"/>
      <c r="C1247" s="27"/>
      <c r="D1247" s="27"/>
      <c r="E1247" s="27"/>
      <c r="F1247" s="34"/>
      <c r="G1247" s="27"/>
      <c r="H1247" s="27"/>
      <c r="I1247" s="28" t="str">
        <f aca="false">IF(C1247="","",IFERROR(INDEX(Settings!$C$8:$C$19,MATCH(C1247,Settings!$B$8:$B$19,0)),"?"))</f>
        <v/>
      </c>
      <c r="J1247" s="28" t="str">
        <f aca="false">IF(G1247="","",IFERROR(INDEX(Settings!$C$8:$C$19,MATCH(G1247,Settings!$B$8:$B$19,0)),"?"))</f>
        <v/>
      </c>
      <c r="K1247" s="35" t="str">
        <f aca="false">IF(A1247="","",DATE(YEAR(A1247),MONTH(A1247),1))</f>
        <v/>
      </c>
      <c r="L1247" s="28" t="str">
        <f aca="false">IF(E1247="","",IFERROR(INDEX(Settings!$K$8:$K$38,MATCH(E1247,Settings!$H$8:$H$38,0))&amp;"",""))</f>
        <v/>
      </c>
    </row>
    <row r="1248" customFormat="false" ht="15" hidden="false" customHeight="false" outlineLevel="0" collapsed="false">
      <c r="A1248" s="33"/>
      <c r="B1248" s="27"/>
      <c r="C1248" s="27"/>
      <c r="D1248" s="27"/>
      <c r="E1248" s="27"/>
      <c r="F1248" s="34"/>
      <c r="G1248" s="27"/>
      <c r="H1248" s="27"/>
      <c r="I1248" s="28" t="str">
        <f aca="false">IF(C1248="","",IFERROR(INDEX(Settings!$C$8:$C$19,MATCH(C1248,Settings!$B$8:$B$19,0)),"?"))</f>
        <v/>
      </c>
      <c r="J1248" s="28" t="str">
        <f aca="false">IF(G1248="","",IFERROR(INDEX(Settings!$C$8:$C$19,MATCH(G1248,Settings!$B$8:$B$19,0)),"?"))</f>
        <v/>
      </c>
      <c r="K1248" s="35" t="str">
        <f aca="false">IF(A1248="","",DATE(YEAR(A1248),MONTH(A1248),1))</f>
        <v/>
      </c>
      <c r="L1248" s="28" t="str">
        <f aca="false">IF(E1248="","",IFERROR(INDEX(Settings!$K$8:$K$38,MATCH(E1248,Settings!$H$8:$H$38,0))&amp;"",""))</f>
        <v/>
      </c>
    </row>
    <row r="1249" customFormat="false" ht="15" hidden="false" customHeight="false" outlineLevel="0" collapsed="false">
      <c r="A1249" s="33"/>
      <c r="B1249" s="27"/>
      <c r="C1249" s="27"/>
      <c r="D1249" s="27"/>
      <c r="E1249" s="27"/>
      <c r="F1249" s="34"/>
      <c r="G1249" s="27"/>
      <c r="H1249" s="27"/>
      <c r="I1249" s="28" t="str">
        <f aca="false">IF(C1249="","",IFERROR(INDEX(Settings!$C$8:$C$19,MATCH(C1249,Settings!$B$8:$B$19,0)),"?"))</f>
        <v/>
      </c>
      <c r="J1249" s="28" t="str">
        <f aca="false">IF(G1249="","",IFERROR(INDEX(Settings!$C$8:$C$19,MATCH(G1249,Settings!$B$8:$B$19,0)),"?"))</f>
        <v/>
      </c>
      <c r="K1249" s="35" t="str">
        <f aca="false">IF(A1249="","",DATE(YEAR(A1249),MONTH(A1249),1))</f>
        <v/>
      </c>
      <c r="L1249" s="28" t="str">
        <f aca="false">IF(E1249="","",IFERROR(INDEX(Settings!$K$8:$K$38,MATCH(E1249,Settings!$H$8:$H$38,0))&amp;"",""))</f>
        <v/>
      </c>
    </row>
    <row r="1250" customFormat="false" ht="15" hidden="false" customHeight="false" outlineLevel="0" collapsed="false">
      <c r="A1250" s="33"/>
      <c r="B1250" s="27"/>
      <c r="C1250" s="27"/>
      <c r="D1250" s="27"/>
      <c r="E1250" s="27"/>
      <c r="F1250" s="34"/>
      <c r="G1250" s="27"/>
      <c r="H1250" s="27"/>
      <c r="I1250" s="28" t="str">
        <f aca="false">IF(C1250="","",IFERROR(INDEX(Settings!$C$8:$C$19,MATCH(C1250,Settings!$B$8:$B$19,0)),"?"))</f>
        <v/>
      </c>
      <c r="J1250" s="28" t="str">
        <f aca="false">IF(G1250="","",IFERROR(INDEX(Settings!$C$8:$C$19,MATCH(G1250,Settings!$B$8:$B$19,0)),"?"))</f>
        <v/>
      </c>
      <c r="K1250" s="35" t="str">
        <f aca="false">IF(A1250="","",DATE(YEAR(A1250),MONTH(A1250),1))</f>
        <v/>
      </c>
      <c r="L1250" s="28" t="str">
        <f aca="false">IF(E1250="","",IFERROR(INDEX(Settings!$K$8:$K$38,MATCH(E1250,Settings!$H$8:$H$38,0))&amp;"",""))</f>
        <v/>
      </c>
    </row>
    <row r="1251" customFormat="false" ht="15" hidden="false" customHeight="false" outlineLevel="0" collapsed="false">
      <c r="A1251" s="33"/>
      <c r="B1251" s="27"/>
      <c r="C1251" s="27"/>
      <c r="D1251" s="27"/>
      <c r="E1251" s="27"/>
      <c r="F1251" s="34"/>
      <c r="G1251" s="27"/>
      <c r="H1251" s="27"/>
      <c r="I1251" s="28" t="str">
        <f aca="false">IF(C1251="","",IFERROR(INDEX(Settings!$C$8:$C$19,MATCH(C1251,Settings!$B$8:$B$19,0)),"?"))</f>
        <v/>
      </c>
      <c r="J1251" s="28" t="str">
        <f aca="false">IF(G1251="","",IFERROR(INDEX(Settings!$C$8:$C$19,MATCH(G1251,Settings!$B$8:$B$19,0)),"?"))</f>
        <v/>
      </c>
      <c r="K1251" s="35" t="str">
        <f aca="false">IF(A1251="","",DATE(YEAR(A1251),MONTH(A1251),1))</f>
        <v/>
      </c>
      <c r="L1251" s="28" t="str">
        <f aca="false">IF(E1251="","",IFERROR(INDEX(Settings!$K$8:$K$38,MATCH(E1251,Settings!$H$8:$H$38,0))&amp;"",""))</f>
        <v/>
      </c>
    </row>
    <row r="1252" customFormat="false" ht="15" hidden="false" customHeight="false" outlineLevel="0" collapsed="false">
      <c r="A1252" s="33"/>
      <c r="B1252" s="27"/>
      <c r="C1252" s="27"/>
      <c r="D1252" s="27"/>
      <c r="E1252" s="27"/>
      <c r="F1252" s="34"/>
      <c r="G1252" s="27"/>
      <c r="H1252" s="27"/>
      <c r="I1252" s="28" t="str">
        <f aca="false">IF(C1252="","",IFERROR(INDEX(Settings!$C$8:$C$19,MATCH(C1252,Settings!$B$8:$B$19,0)),"?"))</f>
        <v/>
      </c>
      <c r="J1252" s="28" t="str">
        <f aca="false">IF(G1252="","",IFERROR(INDEX(Settings!$C$8:$C$19,MATCH(G1252,Settings!$B$8:$B$19,0)),"?"))</f>
        <v/>
      </c>
      <c r="K1252" s="35" t="str">
        <f aca="false">IF(A1252="","",DATE(YEAR(A1252),MONTH(A1252),1))</f>
        <v/>
      </c>
      <c r="L1252" s="28" t="str">
        <f aca="false">IF(E1252="","",IFERROR(INDEX(Settings!$K$8:$K$38,MATCH(E1252,Settings!$H$8:$H$38,0))&amp;"",""))</f>
        <v/>
      </c>
    </row>
    <row r="1253" customFormat="false" ht="15" hidden="false" customHeight="false" outlineLevel="0" collapsed="false">
      <c r="A1253" s="33"/>
      <c r="B1253" s="27"/>
      <c r="C1253" s="27"/>
      <c r="D1253" s="27"/>
      <c r="E1253" s="27"/>
      <c r="F1253" s="34"/>
      <c r="G1253" s="27"/>
      <c r="H1253" s="27"/>
      <c r="I1253" s="28" t="str">
        <f aca="false">IF(C1253="","",IFERROR(INDEX(Settings!$C$8:$C$19,MATCH(C1253,Settings!$B$8:$B$19,0)),"?"))</f>
        <v/>
      </c>
      <c r="J1253" s="28" t="str">
        <f aca="false">IF(G1253="","",IFERROR(INDEX(Settings!$C$8:$C$19,MATCH(G1253,Settings!$B$8:$B$19,0)),"?"))</f>
        <v/>
      </c>
      <c r="K1253" s="35" t="str">
        <f aca="false">IF(A1253="","",DATE(YEAR(A1253),MONTH(A1253),1))</f>
        <v/>
      </c>
      <c r="L1253" s="28" t="str">
        <f aca="false">IF(E1253="","",IFERROR(INDEX(Settings!$K$8:$K$38,MATCH(E1253,Settings!$H$8:$H$38,0))&amp;"",""))</f>
        <v/>
      </c>
    </row>
    <row r="1254" customFormat="false" ht="15" hidden="false" customHeight="false" outlineLevel="0" collapsed="false">
      <c r="A1254" s="33"/>
      <c r="B1254" s="27"/>
      <c r="C1254" s="27"/>
      <c r="D1254" s="27"/>
      <c r="E1254" s="27"/>
      <c r="F1254" s="34"/>
      <c r="G1254" s="27"/>
      <c r="H1254" s="27"/>
      <c r="I1254" s="28" t="str">
        <f aca="false">IF(C1254="","",IFERROR(INDEX(Settings!$C$8:$C$19,MATCH(C1254,Settings!$B$8:$B$19,0)),"?"))</f>
        <v/>
      </c>
      <c r="J1254" s="28" t="str">
        <f aca="false">IF(G1254="","",IFERROR(INDEX(Settings!$C$8:$C$19,MATCH(G1254,Settings!$B$8:$B$19,0)),"?"))</f>
        <v/>
      </c>
      <c r="K1254" s="35" t="str">
        <f aca="false">IF(A1254="","",DATE(YEAR(A1254),MONTH(A1254),1))</f>
        <v/>
      </c>
      <c r="L1254" s="28" t="str">
        <f aca="false">IF(E1254="","",IFERROR(INDEX(Settings!$K$8:$K$38,MATCH(E1254,Settings!$H$8:$H$38,0))&amp;"",""))</f>
        <v/>
      </c>
    </row>
    <row r="1255" customFormat="false" ht="15" hidden="false" customHeight="false" outlineLevel="0" collapsed="false">
      <c r="A1255" s="33"/>
      <c r="B1255" s="27"/>
      <c r="C1255" s="27"/>
      <c r="D1255" s="27"/>
      <c r="E1255" s="27"/>
      <c r="F1255" s="34"/>
      <c r="G1255" s="27"/>
      <c r="H1255" s="27"/>
      <c r="I1255" s="28" t="str">
        <f aca="false">IF(C1255="","",IFERROR(INDEX(Settings!$C$8:$C$19,MATCH(C1255,Settings!$B$8:$B$19,0)),"?"))</f>
        <v/>
      </c>
      <c r="J1255" s="28" t="str">
        <f aca="false">IF(G1255="","",IFERROR(INDEX(Settings!$C$8:$C$19,MATCH(G1255,Settings!$B$8:$B$19,0)),"?"))</f>
        <v/>
      </c>
      <c r="K1255" s="35" t="str">
        <f aca="false">IF(A1255="","",DATE(YEAR(A1255),MONTH(A1255),1))</f>
        <v/>
      </c>
      <c r="L1255" s="28" t="str">
        <f aca="false">IF(E1255="","",IFERROR(INDEX(Settings!$K$8:$K$38,MATCH(E1255,Settings!$H$8:$H$38,0))&amp;"",""))</f>
        <v/>
      </c>
    </row>
    <row r="1256" customFormat="false" ht="15" hidden="false" customHeight="false" outlineLevel="0" collapsed="false">
      <c r="A1256" s="33"/>
      <c r="B1256" s="27"/>
      <c r="C1256" s="27"/>
      <c r="D1256" s="27"/>
      <c r="E1256" s="27"/>
      <c r="F1256" s="34"/>
      <c r="G1256" s="27"/>
      <c r="H1256" s="27"/>
      <c r="I1256" s="28" t="str">
        <f aca="false">IF(C1256="","",IFERROR(INDEX(Settings!$C$8:$C$19,MATCH(C1256,Settings!$B$8:$B$19,0)),"?"))</f>
        <v/>
      </c>
      <c r="J1256" s="28" t="str">
        <f aca="false">IF(G1256="","",IFERROR(INDEX(Settings!$C$8:$C$19,MATCH(G1256,Settings!$B$8:$B$19,0)),"?"))</f>
        <v/>
      </c>
      <c r="K1256" s="35" t="str">
        <f aca="false">IF(A1256="","",DATE(YEAR(A1256),MONTH(A1256),1))</f>
        <v/>
      </c>
      <c r="L1256" s="28" t="str">
        <f aca="false">IF(E1256="","",IFERROR(INDEX(Settings!$K$8:$K$38,MATCH(E1256,Settings!$H$8:$H$38,0))&amp;"",""))</f>
        <v/>
      </c>
    </row>
    <row r="1257" customFormat="false" ht="15" hidden="false" customHeight="false" outlineLevel="0" collapsed="false">
      <c r="A1257" s="33"/>
      <c r="B1257" s="27"/>
      <c r="C1257" s="27"/>
      <c r="D1257" s="27"/>
      <c r="E1257" s="27"/>
      <c r="F1257" s="34"/>
      <c r="G1257" s="27"/>
      <c r="H1257" s="27"/>
      <c r="I1257" s="28" t="str">
        <f aca="false">IF(C1257="","",IFERROR(INDEX(Settings!$C$8:$C$19,MATCH(C1257,Settings!$B$8:$B$19,0)),"?"))</f>
        <v/>
      </c>
      <c r="J1257" s="28" t="str">
        <f aca="false">IF(G1257="","",IFERROR(INDEX(Settings!$C$8:$C$19,MATCH(G1257,Settings!$B$8:$B$19,0)),"?"))</f>
        <v/>
      </c>
      <c r="K1257" s="35" t="str">
        <f aca="false">IF(A1257="","",DATE(YEAR(A1257),MONTH(A1257),1))</f>
        <v/>
      </c>
      <c r="L1257" s="28" t="str">
        <f aca="false">IF(E1257="","",IFERROR(INDEX(Settings!$K$8:$K$38,MATCH(E1257,Settings!$H$8:$H$38,0))&amp;"",""))</f>
        <v/>
      </c>
    </row>
    <row r="1258" customFormat="false" ht="15" hidden="false" customHeight="false" outlineLevel="0" collapsed="false">
      <c r="A1258" s="33"/>
      <c r="B1258" s="27"/>
      <c r="C1258" s="27"/>
      <c r="D1258" s="27"/>
      <c r="E1258" s="27"/>
      <c r="F1258" s="34"/>
      <c r="G1258" s="27"/>
      <c r="H1258" s="27"/>
      <c r="I1258" s="28" t="str">
        <f aca="false">IF(C1258="","",IFERROR(INDEX(Settings!$C$8:$C$19,MATCH(C1258,Settings!$B$8:$B$19,0)),"?"))</f>
        <v/>
      </c>
      <c r="J1258" s="28" t="str">
        <f aca="false">IF(G1258="","",IFERROR(INDEX(Settings!$C$8:$C$19,MATCH(G1258,Settings!$B$8:$B$19,0)),"?"))</f>
        <v/>
      </c>
      <c r="K1258" s="35" t="str">
        <f aca="false">IF(A1258="","",DATE(YEAR(A1258),MONTH(A1258),1))</f>
        <v/>
      </c>
      <c r="L1258" s="28" t="str">
        <f aca="false">IF(E1258="","",IFERROR(INDEX(Settings!$K$8:$K$38,MATCH(E1258,Settings!$H$8:$H$38,0))&amp;"",""))</f>
        <v/>
      </c>
    </row>
    <row r="1259" customFormat="false" ht="15" hidden="false" customHeight="false" outlineLevel="0" collapsed="false">
      <c r="A1259" s="33"/>
      <c r="B1259" s="27"/>
      <c r="C1259" s="27"/>
      <c r="D1259" s="27"/>
      <c r="E1259" s="27"/>
      <c r="F1259" s="34"/>
      <c r="G1259" s="27"/>
      <c r="H1259" s="27"/>
      <c r="I1259" s="28" t="str">
        <f aca="false">IF(C1259="","",IFERROR(INDEX(Settings!$C$8:$C$19,MATCH(C1259,Settings!$B$8:$B$19,0)),"?"))</f>
        <v/>
      </c>
      <c r="J1259" s="28" t="str">
        <f aca="false">IF(G1259="","",IFERROR(INDEX(Settings!$C$8:$C$19,MATCH(G1259,Settings!$B$8:$B$19,0)),"?"))</f>
        <v/>
      </c>
      <c r="K1259" s="35" t="str">
        <f aca="false">IF(A1259="","",DATE(YEAR(A1259),MONTH(A1259),1))</f>
        <v/>
      </c>
      <c r="L1259" s="28" t="str">
        <f aca="false">IF(E1259="","",IFERROR(INDEX(Settings!$K$8:$K$38,MATCH(E1259,Settings!$H$8:$H$38,0))&amp;"",""))</f>
        <v/>
      </c>
    </row>
    <row r="1260" customFormat="false" ht="15" hidden="false" customHeight="false" outlineLevel="0" collapsed="false">
      <c r="A1260" s="33"/>
      <c r="B1260" s="27"/>
      <c r="C1260" s="27"/>
      <c r="D1260" s="27"/>
      <c r="E1260" s="27"/>
      <c r="F1260" s="34"/>
      <c r="G1260" s="27"/>
      <c r="H1260" s="27"/>
      <c r="I1260" s="28" t="str">
        <f aca="false">IF(C1260="","",IFERROR(INDEX(Settings!$C$8:$C$19,MATCH(C1260,Settings!$B$8:$B$19,0)),"?"))</f>
        <v/>
      </c>
      <c r="J1260" s="28" t="str">
        <f aca="false">IF(G1260="","",IFERROR(INDEX(Settings!$C$8:$C$19,MATCH(G1260,Settings!$B$8:$B$19,0)),"?"))</f>
        <v/>
      </c>
      <c r="K1260" s="35" t="str">
        <f aca="false">IF(A1260="","",DATE(YEAR(A1260),MONTH(A1260),1))</f>
        <v/>
      </c>
      <c r="L1260" s="28" t="str">
        <f aca="false">IF(E1260="","",IFERROR(INDEX(Settings!$K$8:$K$38,MATCH(E1260,Settings!$H$8:$H$38,0))&amp;"",""))</f>
        <v/>
      </c>
    </row>
    <row r="1261" customFormat="false" ht="15" hidden="false" customHeight="false" outlineLevel="0" collapsed="false">
      <c r="A1261" s="33"/>
      <c r="B1261" s="27"/>
      <c r="C1261" s="27"/>
      <c r="D1261" s="27"/>
      <c r="E1261" s="27"/>
      <c r="F1261" s="34"/>
      <c r="G1261" s="27"/>
      <c r="H1261" s="27"/>
      <c r="I1261" s="28" t="str">
        <f aca="false">IF(C1261="","",IFERROR(INDEX(Settings!$C$8:$C$19,MATCH(C1261,Settings!$B$8:$B$19,0)),"?"))</f>
        <v/>
      </c>
      <c r="J1261" s="28" t="str">
        <f aca="false">IF(G1261="","",IFERROR(INDEX(Settings!$C$8:$C$19,MATCH(G1261,Settings!$B$8:$B$19,0)),"?"))</f>
        <v/>
      </c>
      <c r="K1261" s="35" t="str">
        <f aca="false">IF(A1261="","",DATE(YEAR(A1261),MONTH(A1261),1))</f>
        <v/>
      </c>
      <c r="L1261" s="28" t="str">
        <f aca="false">IF(E1261="","",IFERROR(INDEX(Settings!$K$8:$K$38,MATCH(E1261,Settings!$H$8:$H$38,0))&amp;"",""))</f>
        <v/>
      </c>
    </row>
    <row r="1262" customFormat="false" ht="15" hidden="false" customHeight="false" outlineLevel="0" collapsed="false">
      <c r="A1262" s="33"/>
      <c r="B1262" s="27"/>
      <c r="C1262" s="27"/>
      <c r="D1262" s="27"/>
      <c r="E1262" s="27"/>
      <c r="F1262" s="34"/>
      <c r="G1262" s="27"/>
      <c r="H1262" s="27"/>
      <c r="I1262" s="28" t="str">
        <f aca="false">IF(C1262="","",IFERROR(INDEX(Settings!$C$8:$C$19,MATCH(C1262,Settings!$B$8:$B$19,0)),"?"))</f>
        <v/>
      </c>
      <c r="J1262" s="28" t="str">
        <f aca="false">IF(G1262="","",IFERROR(INDEX(Settings!$C$8:$C$19,MATCH(G1262,Settings!$B$8:$B$19,0)),"?"))</f>
        <v/>
      </c>
      <c r="K1262" s="35" t="str">
        <f aca="false">IF(A1262="","",DATE(YEAR(A1262),MONTH(A1262),1))</f>
        <v/>
      </c>
      <c r="L1262" s="28" t="str">
        <f aca="false">IF(E1262="","",IFERROR(INDEX(Settings!$K$8:$K$38,MATCH(E1262,Settings!$H$8:$H$38,0))&amp;"",""))</f>
        <v/>
      </c>
    </row>
    <row r="1263" customFormat="false" ht="15" hidden="false" customHeight="false" outlineLevel="0" collapsed="false">
      <c r="A1263" s="33"/>
      <c r="B1263" s="27"/>
      <c r="C1263" s="27"/>
      <c r="D1263" s="27"/>
      <c r="E1263" s="27"/>
      <c r="F1263" s="34"/>
      <c r="G1263" s="27"/>
      <c r="H1263" s="27"/>
      <c r="I1263" s="28" t="str">
        <f aca="false">IF(C1263="","",IFERROR(INDEX(Settings!$C$8:$C$19,MATCH(C1263,Settings!$B$8:$B$19,0)),"?"))</f>
        <v/>
      </c>
      <c r="J1263" s="28" t="str">
        <f aca="false">IF(G1263="","",IFERROR(INDEX(Settings!$C$8:$C$19,MATCH(G1263,Settings!$B$8:$B$19,0)),"?"))</f>
        <v/>
      </c>
      <c r="K1263" s="35" t="str">
        <f aca="false">IF(A1263="","",DATE(YEAR(A1263),MONTH(A1263),1))</f>
        <v/>
      </c>
      <c r="L1263" s="28" t="str">
        <f aca="false">IF(E1263="","",IFERROR(INDEX(Settings!$K$8:$K$38,MATCH(E1263,Settings!$H$8:$H$38,0))&amp;"",""))</f>
        <v/>
      </c>
    </row>
    <row r="1264" customFormat="false" ht="15" hidden="false" customHeight="false" outlineLevel="0" collapsed="false">
      <c r="A1264" s="33"/>
      <c r="B1264" s="27"/>
      <c r="C1264" s="27"/>
      <c r="D1264" s="27"/>
      <c r="E1264" s="27"/>
      <c r="F1264" s="34"/>
      <c r="G1264" s="27"/>
      <c r="H1264" s="27"/>
      <c r="I1264" s="28" t="str">
        <f aca="false">IF(C1264="","",IFERROR(INDEX(Settings!$C$8:$C$19,MATCH(C1264,Settings!$B$8:$B$19,0)),"?"))</f>
        <v/>
      </c>
      <c r="J1264" s="28" t="str">
        <f aca="false">IF(G1264="","",IFERROR(INDEX(Settings!$C$8:$C$19,MATCH(G1264,Settings!$B$8:$B$19,0)),"?"))</f>
        <v/>
      </c>
      <c r="K1264" s="35" t="str">
        <f aca="false">IF(A1264="","",DATE(YEAR(A1264),MONTH(A1264),1))</f>
        <v/>
      </c>
      <c r="L1264" s="28" t="str">
        <f aca="false">IF(E1264="","",IFERROR(INDEX(Settings!$K$8:$K$38,MATCH(E1264,Settings!$H$8:$H$38,0))&amp;"",""))</f>
        <v/>
      </c>
    </row>
    <row r="1265" customFormat="false" ht="15" hidden="false" customHeight="false" outlineLevel="0" collapsed="false">
      <c r="A1265" s="33"/>
      <c r="B1265" s="27"/>
      <c r="C1265" s="27"/>
      <c r="D1265" s="27"/>
      <c r="E1265" s="27"/>
      <c r="F1265" s="34"/>
      <c r="G1265" s="27"/>
      <c r="H1265" s="27"/>
      <c r="I1265" s="28" t="str">
        <f aca="false">IF(C1265="","",IFERROR(INDEX(Settings!$C$8:$C$19,MATCH(C1265,Settings!$B$8:$B$19,0)),"?"))</f>
        <v/>
      </c>
      <c r="J1265" s="28" t="str">
        <f aca="false">IF(G1265="","",IFERROR(INDEX(Settings!$C$8:$C$19,MATCH(G1265,Settings!$B$8:$B$19,0)),"?"))</f>
        <v/>
      </c>
      <c r="K1265" s="35" t="str">
        <f aca="false">IF(A1265="","",DATE(YEAR(A1265),MONTH(A1265),1))</f>
        <v/>
      </c>
      <c r="L1265" s="28" t="str">
        <f aca="false">IF(E1265="","",IFERROR(INDEX(Settings!$K$8:$K$38,MATCH(E1265,Settings!$H$8:$H$38,0))&amp;"",""))</f>
        <v/>
      </c>
    </row>
    <row r="1266" customFormat="false" ht="15" hidden="false" customHeight="false" outlineLevel="0" collapsed="false">
      <c r="A1266" s="33"/>
      <c r="B1266" s="27"/>
      <c r="C1266" s="27"/>
      <c r="D1266" s="27"/>
      <c r="E1266" s="27"/>
      <c r="F1266" s="34"/>
      <c r="G1266" s="27"/>
      <c r="H1266" s="27"/>
      <c r="I1266" s="28" t="str">
        <f aca="false">IF(C1266="","",IFERROR(INDEX(Settings!$C$8:$C$19,MATCH(C1266,Settings!$B$8:$B$19,0)),"?"))</f>
        <v/>
      </c>
      <c r="J1266" s="28" t="str">
        <f aca="false">IF(G1266="","",IFERROR(INDEX(Settings!$C$8:$C$19,MATCH(G1266,Settings!$B$8:$B$19,0)),"?"))</f>
        <v/>
      </c>
      <c r="K1266" s="35" t="str">
        <f aca="false">IF(A1266="","",DATE(YEAR(A1266),MONTH(A1266),1))</f>
        <v/>
      </c>
      <c r="L1266" s="28" t="str">
        <f aca="false">IF(E1266="","",IFERROR(INDEX(Settings!$K$8:$K$38,MATCH(E1266,Settings!$H$8:$H$38,0))&amp;"",""))</f>
        <v/>
      </c>
    </row>
    <row r="1267" customFormat="false" ht="15" hidden="false" customHeight="false" outlineLevel="0" collapsed="false">
      <c r="A1267" s="33"/>
      <c r="B1267" s="27"/>
      <c r="C1267" s="27"/>
      <c r="D1267" s="27"/>
      <c r="E1267" s="27"/>
      <c r="F1267" s="34"/>
      <c r="G1267" s="27"/>
      <c r="H1267" s="27"/>
      <c r="I1267" s="28" t="str">
        <f aca="false">IF(C1267="","",IFERROR(INDEX(Settings!$C$8:$C$19,MATCH(C1267,Settings!$B$8:$B$19,0)),"?"))</f>
        <v/>
      </c>
      <c r="J1267" s="28" t="str">
        <f aca="false">IF(G1267="","",IFERROR(INDEX(Settings!$C$8:$C$19,MATCH(G1267,Settings!$B$8:$B$19,0)),"?"))</f>
        <v/>
      </c>
      <c r="K1267" s="35" t="str">
        <f aca="false">IF(A1267="","",DATE(YEAR(A1267),MONTH(A1267),1))</f>
        <v/>
      </c>
      <c r="L1267" s="28" t="str">
        <f aca="false">IF(E1267="","",IFERROR(INDEX(Settings!$K$8:$K$38,MATCH(E1267,Settings!$H$8:$H$38,0))&amp;"",""))</f>
        <v/>
      </c>
    </row>
    <row r="1268" customFormat="false" ht="15" hidden="false" customHeight="false" outlineLevel="0" collapsed="false">
      <c r="A1268" s="33"/>
      <c r="B1268" s="27"/>
      <c r="C1268" s="27"/>
      <c r="D1268" s="27"/>
      <c r="E1268" s="27"/>
      <c r="F1268" s="34"/>
      <c r="G1268" s="27"/>
      <c r="H1268" s="27"/>
      <c r="I1268" s="28" t="str">
        <f aca="false">IF(C1268="","",IFERROR(INDEX(Settings!$C$8:$C$19,MATCH(C1268,Settings!$B$8:$B$19,0)),"?"))</f>
        <v/>
      </c>
      <c r="J1268" s="28" t="str">
        <f aca="false">IF(G1268="","",IFERROR(INDEX(Settings!$C$8:$C$19,MATCH(G1268,Settings!$B$8:$B$19,0)),"?"))</f>
        <v/>
      </c>
      <c r="K1268" s="35" t="str">
        <f aca="false">IF(A1268="","",DATE(YEAR(A1268),MONTH(A1268),1))</f>
        <v/>
      </c>
      <c r="L1268" s="28" t="str">
        <f aca="false">IF(E1268="","",IFERROR(INDEX(Settings!$K$8:$K$38,MATCH(E1268,Settings!$H$8:$H$38,0))&amp;"",""))</f>
        <v/>
      </c>
    </row>
    <row r="1269" customFormat="false" ht="15" hidden="false" customHeight="false" outlineLevel="0" collapsed="false">
      <c r="A1269" s="33"/>
      <c r="B1269" s="27"/>
      <c r="C1269" s="27"/>
      <c r="D1269" s="27"/>
      <c r="E1269" s="27"/>
      <c r="F1269" s="34"/>
      <c r="G1269" s="27"/>
      <c r="H1269" s="27"/>
      <c r="I1269" s="28" t="str">
        <f aca="false">IF(C1269="","",IFERROR(INDEX(Settings!$C$8:$C$19,MATCH(C1269,Settings!$B$8:$B$19,0)),"?"))</f>
        <v/>
      </c>
      <c r="J1269" s="28" t="str">
        <f aca="false">IF(G1269="","",IFERROR(INDEX(Settings!$C$8:$C$19,MATCH(G1269,Settings!$B$8:$B$19,0)),"?"))</f>
        <v/>
      </c>
      <c r="K1269" s="35" t="str">
        <f aca="false">IF(A1269="","",DATE(YEAR(A1269),MONTH(A1269),1))</f>
        <v/>
      </c>
      <c r="L1269" s="28" t="str">
        <f aca="false">IF(E1269="","",IFERROR(INDEX(Settings!$K$8:$K$38,MATCH(E1269,Settings!$H$8:$H$38,0))&amp;"",""))</f>
        <v/>
      </c>
    </row>
    <row r="1270" customFormat="false" ht="15" hidden="false" customHeight="false" outlineLevel="0" collapsed="false">
      <c r="A1270" s="33"/>
      <c r="B1270" s="27"/>
      <c r="C1270" s="27"/>
      <c r="D1270" s="27"/>
      <c r="E1270" s="27"/>
      <c r="F1270" s="34"/>
      <c r="G1270" s="27"/>
      <c r="H1270" s="27"/>
      <c r="I1270" s="28" t="str">
        <f aca="false">IF(C1270="","",IFERROR(INDEX(Settings!$C$8:$C$19,MATCH(C1270,Settings!$B$8:$B$19,0)),"?"))</f>
        <v/>
      </c>
      <c r="J1270" s="28" t="str">
        <f aca="false">IF(G1270="","",IFERROR(INDEX(Settings!$C$8:$C$19,MATCH(G1270,Settings!$B$8:$B$19,0)),"?"))</f>
        <v/>
      </c>
      <c r="K1270" s="35" t="str">
        <f aca="false">IF(A1270="","",DATE(YEAR(A1270),MONTH(A1270),1))</f>
        <v/>
      </c>
      <c r="L1270" s="28" t="str">
        <f aca="false">IF(E1270="","",IFERROR(INDEX(Settings!$K$8:$K$38,MATCH(E1270,Settings!$H$8:$H$38,0))&amp;"",""))</f>
        <v/>
      </c>
    </row>
    <row r="1271" customFormat="false" ht="15" hidden="false" customHeight="false" outlineLevel="0" collapsed="false">
      <c r="A1271" s="33"/>
      <c r="B1271" s="27"/>
      <c r="C1271" s="27"/>
      <c r="D1271" s="27"/>
      <c r="E1271" s="27"/>
      <c r="F1271" s="34"/>
      <c r="G1271" s="27"/>
      <c r="H1271" s="27"/>
      <c r="I1271" s="28" t="str">
        <f aca="false">IF(C1271="","",IFERROR(INDEX(Settings!$C$8:$C$19,MATCH(C1271,Settings!$B$8:$B$19,0)),"?"))</f>
        <v/>
      </c>
      <c r="J1271" s="28" t="str">
        <f aca="false">IF(G1271="","",IFERROR(INDEX(Settings!$C$8:$C$19,MATCH(G1271,Settings!$B$8:$B$19,0)),"?"))</f>
        <v/>
      </c>
      <c r="K1271" s="35" t="str">
        <f aca="false">IF(A1271="","",DATE(YEAR(A1271),MONTH(A1271),1))</f>
        <v/>
      </c>
      <c r="L1271" s="28" t="str">
        <f aca="false">IF(E1271="","",IFERROR(INDEX(Settings!$K$8:$K$38,MATCH(E1271,Settings!$H$8:$H$38,0))&amp;"",""))</f>
        <v/>
      </c>
    </row>
    <row r="1272" customFormat="false" ht="15" hidden="false" customHeight="false" outlineLevel="0" collapsed="false">
      <c r="A1272" s="33"/>
      <c r="B1272" s="27"/>
      <c r="C1272" s="27"/>
      <c r="D1272" s="27"/>
      <c r="E1272" s="27"/>
      <c r="F1272" s="34"/>
      <c r="G1272" s="27"/>
      <c r="H1272" s="27"/>
      <c r="I1272" s="28" t="str">
        <f aca="false">IF(C1272="","",IFERROR(INDEX(Settings!$C$8:$C$19,MATCH(C1272,Settings!$B$8:$B$19,0)),"?"))</f>
        <v/>
      </c>
      <c r="J1272" s="28" t="str">
        <f aca="false">IF(G1272="","",IFERROR(INDEX(Settings!$C$8:$C$19,MATCH(G1272,Settings!$B$8:$B$19,0)),"?"))</f>
        <v/>
      </c>
      <c r="K1272" s="35" t="str">
        <f aca="false">IF(A1272="","",DATE(YEAR(A1272),MONTH(A1272),1))</f>
        <v/>
      </c>
      <c r="L1272" s="28" t="str">
        <f aca="false">IF(E1272="","",IFERROR(INDEX(Settings!$K$8:$K$38,MATCH(E1272,Settings!$H$8:$H$38,0))&amp;"",""))</f>
        <v/>
      </c>
    </row>
    <row r="1273" customFormat="false" ht="15" hidden="false" customHeight="false" outlineLevel="0" collapsed="false">
      <c r="A1273" s="33"/>
      <c r="B1273" s="27"/>
      <c r="C1273" s="27"/>
      <c r="D1273" s="27"/>
      <c r="E1273" s="27"/>
      <c r="F1273" s="34"/>
      <c r="G1273" s="27"/>
      <c r="H1273" s="27"/>
      <c r="I1273" s="28" t="str">
        <f aca="false">IF(C1273="","",IFERROR(INDEX(Settings!$C$8:$C$19,MATCH(C1273,Settings!$B$8:$B$19,0)),"?"))</f>
        <v/>
      </c>
      <c r="J1273" s="28" t="str">
        <f aca="false">IF(G1273="","",IFERROR(INDEX(Settings!$C$8:$C$19,MATCH(G1273,Settings!$B$8:$B$19,0)),"?"))</f>
        <v/>
      </c>
      <c r="K1273" s="35" t="str">
        <f aca="false">IF(A1273="","",DATE(YEAR(A1273),MONTH(A1273),1))</f>
        <v/>
      </c>
      <c r="L1273" s="28" t="str">
        <f aca="false">IF(E1273="","",IFERROR(INDEX(Settings!$K$8:$K$38,MATCH(E1273,Settings!$H$8:$H$38,0))&amp;"",""))</f>
        <v/>
      </c>
    </row>
    <row r="1274" customFormat="false" ht="15" hidden="false" customHeight="false" outlineLevel="0" collapsed="false">
      <c r="A1274" s="33"/>
      <c r="B1274" s="27"/>
      <c r="C1274" s="27"/>
      <c r="D1274" s="27"/>
      <c r="E1274" s="27"/>
      <c r="F1274" s="34"/>
      <c r="G1274" s="27"/>
      <c r="H1274" s="27"/>
      <c r="I1274" s="28" t="str">
        <f aca="false">IF(C1274="","",IFERROR(INDEX(Settings!$C$8:$C$19,MATCH(C1274,Settings!$B$8:$B$19,0)),"?"))</f>
        <v/>
      </c>
      <c r="J1274" s="28" t="str">
        <f aca="false">IF(G1274="","",IFERROR(INDEX(Settings!$C$8:$C$19,MATCH(G1274,Settings!$B$8:$B$19,0)),"?"))</f>
        <v/>
      </c>
      <c r="K1274" s="35" t="str">
        <f aca="false">IF(A1274="","",DATE(YEAR(A1274),MONTH(A1274),1))</f>
        <v/>
      </c>
      <c r="L1274" s="28" t="str">
        <f aca="false">IF(E1274="","",IFERROR(INDEX(Settings!$K$8:$K$38,MATCH(E1274,Settings!$H$8:$H$38,0))&amp;"",""))</f>
        <v/>
      </c>
    </row>
    <row r="1275" customFormat="false" ht="15" hidden="false" customHeight="false" outlineLevel="0" collapsed="false">
      <c r="A1275" s="33"/>
      <c r="B1275" s="27"/>
      <c r="C1275" s="27"/>
      <c r="D1275" s="27"/>
      <c r="E1275" s="27"/>
      <c r="F1275" s="34"/>
      <c r="G1275" s="27"/>
      <c r="H1275" s="27"/>
      <c r="I1275" s="28" t="str">
        <f aca="false">IF(C1275="","",IFERROR(INDEX(Settings!$C$8:$C$19,MATCH(C1275,Settings!$B$8:$B$19,0)),"?"))</f>
        <v/>
      </c>
      <c r="J1275" s="28" t="str">
        <f aca="false">IF(G1275="","",IFERROR(INDEX(Settings!$C$8:$C$19,MATCH(G1275,Settings!$B$8:$B$19,0)),"?"))</f>
        <v/>
      </c>
      <c r="K1275" s="35" t="str">
        <f aca="false">IF(A1275="","",DATE(YEAR(A1275),MONTH(A1275),1))</f>
        <v/>
      </c>
      <c r="L1275" s="28" t="str">
        <f aca="false">IF(E1275="","",IFERROR(INDEX(Settings!$K$8:$K$38,MATCH(E1275,Settings!$H$8:$H$38,0))&amp;"",""))</f>
        <v/>
      </c>
    </row>
    <row r="1276" customFormat="false" ht="15" hidden="false" customHeight="false" outlineLevel="0" collapsed="false">
      <c r="A1276" s="33"/>
      <c r="B1276" s="27"/>
      <c r="C1276" s="27"/>
      <c r="D1276" s="27"/>
      <c r="E1276" s="27"/>
      <c r="F1276" s="34"/>
      <c r="G1276" s="27"/>
      <c r="H1276" s="27"/>
      <c r="I1276" s="28" t="str">
        <f aca="false">IF(C1276="","",IFERROR(INDEX(Settings!$C$8:$C$19,MATCH(C1276,Settings!$B$8:$B$19,0)),"?"))</f>
        <v/>
      </c>
      <c r="J1276" s="28" t="str">
        <f aca="false">IF(G1276="","",IFERROR(INDEX(Settings!$C$8:$C$19,MATCH(G1276,Settings!$B$8:$B$19,0)),"?"))</f>
        <v/>
      </c>
      <c r="K1276" s="35" t="str">
        <f aca="false">IF(A1276="","",DATE(YEAR(A1276),MONTH(A1276),1))</f>
        <v/>
      </c>
      <c r="L1276" s="28" t="str">
        <f aca="false">IF(E1276="","",IFERROR(INDEX(Settings!$K$8:$K$38,MATCH(E1276,Settings!$H$8:$H$38,0))&amp;"",""))</f>
        <v/>
      </c>
    </row>
    <row r="1277" customFormat="false" ht="15" hidden="false" customHeight="false" outlineLevel="0" collapsed="false">
      <c r="A1277" s="33"/>
      <c r="B1277" s="27"/>
      <c r="C1277" s="27"/>
      <c r="D1277" s="27"/>
      <c r="E1277" s="27"/>
      <c r="F1277" s="34"/>
      <c r="G1277" s="27"/>
      <c r="H1277" s="27"/>
      <c r="I1277" s="28" t="str">
        <f aca="false">IF(C1277="","",IFERROR(INDEX(Settings!$C$8:$C$19,MATCH(C1277,Settings!$B$8:$B$19,0)),"?"))</f>
        <v/>
      </c>
      <c r="J1277" s="28" t="str">
        <f aca="false">IF(G1277="","",IFERROR(INDEX(Settings!$C$8:$C$19,MATCH(G1277,Settings!$B$8:$B$19,0)),"?"))</f>
        <v/>
      </c>
      <c r="K1277" s="35" t="str">
        <f aca="false">IF(A1277="","",DATE(YEAR(A1277),MONTH(A1277),1))</f>
        <v/>
      </c>
      <c r="L1277" s="28" t="str">
        <f aca="false">IF(E1277="","",IFERROR(INDEX(Settings!$K$8:$K$38,MATCH(E1277,Settings!$H$8:$H$38,0))&amp;"",""))</f>
        <v/>
      </c>
    </row>
    <row r="1278" customFormat="false" ht="15" hidden="false" customHeight="false" outlineLevel="0" collapsed="false">
      <c r="A1278" s="33"/>
      <c r="B1278" s="27"/>
      <c r="C1278" s="27"/>
      <c r="D1278" s="27"/>
      <c r="E1278" s="27"/>
      <c r="F1278" s="34"/>
      <c r="G1278" s="27"/>
      <c r="H1278" s="27"/>
      <c r="I1278" s="28" t="str">
        <f aca="false">IF(C1278="","",IFERROR(INDEX(Settings!$C$8:$C$19,MATCH(C1278,Settings!$B$8:$B$19,0)),"?"))</f>
        <v/>
      </c>
      <c r="J1278" s="28" t="str">
        <f aca="false">IF(G1278="","",IFERROR(INDEX(Settings!$C$8:$C$19,MATCH(G1278,Settings!$B$8:$B$19,0)),"?"))</f>
        <v/>
      </c>
      <c r="K1278" s="35" t="str">
        <f aca="false">IF(A1278="","",DATE(YEAR(A1278),MONTH(A1278),1))</f>
        <v/>
      </c>
      <c r="L1278" s="28" t="str">
        <f aca="false">IF(E1278="","",IFERROR(INDEX(Settings!$K$8:$K$38,MATCH(E1278,Settings!$H$8:$H$38,0))&amp;"",""))</f>
        <v/>
      </c>
    </row>
    <row r="1279" customFormat="false" ht="15" hidden="false" customHeight="false" outlineLevel="0" collapsed="false">
      <c r="A1279" s="33"/>
      <c r="B1279" s="27"/>
      <c r="C1279" s="27"/>
      <c r="D1279" s="27"/>
      <c r="E1279" s="27"/>
      <c r="F1279" s="34"/>
      <c r="G1279" s="27"/>
      <c r="H1279" s="27"/>
      <c r="I1279" s="28" t="str">
        <f aca="false">IF(C1279="","",IFERROR(INDEX(Settings!$C$8:$C$19,MATCH(C1279,Settings!$B$8:$B$19,0)),"?"))</f>
        <v/>
      </c>
      <c r="J1279" s="28" t="str">
        <f aca="false">IF(G1279="","",IFERROR(INDEX(Settings!$C$8:$C$19,MATCH(G1279,Settings!$B$8:$B$19,0)),"?"))</f>
        <v/>
      </c>
      <c r="K1279" s="35" t="str">
        <f aca="false">IF(A1279="","",DATE(YEAR(A1279),MONTH(A1279),1))</f>
        <v/>
      </c>
      <c r="L1279" s="28" t="str">
        <f aca="false">IF(E1279="","",IFERROR(INDEX(Settings!$K$8:$K$38,MATCH(E1279,Settings!$H$8:$H$38,0))&amp;"",""))</f>
        <v/>
      </c>
    </row>
    <row r="1280" customFormat="false" ht="15" hidden="false" customHeight="false" outlineLevel="0" collapsed="false">
      <c r="A1280" s="33"/>
      <c r="B1280" s="27"/>
      <c r="C1280" s="27"/>
      <c r="D1280" s="27"/>
      <c r="E1280" s="27"/>
      <c r="F1280" s="34"/>
      <c r="G1280" s="27"/>
      <c r="H1280" s="27"/>
      <c r="I1280" s="28" t="str">
        <f aca="false">IF(C1280="","",IFERROR(INDEX(Settings!$C$8:$C$19,MATCH(C1280,Settings!$B$8:$B$19,0)),"?"))</f>
        <v/>
      </c>
      <c r="J1280" s="28" t="str">
        <f aca="false">IF(G1280="","",IFERROR(INDEX(Settings!$C$8:$C$19,MATCH(G1280,Settings!$B$8:$B$19,0)),"?"))</f>
        <v/>
      </c>
      <c r="K1280" s="35" t="str">
        <f aca="false">IF(A1280="","",DATE(YEAR(A1280),MONTH(A1280),1))</f>
        <v/>
      </c>
      <c r="L1280" s="28" t="str">
        <f aca="false">IF(E1280="","",IFERROR(INDEX(Settings!$K$8:$K$38,MATCH(E1280,Settings!$H$8:$H$38,0))&amp;"",""))</f>
        <v/>
      </c>
    </row>
    <row r="1281" customFormat="false" ht="15" hidden="false" customHeight="false" outlineLevel="0" collapsed="false">
      <c r="A1281" s="33"/>
      <c r="B1281" s="27"/>
      <c r="C1281" s="27"/>
      <c r="D1281" s="27"/>
      <c r="E1281" s="27"/>
      <c r="F1281" s="34"/>
      <c r="G1281" s="27"/>
      <c r="H1281" s="27"/>
      <c r="I1281" s="28" t="str">
        <f aca="false">IF(C1281="","",IFERROR(INDEX(Settings!$C$8:$C$19,MATCH(C1281,Settings!$B$8:$B$19,0)),"?"))</f>
        <v/>
      </c>
      <c r="J1281" s="28" t="str">
        <f aca="false">IF(G1281="","",IFERROR(INDEX(Settings!$C$8:$C$19,MATCH(G1281,Settings!$B$8:$B$19,0)),"?"))</f>
        <v/>
      </c>
      <c r="K1281" s="35" t="str">
        <f aca="false">IF(A1281="","",DATE(YEAR(A1281),MONTH(A1281),1))</f>
        <v/>
      </c>
      <c r="L1281" s="28" t="str">
        <f aca="false">IF(E1281="","",IFERROR(INDEX(Settings!$K$8:$K$38,MATCH(E1281,Settings!$H$8:$H$38,0))&amp;"",""))</f>
        <v/>
      </c>
    </row>
    <row r="1282" customFormat="false" ht="15" hidden="false" customHeight="false" outlineLevel="0" collapsed="false">
      <c r="A1282" s="33"/>
      <c r="B1282" s="27"/>
      <c r="C1282" s="27"/>
      <c r="D1282" s="27"/>
      <c r="E1282" s="27"/>
      <c r="F1282" s="34"/>
      <c r="G1282" s="27"/>
      <c r="H1282" s="27"/>
      <c r="I1282" s="28" t="str">
        <f aca="false">IF(C1282="","",IFERROR(INDEX(Settings!$C$8:$C$19,MATCH(C1282,Settings!$B$8:$B$19,0)),"?"))</f>
        <v/>
      </c>
      <c r="J1282" s="28" t="str">
        <f aca="false">IF(G1282="","",IFERROR(INDEX(Settings!$C$8:$C$19,MATCH(G1282,Settings!$B$8:$B$19,0)),"?"))</f>
        <v/>
      </c>
      <c r="K1282" s="35" t="str">
        <f aca="false">IF(A1282="","",DATE(YEAR(A1282),MONTH(A1282),1))</f>
        <v/>
      </c>
      <c r="L1282" s="28" t="str">
        <f aca="false">IF(E1282="","",IFERROR(INDEX(Settings!$K$8:$K$38,MATCH(E1282,Settings!$H$8:$H$38,0))&amp;"",""))</f>
        <v/>
      </c>
    </row>
    <row r="1283" customFormat="false" ht="15" hidden="false" customHeight="false" outlineLevel="0" collapsed="false">
      <c r="A1283" s="33"/>
      <c r="B1283" s="27"/>
      <c r="C1283" s="27"/>
      <c r="D1283" s="27"/>
      <c r="E1283" s="27"/>
      <c r="F1283" s="34"/>
      <c r="G1283" s="27"/>
      <c r="H1283" s="27"/>
      <c r="I1283" s="28" t="str">
        <f aca="false">IF(C1283="","",IFERROR(INDEX(Settings!$C$8:$C$19,MATCH(C1283,Settings!$B$8:$B$19,0)),"?"))</f>
        <v/>
      </c>
      <c r="J1283" s="28" t="str">
        <f aca="false">IF(G1283="","",IFERROR(INDEX(Settings!$C$8:$C$19,MATCH(G1283,Settings!$B$8:$B$19,0)),"?"))</f>
        <v/>
      </c>
      <c r="K1283" s="35" t="str">
        <f aca="false">IF(A1283="","",DATE(YEAR(A1283),MONTH(A1283),1))</f>
        <v/>
      </c>
      <c r="L1283" s="28" t="str">
        <f aca="false">IF(E1283="","",IFERROR(INDEX(Settings!$K$8:$K$38,MATCH(E1283,Settings!$H$8:$H$38,0))&amp;"",""))</f>
        <v/>
      </c>
    </row>
    <row r="1284" customFormat="false" ht="15" hidden="false" customHeight="false" outlineLevel="0" collapsed="false">
      <c r="A1284" s="33"/>
      <c r="B1284" s="27"/>
      <c r="C1284" s="27"/>
      <c r="D1284" s="27"/>
      <c r="E1284" s="27"/>
      <c r="F1284" s="34"/>
      <c r="G1284" s="27"/>
      <c r="H1284" s="27"/>
      <c r="I1284" s="28" t="str">
        <f aca="false">IF(C1284="","",IFERROR(INDEX(Settings!$C$8:$C$19,MATCH(C1284,Settings!$B$8:$B$19,0)),"?"))</f>
        <v/>
      </c>
      <c r="J1284" s="28" t="str">
        <f aca="false">IF(G1284="","",IFERROR(INDEX(Settings!$C$8:$C$19,MATCH(G1284,Settings!$B$8:$B$19,0)),"?"))</f>
        <v/>
      </c>
      <c r="K1284" s="35" t="str">
        <f aca="false">IF(A1284="","",DATE(YEAR(A1284),MONTH(A1284),1))</f>
        <v/>
      </c>
      <c r="L1284" s="28" t="str">
        <f aca="false">IF(E1284="","",IFERROR(INDEX(Settings!$K$8:$K$38,MATCH(E1284,Settings!$H$8:$H$38,0))&amp;"",""))</f>
        <v/>
      </c>
    </row>
    <row r="1285" customFormat="false" ht="15" hidden="false" customHeight="false" outlineLevel="0" collapsed="false">
      <c r="A1285" s="33"/>
      <c r="B1285" s="27"/>
      <c r="C1285" s="27"/>
      <c r="D1285" s="27"/>
      <c r="E1285" s="27"/>
      <c r="F1285" s="34"/>
      <c r="G1285" s="27"/>
      <c r="H1285" s="27"/>
      <c r="I1285" s="28" t="str">
        <f aca="false">IF(C1285="","",IFERROR(INDEX(Settings!$C$8:$C$19,MATCH(C1285,Settings!$B$8:$B$19,0)),"?"))</f>
        <v/>
      </c>
      <c r="J1285" s="28" t="str">
        <f aca="false">IF(G1285="","",IFERROR(INDEX(Settings!$C$8:$C$19,MATCH(G1285,Settings!$B$8:$B$19,0)),"?"))</f>
        <v/>
      </c>
      <c r="K1285" s="35" t="str">
        <f aca="false">IF(A1285="","",DATE(YEAR(A1285),MONTH(A1285),1))</f>
        <v/>
      </c>
      <c r="L1285" s="28" t="str">
        <f aca="false">IF(E1285="","",IFERROR(INDEX(Settings!$K$8:$K$38,MATCH(E1285,Settings!$H$8:$H$38,0))&amp;"",""))</f>
        <v/>
      </c>
    </row>
    <row r="1286" customFormat="false" ht="15" hidden="false" customHeight="false" outlineLevel="0" collapsed="false">
      <c r="A1286" s="33"/>
      <c r="B1286" s="27"/>
      <c r="C1286" s="27"/>
      <c r="D1286" s="27"/>
      <c r="E1286" s="27"/>
      <c r="F1286" s="34"/>
      <c r="G1286" s="27"/>
      <c r="H1286" s="27"/>
      <c r="I1286" s="28" t="str">
        <f aca="false">IF(C1286="","",IFERROR(INDEX(Settings!$C$8:$C$19,MATCH(C1286,Settings!$B$8:$B$19,0)),"?"))</f>
        <v/>
      </c>
      <c r="J1286" s="28" t="str">
        <f aca="false">IF(G1286="","",IFERROR(INDEX(Settings!$C$8:$C$19,MATCH(G1286,Settings!$B$8:$B$19,0)),"?"))</f>
        <v/>
      </c>
      <c r="K1286" s="35" t="str">
        <f aca="false">IF(A1286="","",DATE(YEAR(A1286),MONTH(A1286),1))</f>
        <v/>
      </c>
      <c r="L1286" s="28" t="str">
        <f aca="false">IF(E1286="","",IFERROR(INDEX(Settings!$K$8:$K$38,MATCH(E1286,Settings!$H$8:$H$38,0))&amp;"",""))</f>
        <v/>
      </c>
    </row>
    <row r="1287" customFormat="false" ht="15" hidden="false" customHeight="false" outlineLevel="0" collapsed="false">
      <c r="A1287" s="33"/>
      <c r="B1287" s="27"/>
      <c r="C1287" s="27"/>
      <c r="D1287" s="27"/>
      <c r="E1287" s="27"/>
      <c r="F1287" s="34"/>
      <c r="G1287" s="27"/>
      <c r="H1287" s="27"/>
      <c r="I1287" s="28" t="str">
        <f aca="false">IF(C1287="","",IFERROR(INDEX(Settings!$C$8:$C$19,MATCH(C1287,Settings!$B$8:$B$19,0)),"?"))</f>
        <v/>
      </c>
      <c r="J1287" s="28" t="str">
        <f aca="false">IF(G1287="","",IFERROR(INDEX(Settings!$C$8:$C$19,MATCH(G1287,Settings!$B$8:$B$19,0)),"?"))</f>
        <v/>
      </c>
      <c r="K1287" s="35" t="str">
        <f aca="false">IF(A1287="","",DATE(YEAR(A1287),MONTH(A1287),1))</f>
        <v/>
      </c>
      <c r="L1287" s="28" t="str">
        <f aca="false">IF(E1287="","",IFERROR(INDEX(Settings!$K$8:$K$38,MATCH(E1287,Settings!$H$8:$H$38,0))&amp;"",""))</f>
        <v/>
      </c>
    </row>
    <row r="1288" customFormat="false" ht="15" hidden="false" customHeight="false" outlineLevel="0" collapsed="false">
      <c r="A1288" s="33"/>
      <c r="B1288" s="27"/>
      <c r="C1288" s="27"/>
      <c r="D1288" s="27"/>
      <c r="E1288" s="27"/>
      <c r="F1288" s="34"/>
      <c r="G1288" s="27"/>
      <c r="H1288" s="27"/>
      <c r="I1288" s="28" t="str">
        <f aca="false">IF(C1288="","",IFERROR(INDEX(Settings!$C$8:$C$19,MATCH(C1288,Settings!$B$8:$B$19,0)),"?"))</f>
        <v/>
      </c>
      <c r="J1288" s="28" t="str">
        <f aca="false">IF(G1288="","",IFERROR(INDEX(Settings!$C$8:$C$19,MATCH(G1288,Settings!$B$8:$B$19,0)),"?"))</f>
        <v/>
      </c>
      <c r="K1288" s="35" t="str">
        <f aca="false">IF(A1288="","",DATE(YEAR(A1288),MONTH(A1288),1))</f>
        <v/>
      </c>
      <c r="L1288" s="28" t="str">
        <f aca="false">IF(E1288="","",IFERROR(INDEX(Settings!$K$8:$K$38,MATCH(E1288,Settings!$H$8:$H$38,0))&amp;"",""))</f>
        <v/>
      </c>
    </row>
    <row r="1289" customFormat="false" ht="15" hidden="false" customHeight="false" outlineLevel="0" collapsed="false">
      <c r="A1289" s="33"/>
      <c r="B1289" s="27"/>
      <c r="C1289" s="27"/>
      <c r="D1289" s="27"/>
      <c r="E1289" s="27"/>
      <c r="F1289" s="34"/>
      <c r="G1289" s="27"/>
      <c r="H1289" s="27"/>
      <c r="I1289" s="28" t="str">
        <f aca="false">IF(C1289="","",IFERROR(INDEX(Settings!$C$8:$C$19,MATCH(C1289,Settings!$B$8:$B$19,0)),"?"))</f>
        <v/>
      </c>
      <c r="J1289" s="28" t="str">
        <f aca="false">IF(G1289="","",IFERROR(INDEX(Settings!$C$8:$C$19,MATCH(G1289,Settings!$B$8:$B$19,0)),"?"))</f>
        <v/>
      </c>
      <c r="K1289" s="35" t="str">
        <f aca="false">IF(A1289="","",DATE(YEAR(A1289),MONTH(A1289),1))</f>
        <v/>
      </c>
      <c r="L1289" s="28" t="str">
        <f aca="false">IF(E1289="","",IFERROR(INDEX(Settings!$K$8:$K$38,MATCH(E1289,Settings!$H$8:$H$38,0))&amp;"",""))</f>
        <v/>
      </c>
    </row>
    <row r="1290" customFormat="false" ht="15" hidden="false" customHeight="false" outlineLevel="0" collapsed="false">
      <c r="A1290" s="33"/>
      <c r="B1290" s="27"/>
      <c r="C1290" s="27"/>
      <c r="D1290" s="27"/>
      <c r="E1290" s="27"/>
      <c r="F1290" s="34"/>
      <c r="G1290" s="27"/>
      <c r="H1290" s="27"/>
      <c r="I1290" s="28" t="str">
        <f aca="false">IF(C1290="","",IFERROR(INDEX(Settings!$C$8:$C$19,MATCH(C1290,Settings!$B$8:$B$19,0)),"?"))</f>
        <v/>
      </c>
      <c r="J1290" s="28" t="str">
        <f aca="false">IF(G1290="","",IFERROR(INDEX(Settings!$C$8:$C$19,MATCH(G1290,Settings!$B$8:$B$19,0)),"?"))</f>
        <v/>
      </c>
      <c r="K1290" s="35" t="str">
        <f aca="false">IF(A1290="","",DATE(YEAR(A1290),MONTH(A1290),1))</f>
        <v/>
      </c>
      <c r="L1290" s="28" t="str">
        <f aca="false">IF(E1290="","",IFERROR(INDEX(Settings!$K$8:$K$38,MATCH(E1290,Settings!$H$8:$H$38,0))&amp;"",""))</f>
        <v/>
      </c>
    </row>
    <row r="1291" customFormat="false" ht="15" hidden="false" customHeight="false" outlineLevel="0" collapsed="false">
      <c r="A1291" s="33"/>
      <c r="B1291" s="27"/>
      <c r="C1291" s="27"/>
      <c r="D1291" s="27"/>
      <c r="E1291" s="27"/>
      <c r="F1291" s="34"/>
      <c r="G1291" s="27"/>
      <c r="H1291" s="27"/>
      <c r="I1291" s="28" t="str">
        <f aca="false">IF(C1291="","",IFERROR(INDEX(Settings!$C$8:$C$19,MATCH(C1291,Settings!$B$8:$B$19,0)),"?"))</f>
        <v/>
      </c>
      <c r="J1291" s="28" t="str">
        <f aca="false">IF(G1291="","",IFERROR(INDEX(Settings!$C$8:$C$19,MATCH(G1291,Settings!$B$8:$B$19,0)),"?"))</f>
        <v/>
      </c>
      <c r="K1291" s="35" t="str">
        <f aca="false">IF(A1291="","",DATE(YEAR(A1291),MONTH(A1291),1))</f>
        <v/>
      </c>
      <c r="L1291" s="28" t="str">
        <f aca="false">IF(E1291="","",IFERROR(INDEX(Settings!$K$8:$K$38,MATCH(E1291,Settings!$H$8:$H$38,0))&amp;"",""))</f>
        <v/>
      </c>
    </row>
    <row r="1292" customFormat="false" ht="15" hidden="false" customHeight="false" outlineLevel="0" collapsed="false">
      <c r="A1292" s="33"/>
      <c r="B1292" s="27"/>
      <c r="C1292" s="27"/>
      <c r="D1292" s="27"/>
      <c r="E1292" s="27"/>
      <c r="F1292" s="34"/>
      <c r="G1292" s="27"/>
      <c r="H1292" s="27"/>
      <c r="I1292" s="28" t="str">
        <f aca="false">IF(C1292="","",IFERROR(INDEX(Settings!$C$8:$C$19,MATCH(C1292,Settings!$B$8:$B$19,0)),"?"))</f>
        <v/>
      </c>
      <c r="J1292" s="28" t="str">
        <f aca="false">IF(G1292="","",IFERROR(INDEX(Settings!$C$8:$C$19,MATCH(G1292,Settings!$B$8:$B$19,0)),"?"))</f>
        <v/>
      </c>
      <c r="K1292" s="35" t="str">
        <f aca="false">IF(A1292="","",DATE(YEAR(A1292),MONTH(A1292),1))</f>
        <v/>
      </c>
      <c r="L1292" s="28" t="str">
        <f aca="false">IF(E1292="","",IFERROR(INDEX(Settings!$K$8:$K$38,MATCH(E1292,Settings!$H$8:$H$38,0))&amp;"",""))</f>
        <v/>
      </c>
    </row>
    <row r="1293" customFormat="false" ht="15" hidden="false" customHeight="false" outlineLevel="0" collapsed="false">
      <c r="A1293" s="33"/>
      <c r="B1293" s="27"/>
      <c r="C1293" s="27"/>
      <c r="D1293" s="27"/>
      <c r="E1293" s="27"/>
      <c r="F1293" s="34"/>
      <c r="G1293" s="27"/>
      <c r="H1293" s="27"/>
      <c r="I1293" s="28" t="str">
        <f aca="false">IF(C1293="","",IFERROR(INDEX(Settings!$C$8:$C$19,MATCH(C1293,Settings!$B$8:$B$19,0)),"?"))</f>
        <v/>
      </c>
      <c r="J1293" s="28" t="str">
        <f aca="false">IF(G1293="","",IFERROR(INDEX(Settings!$C$8:$C$19,MATCH(G1293,Settings!$B$8:$B$19,0)),"?"))</f>
        <v/>
      </c>
      <c r="K1293" s="35" t="str">
        <f aca="false">IF(A1293="","",DATE(YEAR(A1293),MONTH(A1293),1))</f>
        <v/>
      </c>
      <c r="L1293" s="28" t="str">
        <f aca="false">IF(E1293="","",IFERROR(INDEX(Settings!$K$8:$K$38,MATCH(E1293,Settings!$H$8:$H$38,0))&amp;"",""))</f>
        <v/>
      </c>
    </row>
    <row r="1294" customFormat="false" ht="15" hidden="false" customHeight="false" outlineLevel="0" collapsed="false">
      <c r="A1294" s="33"/>
      <c r="B1294" s="27"/>
      <c r="C1294" s="27"/>
      <c r="D1294" s="27"/>
      <c r="E1294" s="27"/>
      <c r="F1294" s="34"/>
      <c r="G1294" s="27"/>
      <c r="H1294" s="27"/>
      <c r="I1294" s="28" t="str">
        <f aca="false">IF(C1294="","",IFERROR(INDEX(Settings!$C$8:$C$19,MATCH(C1294,Settings!$B$8:$B$19,0)),"?"))</f>
        <v/>
      </c>
      <c r="J1294" s="28" t="str">
        <f aca="false">IF(G1294="","",IFERROR(INDEX(Settings!$C$8:$C$19,MATCH(G1294,Settings!$B$8:$B$19,0)),"?"))</f>
        <v/>
      </c>
      <c r="K1294" s="35" t="str">
        <f aca="false">IF(A1294="","",DATE(YEAR(A1294),MONTH(A1294),1))</f>
        <v/>
      </c>
      <c r="L1294" s="28" t="str">
        <f aca="false">IF(E1294="","",IFERROR(INDEX(Settings!$K$8:$K$38,MATCH(E1294,Settings!$H$8:$H$38,0))&amp;"",""))</f>
        <v/>
      </c>
    </row>
    <row r="1295" customFormat="false" ht="15" hidden="false" customHeight="false" outlineLevel="0" collapsed="false">
      <c r="A1295" s="33"/>
      <c r="B1295" s="27"/>
      <c r="C1295" s="27"/>
      <c r="D1295" s="27"/>
      <c r="E1295" s="27"/>
      <c r="F1295" s="34"/>
      <c r="G1295" s="27"/>
      <c r="H1295" s="27"/>
      <c r="I1295" s="28" t="str">
        <f aca="false">IF(C1295="","",IFERROR(INDEX(Settings!$C$8:$C$19,MATCH(C1295,Settings!$B$8:$B$19,0)),"?"))</f>
        <v/>
      </c>
      <c r="J1295" s="28" t="str">
        <f aca="false">IF(G1295="","",IFERROR(INDEX(Settings!$C$8:$C$19,MATCH(G1295,Settings!$B$8:$B$19,0)),"?"))</f>
        <v/>
      </c>
      <c r="K1295" s="35" t="str">
        <f aca="false">IF(A1295="","",DATE(YEAR(A1295),MONTH(A1295),1))</f>
        <v/>
      </c>
      <c r="L1295" s="28" t="str">
        <f aca="false">IF(E1295="","",IFERROR(INDEX(Settings!$K$8:$K$38,MATCH(E1295,Settings!$H$8:$H$38,0))&amp;"",""))</f>
        <v/>
      </c>
    </row>
    <row r="1296" customFormat="false" ht="15" hidden="false" customHeight="false" outlineLevel="0" collapsed="false">
      <c r="A1296" s="33"/>
      <c r="B1296" s="27"/>
      <c r="C1296" s="27"/>
      <c r="D1296" s="27"/>
      <c r="E1296" s="27"/>
      <c r="F1296" s="34"/>
      <c r="G1296" s="27"/>
      <c r="H1296" s="27"/>
      <c r="I1296" s="28" t="str">
        <f aca="false">IF(C1296="","",IFERROR(INDEX(Settings!$C$8:$C$19,MATCH(C1296,Settings!$B$8:$B$19,0)),"?"))</f>
        <v/>
      </c>
      <c r="J1296" s="28" t="str">
        <f aca="false">IF(G1296="","",IFERROR(INDEX(Settings!$C$8:$C$19,MATCH(G1296,Settings!$B$8:$B$19,0)),"?"))</f>
        <v/>
      </c>
      <c r="K1296" s="35" t="str">
        <f aca="false">IF(A1296="","",DATE(YEAR(A1296),MONTH(A1296),1))</f>
        <v/>
      </c>
      <c r="L1296" s="28" t="str">
        <f aca="false">IF(E1296="","",IFERROR(INDEX(Settings!$K$8:$K$38,MATCH(E1296,Settings!$H$8:$H$38,0))&amp;"",""))</f>
        <v/>
      </c>
    </row>
    <row r="1297" customFormat="false" ht="15" hidden="false" customHeight="false" outlineLevel="0" collapsed="false">
      <c r="A1297" s="33"/>
      <c r="B1297" s="27"/>
      <c r="C1297" s="27"/>
      <c r="D1297" s="27"/>
      <c r="E1297" s="27"/>
      <c r="F1297" s="34"/>
      <c r="G1297" s="27"/>
      <c r="H1297" s="27"/>
      <c r="I1297" s="28" t="str">
        <f aca="false">IF(C1297="","",IFERROR(INDEX(Settings!$C$8:$C$19,MATCH(C1297,Settings!$B$8:$B$19,0)),"?"))</f>
        <v/>
      </c>
      <c r="J1297" s="28" t="str">
        <f aca="false">IF(G1297="","",IFERROR(INDEX(Settings!$C$8:$C$19,MATCH(G1297,Settings!$B$8:$B$19,0)),"?"))</f>
        <v/>
      </c>
      <c r="K1297" s="35" t="str">
        <f aca="false">IF(A1297="","",DATE(YEAR(A1297),MONTH(A1297),1))</f>
        <v/>
      </c>
      <c r="L1297" s="28" t="str">
        <f aca="false">IF(E1297="","",IFERROR(INDEX(Settings!$K$8:$K$38,MATCH(E1297,Settings!$H$8:$H$38,0))&amp;"",""))</f>
        <v/>
      </c>
    </row>
    <row r="1298" customFormat="false" ht="15" hidden="false" customHeight="false" outlineLevel="0" collapsed="false">
      <c r="A1298" s="33"/>
      <c r="B1298" s="27"/>
      <c r="C1298" s="27"/>
      <c r="D1298" s="27"/>
      <c r="E1298" s="27"/>
      <c r="F1298" s="34"/>
      <c r="G1298" s="27"/>
      <c r="H1298" s="27"/>
      <c r="I1298" s="28" t="str">
        <f aca="false">IF(C1298="","",IFERROR(INDEX(Settings!$C$8:$C$19,MATCH(C1298,Settings!$B$8:$B$19,0)),"?"))</f>
        <v/>
      </c>
      <c r="J1298" s="28" t="str">
        <f aca="false">IF(G1298="","",IFERROR(INDEX(Settings!$C$8:$C$19,MATCH(G1298,Settings!$B$8:$B$19,0)),"?"))</f>
        <v/>
      </c>
      <c r="K1298" s="35" t="str">
        <f aca="false">IF(A1298="","",DATE(YEAR(A1298),MONTH(A1298),1))</f>
        <v/>
      </c>
      <c r="L1298" s="28" t="str">
        <f aca="false">IF(E1298="","",IFERROR(INDEX(Settings!$K$8:$K$38,MATCH(E1298,Settings!$H$8:$H$38,0))&amp;"",""))</f>
        <v/>
      </c>
    </row>
    <row r="1299" customFormat="false" ht="15" hidden="false" customHeight="false" outlineLevel="0" collapsed="false">
      <c r="A1299" s="33"/>
      <c r="B1299" s="27"/>
      <c r="C1299" s="27"/>
      <c r="D1299" s="27"/>
      <c r="E1299" s="27"/>
      <c r="F1299" s="34"/>
      <c r="G1299" s="27"/>
      <c r="H1299" s="27"/>
      <c r="I1299" s="28" t="str">
        <f aca="false">IF(C1299="","",IFERROR(INDEX(Settings!$C$8:$C$19,MATCH(C1299,Settings!$B$8:$B$19,0)),"?"))</f>
        <v/>
      </c>
      <c r="J1299" s="28" t="str">
        <f aca="false">IF(G1299="","",IFERROR(INDEX(Settings!$C$8:$C$19,MATCH(G1299,Settings!$B$8:$B$19,0)),"?"))</f>
        <v/>
      </c>
      <c r="K1299" s="35" t="str">
        <f aca="false">IF(A1299="","",DATE(YEAR(A1299),MONTH(A1299),1))</f>
        <v/>
      </c>
      <c r="L1299" s="28" t="str">
        <f aca="false">IF(E1299="","",IFERROR(INDEX(Settings!$K$8:$K$38,MATCH(E1299,Settings!$H$8:$H$38,0))&amp;"",""))</f>
        <v/>
      </c>
    </row>
    <row r="1300" customFormat="false" ht="15" hidden="false" customHeight="false" outlineLevel="0" collapsed="false">
      <c r="A1300" s="33"/>
      <c r="B1300" s="27"/>
      <c r="C1300" s="27"/>
      <c r="D1300" s="27"/>
      <c r="E1300" s="27"/>
      <c r="F1300" s="34"/>
      <c r="G1300" s="27"/>
      <c r="H1300" s="27"/>
      <c r="I1300" s="28" t="str">
        <f aca="false">IF(C1300="","",IFERROR(INDEX(Settings!$C$8:$C$19,MATCH(C1300,Settings!$B$8:$B$19,0)),"?"))</f>
        <v/>
      </c>
      <c r="J1300" s="28" t="str">
        <f aca="false">IF(G1300="","",IFERROR(INDEX(Settings!$C$8:$C$19,MATCH(G1300,Settings!$B$8:$B$19,0)),"?"))</f>
        <v/>
      </c>
      <c r="K1300" s="35" t="str">
        <f aca="false">IF(A1300="","",DATE(YEAR(A1300),MONTH(A1300),1))</f>
        <v/>
      </c>
      <c r="L1300" s="28" t="str">
        <f aca="false">IF(E1300="","",IFERROR(INDEX(Settings!$K$8:$K$38,MATCH(E1300,Settings!$H$8:$H$38,0))&amp;"",""))</f>
        <v/>
      </c>
    </row>
    <row r="1301" customFormat="false" ht="15" hidden="false" customHeight="false" outlineLevel="0" collapsed="false">
      <c r="A1301" s="33"/>
      <c r="B1301" s="27"/>
      <c r="C1301" s="27"/>
      <c r="D1301" s="27"/>
      <c r="E1301" s="27"/>
      <c r="F1301" s="34"/>
      <c r="G1301" s="27"/>
      <c r="H1301" s="27"/>
      <c r="I1301" s="28" t="str">
        <f aca="false">IF(C1301="","",IFERROR(INDEX(Settings!$C$8:$C$19,MATCH(C1301,Settings!$B$8:$B$19,0)),"?"))</f>
        <v/>
      </c>
      <c r="J1301" s="28" t="str">
        <f aca="false">IF(G1301="","",IFERROR(INDEX(Settings!$C$8:$C$19,MATCH(G1301,Settings!$B$8:$B$19,0)),"?"))</f>
        <v/>
      </c>
      <c r="K1301" s="35" t="str">
        <f aca="false">IF(A1301="","",DATE(YEAR(A1301),MONTH(A1301),1))</f>
        <v/>
      </c>
      <c r="L1301" s="28" t="str">
        <f aca="false">IF(E1301="","",IFERROR(INDEX(Settings!$K$8:$K$38,MATCH(E1301,Settings!$H$8:$H$38,0))&amp;"",""))</f>
        <v/>
      </c>
    </row>
    <row r="1302" customFormat="false" ht="15" hidden="false" customHeight="false" outlineLevel="0" collapsed="false">
      <c r="A1302" s="33"/>
      <c r="B1302" s="27"/>
      <c r="C1302" s="27"/>
      <c r="D1302" s="27"/>
      <c r="E1302" s="27"/>
      <c r="F1302" s="34"/>
      <c r="G1302" s="27"/>
      <c r="H1302" s="27"/>
      <c r="I1302" s="28" t="str">
        <f aca="false">IF(C1302="","",IFERROR(INDEX(Settings!$C$8:$C$19,MATCH(C1302,Settings!$B$8:$B$19,0)),"?"))</f>
        <v/>
      </c>
      <c r="J1302" s="28" t="str">
        <f aca="false">IF(G1302="","",IFERROR(INDEX(Settings!$C$8:$C$19,MATCH(G1302,Settings!$B$8:$B$19,0)),"?"))</f>
        <v/>
      </c>
      <c r="K1302" s="35" t="str">
        <f aca="false">IF(A1302="","",DATE(YEAR(A1302),MONTH(A1302),1))</f>
        <v/>
      </c>
      <c r="L1302" s="28" t="str">
        <f aca="false">IF(E1302="","",IFERROR(INDEX(Settings!$K$8:$K$38,MATCH(E1302,Settings!$H$8:$H$38,0))&amp;"",""))</f>
        <v/>
      </c>
    </row>
    <row r="1303" customFormat="false" ht="15" hidden="false" customHeight="false" outlineLevel="0" collapsed="false">
      <c r="A1303" s="33"/>
      <c r="B1303" s="27"/>
      <c r="C1303" s="27"/>
      <c r="D1303" s="27"/>
      <c r="E1303" s="27"/>
      <c r="F1303" s="34"/>
      <c r="G1303" s="27"/>
      <c r="H1303" s="27"/>
      <c r="I1303" s="28" t="str">
        <f aca="false">IF(C1303="","",IFERROR(INDEX(Settings!$C$8:$C$19,MATCH(C1303,Settings!$B$8:$B$19,0)),"?"))</f>
        <v/>
      </c>
      <c r="J1303" s="28" t="str">
        <f aca="false">IF(G1303="","",IFERROR(INDEX(Settings!$C$8:$C$19,MATCH(G1303,Settings!$B$8:$B$19,0)),"?"))</f>
        <v/>
      </c>
      <c r="K1303" s="35" t="str">
        <f aca="false">IF(A1303="","",DATE(YEAR(A1303),MONTH(A1303),1))</f>
        <v/>
      </c>
      <c r="L1303" s="28" t="str">
        <f aca="false">IF(E1303="","",IFERROR(INDEX(Settings!$K$8:$K$38,MATCH(E1303,Settings!$H$8:$H$38,0))&amp;"",""))</f>
        <v/>
      </c>
    </row>
    <row r="1304" customFormat="false" ht="15" hidden="false" customHeight="false" outlineLevel="0" collapsed="false">
      <c r="A1304" s="33"/>
      <c r="B1304" s="27"/>
      <c r="C1304" s="27"/>
      <c r="D1304" s="27"/>
      <c r="E1304" s="27"/>
      <c r="F1304" s="34"/>
      <c r="G1304" s="27"/>
      <c r="H1304" s="27"/>
      <c r="I1304" s="28" t="str">
        <f aca="false">IF(C1304="","",IFERROR(INDEX(Settings!$C$8:$C$19,MATCH(C1304,Settings!$B$8:$B$19,0)),"?"))</f>
        <v/>
      </c>
      <c r="J1304" s="28" t="str">
        <f aca="false">IF(G1304="","",IFERROR(INDEX(Settings!$C$8:$C$19,MATCH(G1304,Settings!$B$8:$B$19,0)),"?"))</f>
        <v/>
      </c>
      <c r="K1304" s="35" t="str">
        <f aca="false">IF(A1304="","",DATE(YEAR(A1304),MONTH(A1304),1))</f>
        <v/>
      </c>
      <c r="L1304" s="28" t="str">
        <f aca="false">IF(E1304="","",IFERROR(INDEX(Settings!$K$8:$K$38,MATCH(E1304,Settings!$H$8:$H$38,0))&amp;"",""))</f>
        <v/>
      </c>
    </row>
    <row r="1305" customFormat="false" ht="15" hidden="false" customHeight="false" outlineLevel="0" collapsed="false">
      <c r="A1305" s="33"/>
      <c r="B1305" s="27"/>
      <c r="C1305" s="27"/>
      <c r="D1305" s="27"/>
      <c r="E1305" s="27"/>
      <c r="F1305" s="34"/>
      <c r="G1305" s="27"/>
      <c r="H1305" s="27"/>
      <c r="I1305" s="28" t="str">
        <f aca="false">IF(C1305="","",IFERROR(INDEX(Settings!$C$8:$C$19,MATCH(C1305,Settings!$B$8:$B$19,0)),"?"))</f>
        <v/>
      </c>
      <c r="J1305" s="28" t="str">
        <f aca="false">IF(G1305="","",IFERROR(INDEX(Settings!$C$8:$C$19,MATCH(G1305,Settings!$B$8:$B$19,0)),"?"))</f>
        <v/>
      </c>
      <c r="K1305" s="35" t="str">
        <f aca="false">IF(A1305="","",DATE(YEAR(A1305),MONTH(A1305),1))</f>
        <v/>
      </c>
      <c r="L1305" s="28" t="str">
        <f aca="false">IF(E1305="","",IFERROR(INDEX(Settings!$K$8:$K$38,MATCH(E1305,Settings!$H$8:$H$38,0))&amp;"",""))</f>
        <v/>
      </c>
    </row>
    <row r="1306" customFormat="false" ht="15" hidden="false" customHeight="false" outlineLevel="0" collapsed="false">
      <c r="A1306" s="33"/>
      <c r="B1306" s="27"/>
      <c r="C1306" s="27"/>
      <c r="D1306" s="27"/>
      <c r="E1306" s="27"/>
      <c r="F1306" s="34"/>
      <c r="G1306" s="27"/>
      <c r="H1306" s="27"/>
      <c r="I1306" s="28" t="str">
        <f aca="false">IF(C1306="","",IFERROR(INDEX(Settings!$C$8:$C$19,MATCH(C1306,Settings!$B$8:$B$19,0)),"?"))</f>
        <v/>
      </c>
      <c r="J1306" s="28" t="str">
        <f aca="false">IF(G1306="","",IFERROR(INDEX(Settings!$C$8:$C$19,MATCH(G1306,Settings!$B$8:$B$19,0)),"?"))</f>
        <v/>
      </c>
      <c r="K1306" s="35" t="str">
        <f aca="false">IF(A1306="","",DATE(YEAR(A1306),MONTH(A1306),1))</f>
        <v/>
      </c>
      <c r="L1306" s="28" t="str">
        <f aca="false">IF(E1306="","",IFERROR(INDEX(Settings!$K$8:$K$38,MATCH(E1306,Settings!$H$8:$H$38,0))&amp;"",""))</f>
        <v/>
      </c>
    </row>
    <row r="1307" customFormat="false" ht="15" hidden="false" customHeight="false" outlineLevel="0" collapsed="false">
      <c r="A1307" s="33"/>
      <c r="B1307" s="27"/>
      <c r="C1307" s="27"/>
      <c r="D1307" s="27"/>
      <c r="E1307" s="27"/>
      <c r="F1307" s="34"/>
      <c r="G1307" s="27"/>
      <c r="H1307" s="27"/>
      <c r="I1307" s="28" t="str">
        <f aca="false">IF(C1307="","",IFERROR(INDEX(Settings!$C$8:$C$19,MATCH(C1307,Settings!$B$8:$B$19,0)),"?"))</f>
        <v/>
      </c>
      <c r="J1307" s="28" t="str">
        <f aca="false">IF(G1307="","",IFERROR(INDEX(Settings!$C$8:$C$19,MATCH(G1307,Settings!$B$8:$B$19,0)),"?"))</f>
        <v/>
      </c>
      <c r="K1307" s="35" t="str">
        <f aca="false">IF(A1307="","",DATE(YEAR(A1307),MONTH(A1307),1))</f>
        <v/>
      </c>
      <c r="L1307" s="28" t="str">
        <f aca="false">IF(E1307="","",IFERROR(INDEX(Settings!$K$8:$K$38,MATCH(E1307,Settings!$H$8:$H$38,0))&amp;"",""))</f>
        <v/>
      </c>
    </row>
    <row r="1308" customFormat="false" ht="15" hidden="false" customHeight="false" outlineLevel="0" collapsed="false">
      <c r="A1308" s="33"/>
      <c r="B1308" s="27"/>
      <c r="C1308" s="27"/>
      <c r="D1308" s="27"/>
      <c r="E1308" s="27"/>
      <c r="F1308" s="34"/>
      <c r="G1308" s="27"/>
      <c r="H1308" s="27"/>
      <c r="I1308" s="28" t="str">
        <f aca="false">IF(C1308="","",IFERROR(INDEX(Settings!$C$8:$C$19,MATCH(C1308,Settings!$B$8:$B$19,0)),"?"))</f>
        <v/>
      </c>
      <c r="J1308" s="28" t="str">
        <f aca="false">IF(G1308="","",IFERROR(INDEX(Settings!$C$8:$C$19,MATCH(G1308,Settings!$B$8:$B$19,0)),"?"))</f>
        <v/>
      </c>
      <c r="K1308" s="35" t="str">
        <f aca="false">IF(A1308="","",DATE(YEAR(A1308),MONTH(A1308),1))</f>
        <v/>
      </c>
      <c r="L1308" s="28" t="str">
        <f aca="false">IF(E1308="","",IFERROR(INDEX(Settings!$K$8:$K$38,MATCH(E1308,Settings!$H$8:$H$38,0))&amp;"",""))</f>
        <v/>
      </c>
    </row>
    <row r="1309" customFormat="false" ht="15" hidden="false" customHeight="false" outlineLevel="0" collapsed="false">
      <c r="A1309" s="33"/>
      <c r="B1309" s="27"/>
      <c r="C1309" s="27"/>
      <c r="D1309" s="27"/>
      <c r="E1309" s="27"/>
      <c r="F1309" s="34"/>
      <c r="G1309" s="27"/>
      <c r="H1309" s="27"/>
      <c r="I1309" s="28" t="str">
        <f aca="false">IF(C1309="","",IFERROR(INDEX(Settings!$C$8:$C$19,MATCH(C1309,Settings!$B$8:$B$19,0)),"?"))</f>
        <v/>
      </c>
      <c r="J1309" s="28" t="str">
        <f aca="false">IF(G1309="","",IFERROR(INDEX(Settings!$C$8:$C$19,MATCH(G1309,Settings!$B$8:$B$19,0)),"?"))</f>
        <v/>
      </c>
      <c r="K1309" s="35" t="str">
        <f aca="false">IF(A1309="","",DATE(YEAR(A1309),MONTH(A1309),1))</f>
        <v/>
      </c>
      <c r="L1309" s="28" t="str">
        <f aca="false">IF(E1309="","",IFERROR(INDEX(Settings!$K$8:$K$38,MATCH(E1309,Settings!$H$8:$H$38,0))&amp;"",""))</f>
        <v/>
      </c>
    </row>
    <row r="1310" customFormat="false" ht="15" hidden="false" customHeight="false" outlineLevel="0" collapsed="false">
      <c r="A1310" s="33"/>
      <c r="B1310" s="27"/>
      <c r="C1310" s="27"/>
      <c r="D1310" s="27"/>
      <c r="E1310" s="27"/>
      <c r="F1310" s="34"/>
      <c r="G1310" s="27"/>
      <c r="H1310" s="27"/>
      <c r="I1310" s="28" t="str">
        <f aca="false">IF(C1310="","",IFERROR(INDEX(Settings!$C$8:$C$19,MATCH(C1310,Settings!$B$8:$B$19,0)),"?"))</f>
        <v/>
      </c>
      <c r="J1310" s="28" t="str">
        <f aca="false">IF(G1310="","",IFERROR(INDEX(Settings!$C$8:$C$19,MATCH(G1310,Settings!$B$8:$B$19,0)),"?"))</f>
        <v/>
      </c>
      <c r="K1310" s="35" t="str">
        <f aca="false">IF(A1310="","",DATE(YEAR(A1310),MONTH(A1310),1))</f>
        <v/>
      </c>
      <c r="L1310" s="28" t="str">
        <f aca="false">IF(E1310="","",IFERROR(INDEX(Settings!$K$8:$K$38,MATCH(E1310,Settings!$H$8:$H$38,0))&amp;"",""))</f>
        <v/>
      </c>
    </row>
    <row r="1311" customFormat="false" ht="15" hidden="false" customHeight="false" outlineLevel="0" collapsed="false">
      <c r="A1311" s="33"/>
      <c r="B1311" s="27"/>
      <c r="C1311" s="27"/>
      <c r="D1311" s="27"/>
      <c r="E1311" s="27"/>
      <c r="F1311" s="34"/>
      <c r="G1311" s="27"/>
      <c r="H1311" s="27"/>
      <c r="I1311" s="28" t="str">
        <f aca="false">IF(C1311="","",IFERROR(INDEX(Settings!$C$8:$C$19,MATCH(C1311,Settings!$B$8:$B$19,0)),"?"))</f>
        <v/>
      </c>
      <c r="J1311" s="28" t="str">
        <f aca="false">IF(G1311="","",IFERROR(INDEX(Settings!$C$8:$C$19,MATCH(G1311,Settings!$B$8:$B$19,0)),"?"))</f>
        <v/>
      </c>
      <c r="K1311" s="35" t="str">
        <f aca="false">IF(A1311="","",DATE(YEAR(A1311),MONTH(A1311),1))</f>
        <v/>
      </c>
      <c r="L1311" s="28" t="str">
        <f aca="false">IF(E1311="","",IFERROR(INDEX(Settings!$K$8:$K$38,MATCH(E1311,Settings!$H$8:$H$38,0))&amp;"",""))</f>
        <v/>
      </c>
    </row>
    <row r="1312" customFormat="false" ht="15" hidden="false" customHeight="false" outlineLevel="0" collapsed="false">
      <c r="A1312" s="33"/>
      <c r="B1312" s="27"/>
      <c r="C1312" s="27"/>
      <c r="D1312" s="27"/>
      <c r="E1312" s="27"/>
      <c r="F1312" s="34"/>
      <c r="G1312" s="27"/>
      <c r="H1312" s="27"/>
      <c r="I1312" s="28" t="str">
        <f aca="false">IF(C1312="","",IFERROR(INDEX(Settings!$C$8:$C$19,MATCH(C1312,Settings!$B$8:$B$19,0)),"?"))</f>
        <v/>
      </c>
      <c r="J1312" s="28" t="str">
        <f aca="false">IF(G1312="","",IFERROR(INDEX(Settings!$C$8:$C$19,MATCH(G1312,Settings!$B$8:$B$19,0)),"?"))</f>
        <v/>
      </c>
      <c r="K1312" s="35" t="str">
        <f aca="false">IF(A1312="","",DATE(YEAR(A1312),MONTH(A1312),1))</f>
        <v/>
      </c>
      <c r="L1312" s="28" t="str">
        <f aca="false">IF(E1312="","",IFERROR(INDEX(Settings!$K$8:$K$38,MATCH(E1312,Settings!$H$8:$H$38,0))&amp;"",""))</f>
        <v/>
      </c>
    </row>
    <row r="1313" customFormat="false" ht="15" hidden="false" customHeight="false" outlineLevel="0" collapsed="false">
      <c r="A1313" s="33"/>
      <c r="B1313" s="27"/>
      <c r="C1313" s="27"/>
      <c r="D1313" s="27"/>
      <c r="E1313" s="27"/>
      <c r="F1313" s="34"/>
      <c r="G1313" s="27"/>
      <c r="H1313" s="27"/>
      <c r="I1313" s="28" t="str">
        <f aca="false">IF(C1313="","",IFERROR(INDEX(Settings!$C$8:$C$19,MATCH(C1313,Settings!$B$8:$B$19,0)),"?"))</f>
        <v/>
      </c>
      <c r="J1313" s="28" t="str">
        <f aca="false">IF(G1313="","",IFERROR(INDEX(Settings!$C$8:$C$19,MATCH(G1313,Settings!$B$8:$B$19,0)),"?"))</f>
        <v/>
      </c>
      <c r="K1313" s="35" t="str">
        <f aca="false">IF(A1313="","",DATE(YEAR(A1313),MONTH(A1313),1))</f>
        <v/>
      </c>
      <c r="L1313" s="28" t="str">
        <f aca="false">IF(E1313="","",IFERROR(INDEX(Settings!$K$8:$K$38,MATCH(E1313,Settings!$H$8:$H$38,0))&amp;"",""))</f>
        <v/>
      </c>
    </row>
    <row r="1314" customFormat="false" ht="15" hidden="false" customHeight="false" outlineLevel="0" collapsed="false">
      <c r="A1314" s="33"/>
      <c r="B1314" s="27"/>
      <c r="C1314" s="27"/>
      <c r="D1314" s="27"/>
      <c r="E1314" s="27"/>
      <c r="F1314" s="34"/>
      <c r="G1314" s="27"/>
      <c r="H1314" s="27"/>
      <c r="I1314" s="28" t="str">
        <f aca="false">IF(C1314="","",IFERROR(INDEX(Settings!$C$8:$C$19,MATCH(C1314,Settings!$B$8:$B$19,0)),"?"))</f>
        <v/>
      </c>
      <c r="J1314" s="28" t="str">
        <f aca="false">IF(G1314="","",IFERROR(INDEX(Settings!$C$8:$C$19,MATCH(G1314,Settings!$B$8:$B$19,0)),"?"))</f>
        <v/>
      </c>
      <c r="K1314" s="35" t="str">
        <f aca="false">IF(A1314="","",DATE(YEAR(A1314),MONTH(A1314),1))</f>
        <v/>
      </c>
      <c r="L1314" s="28" t="str">
        <f aca="false">IF(E1314="","",IFERROR(INDEX(Settings!$K$8:$K$38,MATCH(E1314,Settings!$H$8:$H$38,0))&amp;"",""))</f>
        <v/>
      </c>
    </row>
    <row r="1315" customFormat="false" ht="15" hidden="false" customHeight="false" outlineLevel="0" collapsed="false">
      <c r="A1315" s="33"/>
      <c r="B1315" s="27"/>
      <c r="C1315" s="27"/>
      <c r="D1315" s="27"/>
      <c r="E1315" s="27"/>
      <c r="F1315" s="34"/>
      <c r="G1315" s="27"/>
      <c r="H1315" s="27"/>
      <c r="I1315" s="28" t="str">
        <f aca="false">IF(C1315="","",IFERROR(INDEX(Settings!$C$8:$C$19,MATCH(C1315,Settings!$B$8:$B$19,0)),"?"))</f>
        <v/>
      </c>
      <c r="J1315" s="28" t="str">
        <f aca="false">IF(G1315="","",IFERROR(INDEX(Settings!$C$8:$C$19,MATCH(G1315,Settings!$B$8:$B$19,0)),"?"))</f>
        <v/>
      </c>
      <c r="K1315" s="35" t="str">
        <f aca="false">IF(A1315="","",DATE(YEAR(A1315),MONTH(A1315),1))</f>
        <v/>
      </c>
      <c r="L1315" s="28" t="str">
        <f aca="false">IF(E1315="","",IFERROR(INDEX(Settings!$K$8:$K$38,MATCH(E1315,Settings!$H$8:$H$38,0))&amp;"",""))</f>
        <v/>
      </c>
    </row>
    <row r="1316" customFormat="false" ht="15" hidden="false" customHeight="false" outlineLevel="0" collapsed="false">
      <c r="A1316" s="33"/>
      <c r="B1316" s="27"/>
      <c r="C1316" s="27"/>
      <c r="D1316" s="27"/>
      <c r="E1316" s="27"/>
      <c r="F1316" s="34"/>
      <c r="G1316" s="27"/>
      <c r="H1316" s="27"/>
      <c r="I1316" s="28" t="str">
        <f aca="false">IF(C1316="","",IFERROR(INDEX(Settings!$C$8:$C$19,MATCH(C1316,Settings!$B$8:$B$19,0)),"?"))</f>
        <v/>
      </c>
      <c r="J1316" s="28" t="str">
        <f aca="false">IF(G1316="","",IFERROR(INDEX(Settings!$C$8:$C$19,MATCH(G1316,Settings!$B$8:$B$19,0)),"?"))</f>
        <v/>
      </c>
      <c r="K1316" s="35" t="str">
        <f aca="false">IF(A1316="","",DATE(YEAR(A1316),MONTH(A1316),1))</f>
        <v/>
      </c>
      <c r="L1316" s="28" t="str">
        <f aca="false">IF(E1316="","",IFERROR(INDEX(Settings!$K$8:$K$38,MATCH(E1316,Settings!$H$8:$H$38,0))&amp;"",""))</f>
        <v/>
      </c>
    </row>
    <row r="1317" customFormat="false" ht="15" hidden="false" customHeight="false" outlineLevel="0" collapsed="false">
      <c r="A1317" s="33"/>
      <c r="B1317" s="27"/>
      <c r="C1317" s="27"/>
      <c r="D1317" s="27"/>
      <c r="E1317" s="27"/>
      <c r="F1317" s="34"/>
      <c r="G1317" s="27"/>
      <c r="H1317" s="27"/>
      <c r="I1317" s="28" t="str">
        <f aca="false">IF(C1317="","",IFERROR(INDEX(Settings!$C$8:$C$19,MATCH(C1317,Settings!$B$8:$B$19,0)),"?"))</f>
        <v/>
      </c>
      <c r="J1317" s="28" t="str">
        <f aca="false">IF(G1317="","",IFERROR(INDEX(Settings!$C$8:$C$19,MATCH(G1317,Settings!$B$8:$B$19,0)),"?"))</f>
        <v/>
      </c>
      <c r="K1317" s="35" t="str">
        <f aca="false">IF(A1317="","",DATE(YEAR(A1317),MONTH(A1317),1))</f>
        <v/>
      </c>
      <c r="L1317" s="28" t="str">
        <f aca="false">IF(E1317="","",IFERROR(INDEX(Settings!$K$8:$K$38,MATCH(E1317,Settings!$H$8:$H$38,0))&amp;"",""))</f>
        <v/>
      </c>
    </row>
    <row r="1318" customFormat="false" ht="15" hidden="false" customHeight="false" outlineLevel="0" collapsed="false">
      <c r="A1318" s="33"/>
      <c r="B1318" s="27"/>
      <c r="C1318" s="27"/>
      <c r="D1318" s="27"/>
      <c r="E1318" s="27"/>
      <c r="F1318" s="34"/>
      <c r="G1318" s="27"/>
      <c r="H1318" s="27"/>
      <c r="I1318" s="28" t="str">
        <f aca="false">IF(C1318="","",IFERROR(INDEX(Settings!$C$8:$C$19,MATCH(C1318,Settings!$B$8:$B$19,0)),"?"))</f>
        <v/>
      </c>
      <c r="J1318" s="28" t="str">
        <f aca="false">IF(G1318="","",IFERROR(INDEX(Settings!$C$8:$C$19,MATCH(G1318,Settings!$B$8:$B$19,0)),"?"))</f>
        <v/>
      </c>
      <c r="K1318" s="35" t="str">
        <f aca="false">IF(A1318="","",DATE(YEAR(A1318),MONTH(A1318),1))</f>
        <v/>
      </c>
      <c r="L1318" s="28" t="str">
        <f aca="false">IF(E1318="","",IFERROR(INDEX(Settings!$K$8:$K$38,MATCH(E1318,Settings!$H$8:$H$38,0))&amp;"",""))</f>
        <v/>
      </c>
    </row>
    <row r="1319" customFormat="false" ht="15" hidden="false" customHeight="false" outlineLevel="0" collapsed="false">
      <c r="A1319" s="33"/>
      <c r="B1319" s="27"/>
      <c r="C1319" s="27"/>
      <c r="D1319" s="27"/>
      <c r="E1319" s="27"/>
      <c r="F1319" s="34"/>
      <c r="G1319" s="27"/>
      <c r="H1319" s="27"/>
      <c r="I1319" s="28" t="str">
        <f aca="false">IF(C1319="","",IFERROR(INDEX(Settings!$C$8:$C$19,MATCH(C1319,Settings!$B$8:$B$19,0)),"?"))</f>
        <v/>
      </c>
      <c r="J1319" s="28" t="str">
        <f aca="false">IF(G1319="","",IFERROR(INDEX(Settings!$C$8:$C$19,MATCH(G1319,Settings!$B$8:$B$19,0)),"?"))</f>
        <v/>
      </c>
      <c r="K1319" s="35" t="str">
        <f aca="false">IF(A1319="","",DATE(YEAR(A1319),MONTH(A1319),1))</f>
        <v/>
      </c>
      <c r="L1319" s="28" t="str">
        <f aca="false">IF(E1319="","",IFERROR(INDEX(Settings!$K$8:$K$38,MATCH(E1319,Settings!$H$8:$H$38,0))&amp;"",""))</f>
        <v/>
      </c>
    </row>
    <row r="1320" customFormat="false" ht="15" hidden="false" customHeight="false" outlineLevel="0" collapsed="false">
      <c r="A1320" s="33"/>
      <c r="B1320" s="27"/>
      <c r="C1320" s="27"/>
      <c r="D1320" s="27"/>
      <c r="E1320" s="27"/>
      <c r="F1320" s="34"/>
      <c r="G1320" s="27"/>
      <c r="H1320" s="27"/>
      <c r="I1320" s="28" t="str">
        <f aca="false">IF(C1320="","",IFERROR(INDEX(Settings!$C$8:$C$19,MATCH(C1320,Settings!$B$8:$B$19,0)),"?"))</f>
        <v/>
      </c>
      <c r="J1320" s="28" t="str">
        <f aca="false">IF(G1320="","",IFERROR(INDEX(Settings!$C$8:$C$19,MATCH(G1320,Settings!$B$8:$B$19,0)),"?"))</f>
        <v/>
      </c>
      <c r="K1320" s="35" t="str">
        <f aca="false">IF(A1320="","",DATE(YEAR(A1320),MONTH(A1320),1))</f>
        <v/>
      </c>
      <c r="L1320" s="28" t="str">
        <f aca="false">IF(E1320="","",IFERROR(INDEX(Settings!$K$8:$K$38,MATCH(E1320,Settings!$H$8:$H$38,0))&amp;"",""))</f>
        <v/>
      </c>
    </row>
    <row r="1321" customFormat="false" ht="15" hidden="false" customHeight="false" outlineLevel="0" collapsed="false">
      <c r="A1321" s="33"/>
      <c r="B1321" s="27"/>
      <c r="C1321" s="27"/>
      <c r="D1321" s="27"/>
      <c r="E1321" s="27"/>
      <c r="F1321" s="34"/>
      <c r="G1321" s="27"/>
      <c r="H1321" s="27"/>
      <c r="I1321" s="28" t="str">
        <f aca="false">IF(C1321="","",IFERROR(INDEX(Settings!$C$8:$C$19,MATCH(C1321,Settings!$B$8:$B$19,0)),"?"))</f>
        <v/>
      </c>
      <c r="J1321" s="28" t="str">
        <f aca="false">IF(G1321="","",IFERROR(INDEX(Settings!$C$8:$C$19,MATCH(G1321,Settings!$B$8:$B$19,0)),"?"))</f>
        <v/>
      </c>
      <c r="K1321" s="35" t="str">
        <f aca="false">IF(A1321="","",DATE(YEAR(A1321),MONTH(A1321),1))</f>
        <v/>
      </c>
      <c r="L1321" s="28" t="str">
        <f aca="false">IF(E1321="","",IFERROR(INDEX(Settings!$K$8:$K$38,MATCH(E1321,Settings!$H$8:$H$38,0))&amp;"",""))</f>
        <v/>
      </c>
    </row>
    <row r="1322" customFormat="false" ht="15" hidden="false" customHeight="false" outlineLevel="0" collapsed="false">
      <c r="A1322" s="33"/>
      <c r="B1322" s="27"/>
      <c r="C1322" s="27"/>
      <c r="D1322" s="27"/>
      <c r="E1322" s="27"/>
      <c r="F1322" s="34"/>
      <c r="G1322" s="27"/>
      <c r="H1322" s="27"/>
      <c r="I1322" s="28" t="str">
        <f aca="false">IF(C1322="","",IFERROR(INDEX(Settings!$C$8:$C$19,MATCH(C1322,Settings!$B$8:$B$19,0)),"?"))</f>
        <v/>
      </c>
      <c r="J1322" s="28" t="str">
        <f aca="false">IF(G1322="","",IFERROR(INDEX(Settings!$C$8:$C$19,MATCH(G1322,Settings!$B$8:$B$19,0)),"?"))</f>
        <v/>
      </c>
      <c r="K1322" s="35" t="str">
        <f aca="false">IF(A1322="","",DATE(YEAR(A1322),MONTH(A1322),1))</f>
        <v/>
      </c>
      <c r="L1322" s="28" t="str">
        <f aca="false">IF(E1322="","",IFERROR(INDEX(Settings!$K$8:$K$38,MATCH(E1322,Settings!$H$8:$H$38,0))&amp;"",""))</f>
        <v/>
      </c>
    </row>
    <row r="1323" customFormat="false" ht="15" hidden="false" customHeight="false" outlineLevel="0" collapsed="false">
      <c r="A1323" s="33"/>
      <c r="B1323" s="27"/>
      <c r="C1323" s="27"/>
      <c r="D1323" s="27"/>
      <c r="E1323" s="27"/>
      <c r="F1323" s="34"/>
      <c r="G1323" s="27"/>
      <c r="H1323" s="27"/>
      <c r="I1323" s="28" t="str">
        <f aca="false">IF(C1323="","",IFERROR(INDEX(Settings!$C$8:$C$19,MATCH(C1323,Settings!$B$8:$B$19,0)),"?"))</f>
        <v/>
      </c>
      <c r="J1323" s="28" t="str">
        <f aca="false">IF(G1323="","",IFERROR(INDEX(Settings!$C$8:$C$19,MATCH(G1323,Settings!$B$8:$B$19,0)),"?"))</f>
        <v/>
      </c>
      <c r="K1323" s="35" t="str">
        <f aca="false">IF(A1323="","",DATE(YEAR(A1323),MONTH(A1323),1))</f>
        <v/>
      </c>
      <c r="L1323" s="28" t="str">
        <f aca="false">IF(E1323="","",IFERROR(INDEX(Settings!$K$8:$K$38,MATCH(E1323,Settings!$H$8:$H$38,0))&amp;"",""))</f>
        <v/>
      </c>
    </row>
    <row r="1324" customFormat="false" ht="15" hidden="false" customHeight="false" outlineLevel="0" collapsed="false">
      <c r="A1324" s="33"/>
      <c r="B1324" s="27"/>
      <c r="C1324" s="27"/>
      <c r="D1324" s="27"/>
      <c r="E1324" s="27"/>
      <c r="F1324" s="34"/>
      <c r="G1324" s="27"/>
      <c r="H1324" s="27"/>
      <c r="I1324" s="28" t="str">
        <f aca="false">IF(C1324="","",IFERROR(INDEX(Settings!$C$8:$C$19,MATCH(C1324,Settings!$B$8:$B$19,0)),"?"))</f>
        <v/>
      </c>
      <c r="J1324" s="28" t="str">
        <f aca="false">IF(G1324="","",IFERROR(INDEX(Settings!$C$8:$C$19,MATCH(G1324,Settings!$B$8:$B$19,0)),"?"))</f>
        <v/>
      </c>
      <c r="K1324" s="35" t="str">
        <f aca="false">IF(A1324="","",DATE(YEAR(A1324),MONTH(A1324),1))</f>
        <v/>
      </c>
      <c r="L1324" s="28" t="str">
        <f aca="false">IF(E1324="","",IFERROR(INDEX(Settings!$K$8:$K$38,MATCH(E1324,Settings!$H$8:$H$38,0))&amp;"",""))</f>
        <v/>
      </c>
    </row>
    <row r="1325" customFormat="false" ht="15" hidden="false" customHeight="false" outlineLevel="0" collapsed="false">
      <c r="A1325" s="33"/>
      <c r="B1325" s="27"/>
      <c r="C1325" s="27"/>
      <c r="D1325" s="27"/>
      <c r="E1325" s="27"/>
      <c r="F1325" s="34"/>
      <c r="G1325" s="27"/>
      <c r="H1325" s="27"/>
      <c r="I1325" s="28" t="str">
        <f aca="false">IF(C1325="","",IFERROR(INDEX(Settings!$C$8:$C$19,MATCH(C1325,Settings!$B$8:$B$19,0)),"?"))</f>
        <v/>
      </c>
      <c r="J1325" s="28" t="str">
        <f aca="false">IF(G1325="","",IFERROR(INDEX(Settings!$C$8:$C$19,MATCH(G1325,Settings!$B$8:$B$19,0)),"?"))</f>
        <v/>
      </c>
      <c r="K1325" s="35" t="str">
        <f aca="false">IF(A1325="","",DATE(YEAR(A1325),MONTH(A1325),1))</f>
        <v/>
      </c>
      <c r="L1325" s="28" t="str">
        <f aca="false">IF(E1325="","",IFERROR(INDEX(Settings!$K$8:$K$38,MATCH(E1325,Settings!$H$8:$H$38,0))&amp;"",""))</f>
        <v/>
      </c>
    </row>
    <row r="1326" customFormat="false" ht="15" hidden="false" customHeight="false" outlineLevel="0" collapsed="false">
      <c r="A1326" s="33"/>
      <c r="B1326" s="27"/>
      <c r="C1326" s="27"/>
      <c r="D1326" s="27"/>
      <c r="E1326" s="27"/>
      <c r="F1326" s="34"/>
      <c r="G1326" s="27"/>
      <c r="H1326" s="27"/>
      <c r="I1326" s="28" t="str">
        <f aca="false">IF(C1326="","",IFERROR(INDEX(Settings!$C$8:$C$19,MATCH(C1326,Settings!$B$8:$B$19,0)),"?"))</f>
        <v/>
      </c>
      <c r="J1326" s="28" t="str">
        <f aca="false">IF(G1326="","",IFERROR(INDEX(Settings!$C$8:$C$19,MATCH(G1326,Settings!$B$8:$B$19,0)),"?"))</f>
        <v/>
      </c>
      <c r="K1326" s="35" t="str">
        <f aca="false">IF(A1326="","",DATE(YEAR(A1326),MONTH(A1326),1))</f>
        <v/>
      </c>
      <c r="L1326" s="28" t="str">
        <f aca="false">IF(E1326="","",IFERROR(INDEX(Settings!$K$8:$K$38,MATCH(E1326,Settings!$H$8:$H$38,0))&amp;"",""))</f>
        <v/>
      </c>
    </row>
    <row r="1327" customFormat="false" ht="15" hidden="false" customHeight="false" outlineLevel="0" collapsed="false">
      <c r="A1327" s="33"/>
      <c r="B1327" s="27"/>
      <c r="C1327" s="27"/>
      <c r="D1327" s="27"/>
      <c r="E1327" s="27"/>
      <c r="F1327" s="34"/>
      <c r="G1327" s="27"/>
      <c r="H1327" s="27"/>
      <c r="I1327" s="28" t="str">
        <f aca="false">IF(C1327="","",IFERROR(INDEX(Settings!$C$8:$C$19,MATCH(C1327,Settings!$B$8:$B$19,0)),"?"))</f>
        <v/>
      </c>
      <c r="J1327" s="28" t="str">
        <f aca="false">IF(G1327="","",IFERROR(INDEX(Settings!$C$8:$C$19,MATCH(G1327,Settings!$B$8:$B$19,0)),"?"))</f>
        <v/>
      </c>
      <c r="K1327" s="35" t="str">
        <f aca="false">IF(A1327="","",DATE(YEAR(A1327),MONTH(A1327),1))</f>
        <v/>
      </c>
      <c r="L1327" s="28" t="str">
        <f aca="false">IF(E1327="","",IFERROR(INDEX(Settings!$K$8:$K$38,MATCH(E1327,Settings!$H$8:$H$38,0))&amp;"",""))</f>
        <v/>
      </c>
    </row>
    <row r="1328" customFormat="false" ht="15" hidden="false" customHeight="false" outlineLevel="0" collapsed="false">
      <c r="A1328" s="33"/>
      <c r="B1328" s="27"/>
      <c r="C1328" s="27"/>
      <c r="D1328" s="27"/>
      <c r="E1328" s="27"/>
      <c r="F1328" s="34"/>
      <c r="G1328" s="27"/>
      <c r="H1328" s="27"/>
      <c r="I1328" s="28" t="str">
        <f aca="false">IF(C1328="","",IFERROR(INDEX(Settings!$C$8:$C$19,MATCH(C1328,Settings!$B$8:$B$19,0)),"?"))</f>
        <v/>
      </c>
      <c r="J1328" s="28" t="str">
        <f aca="false">IF(G1328="","",IFERROR(INDEX(Settings!$C$8:$C$19,MATCH(G1328,Settings!$B$8:$B$19,0)),"?"))</f>
        <v/>
      </c>
      <c r="K1328" s="35" t="str">
        <f aca="false">IF(A1328="","",DATE(YEAR(A1328),MONTH(A1328),1))</f>
        <v/>
      </c>
      <c r="L1328" s="28" t="str">
        <f aca="false">IF(E1328="","",IFERROR(INDEX(Settings!$K$8:$K$38,MATCH(E1328,Settings!$H$8:$H$38,0))&amp;"",""))</f>
        <v/>
      </c>
    </row>
    <row r="1329" customFormat="false" ht="15" hidden="false" customHeight="false" outlineLevel="0" collapsed="false">
      <c r="A1329" s="33"/>
      <c r="B1329" s="27"/>
      <c r="C1329" s="27"/>
      <c r="D1329" s="27"/>
      <c r="E1329" s="27"/>
      <c r="F1329" s="34"/>
      <c r="G1329" s="27"/>
      <c r="H1329" s="27"/>
      <c r="I1329" s="28" t="str">
        <f aca="false">IF(C1329="","",IFERROR(INDEX(Settings!$C$8:$C$19,MATCH(C1329,Settings!$B$8:$B$19,0)),"?"))</f>
        <v/>
      </c>
      <c r="J1329" s="28" t="str">
        <f aca="false">IF(G1329="","",IFERROR(INDEX(Settings!$C$8:$C$19,MATCH(G1329,Settings!$B$8:$B$19,0)),"?"))</f>
        <v/>
      </c>
      <c r="K1329" s="35" t="str">
        <f aca="false">IF(A1329="","",DATE(YEAR(A1329),MONTH(A1329),1))</f>
        <v/>
      </c>
      <c r="L1329" s="28" t="str">
        <f aca="false">IF(E1329="","",IFERROR(INDEX(Settings!$K$8:$K$38,MATCH(E1329,Settings!$H$8:$H$38,0))&amp;"",""))</f>
        <v/>
      </c>
    </row>
    <row r="1330" customFormat="false" ht="15" hidden="false" customHeight="false" outlineLevel="0" collapsed="false">
      <c r="A1330" s="33"/>
      <c r="B1330" s="27"/>
      <c r="C1330" s="27"/>
      <c r="D1330" s="27"/>
      <c r="E1330" s="27"/>
      <c r="F1330" s="34"/>
      <c r="G1330" s="27"/>
      <c r="H1330" s="27"/>
      <c r="I1330" s="28" t="str">
        <f aca="false">IF(C1330="","",IFERROR(INDEX(Settings!$C$8:$C$19,MATCH(C1330,Settings!$B$8:$B$19,0)),"?"))</f>
        <v/>
      </c>
      <c r="J1330" s="28" t="str">
        <f aca="false">IF(G1330="","",IFERROR(INDEX(Settings!$C$8:$C$19,MATCH(G1330,Settings!$B$8:$B$19,0)),"?"))</f>
        <v/>
      </c>
      <c r="K1330" s="35" t="str">
        <f aca="false">IF(A1330="","",DATE(YEAR(A1330),MONTH(A1330),1))</f>
        <v/>
      </c>
      <c r="L1330" s="28" t="str">
        <f aca="false">IF(E1330="","",IFERROR(INDEX(Settings!$K$8:$K$38,MATCH(E1330,Settings!$H$8:$H$38,0))&amp;"",""))</f>
        <v/>
      </c>
    </row>
    <row r="1331" customFormat="false" ht="15" hidden="false" customHeight="false" outlineLevel="0" collapsed="false">
      <c r="A1331" s="33"/>
      <c r="B1331" s="27"/>
      <c r="C1331" s="27"/>
      <c r="D1331" s="27"/>
      <c r="E1331" s="27"/>
      <c r="F1331" s="34"/>
      <c r="G1331" s="27"/>
      <c r="H1331" s="27"/>
      <c r="I1331" s="28" t="str">
        <f aca="false">IF(C1331="","",IFERROR(INDEX(Settings!$C$8:$C$19,MATCH(C1331,Settings!$B$8:$B$19,0)),"?"))</f>
        <v/>
      </c>
      <c r="J1331" s="28" t="str">
        <f aca="false">IF(G1331="","",IFERROR(INDEX(Settings!$C$8:$C$19,MATCH(G1331,Settings!$B$8:$B$19,0)),"?"))</f>
        <v/>
      </c>
      <c r="K1331" s="35" t="str">
        <f aca="false">IF(A1331="","",DATE(YEAR(A1331),MONTH(A1331),1))</f>
        <v/>
      </c>
      <c r="L1331" s="28" t="str">
        <f aca="false">IF(E1331="","",IFERROR(INDEX(Settings!$K$8:$K$38,MATCH(E1331,Settings!$H$8:$H$38,0))&amp;"",""))</f>
        <v/>
      </c>
    </row>
    <row r="1332" customFormat="false" ht="15" hidden="false" customHeight="false" outlineLevel="0" collapsed="false">
      <c r="A1332" s="33"/>
      <c r="B1332" s="27"/>
      <c r="C1332" s="27"/>
      <c r="D1332" s="27"/>
      <c r="E1332" s="27"/>
      <c r="F1332" s="34"/>
      <c r="G1332" s="27"/>
      <c r="H1332" s="27"/>
      <c r="I1332" s="28" t="str">
        <f aca="false">IF(C1332="","",IFERROR(INDEX(Settings!$C$8:$C$19,MATCH(C1332,Settings!$B$8:$B$19,0)),"?"))</f>
        <v/>
      </c>
      <c r="J1332" s="28" t="str">
        <f aca="false">IF(G1332="","",IFERROR(INDEX(Settings!$C$8:$C$19,MATCH(G1332,Settings!$B$8:$B$19,0)),"?"))</f>
        <v/>
      </c>
      <c r="K1332" s="35" t="str">
        <f aca="false">IF(A1332="","",DATE(YEAR(A1332),MONTH(A1332),1))</f>
        <v/>
      </c>
      <c r="L1332" s="28" t="str">
        <f aca="false">IF(E1332="","",IFERROR(INDEX(Settings!$K$8:$K$38,MATCH(E1332,Settings!$H$8:$H$38,0))&amp;"",""))</f>
        <v/>
      </c>
    </row>
    <row r="1333" customFormat="false" ht="15" hidden="false" customHeight="false" outlineLevel="0" collapsed="false">
      <c r="A1333" s="33"/>
      <c r="B1333" s="27"/>
      <c r="C1333" s="27"/>
      <c r="D1333" s="27"/>
      <c r="E1333" s="27"/>
      <c r="F1333" s="34"/>
      <c r="G1333" s="27"/>
      <c r="H1333" s="27"/>
      <c r="I1333" s="28" t="str">
        <f aca="false">IF(C1333="","",IFERROR(INDEX(Settings!$C$8:$C$19,MATCH(C1333,Settings!$B$8:$B$19,0)),"?"))</f>
        <v/>
      </c>
      <c r="J1333" s="28" t="str">
        <f aca="false">IF(G1333="","",IFERROR(INDEX(Settings!$C$8:$C$19,MATCH(G1333,Settings!$B$8:$B$19,0)),"?"))</f>
        <v/>
      </c>
      <c r="K1333" s="35" t="str">
        <f aca="false">IF(A1333="","",DATE(YEAR(A1333),MONTH(A1333),1))</f>
        <v/>
      </c>
      <c r="L1333" s="28" t="str">
        <f aca="false">IF(E1333="","",IFERROR(INDEX(Settings!$K$8:$K$38,MATCH(E1333,Settings!$H$8:$H$38,0))&amp;"",""))</f>
        <v/>
      </c>
    </row>
    <row r="1334" customFormat="false" ht="15" hidden="false" customHeight="false" outlineLevel="0" collapsed="false">
      <c r="A1334" s="33"/>
      <c r="B1334" s="27"/>
      <c r="C1334" s="27"/>
      <c r="D1334" s="27"/>
      <c r="E1334" s="27"/>
      <c r="F1334" s="34"/>
      <c r="G1334" s="27"/>
      <c r="H1334" s="27"/>
      <c r="I1334" s="28" t="str">
        <f aca="false">IF(C1334="","",IFERROR(INDEX(Settings!$C$8:$C$19,MATCH(C1334,Settings!$B$8:$B$19,0)),"?"))</f>
        <v/>
      </c>
      <c r="J1334" s="28" t="str">
        <f aca="false">IF(G1334="","",IFERROR(INDEX(Settings!$C$8:$C$19,MATCH(G1334,Settings!$B$8:$B$19,0)),"?"))</f>
        <v/>
      </c>
      <c r="K1334" s="35" t="str">
        <f aca="false">IF(A1334="","",DATE(YEAR(A1334),MONTH(A1334),1))</f>
        <v/>
      </c>
      <c r="L1334" s="28" t="str">
        <f aca="false">IF(E1334="","",IFERROR(INDEX(Settings!$K$8:$K$38,MATCH(E1334,Settings!$H$8:$H$38,0))&amp;"",""))</f>
        <v/>
      </c>
    </row>
    <row r="1335" customFormat="false" ht="15" hidden="false" customHeight="false" outlineLevel="0" collapsed="false">
      <c r="A1335" s="33"/>
      <c r="B1335" s="27"/>
      <c r="C1335" s="27"/>
      <c r="D1335" s="27"/>
      <c r="E1335" s="27"/>
      <c r="F1335" s="34"/>
      <c r="G1335" s="27"/>
      <c r="H1335" s="27"/>
      <c r="I1335" s="28" t="str">
        <f aca="false">IF(C1335="","",IFERROR(INDEX(Settings!$C$8:$C$19,MATCH(C1335,Settings!$B$8:$B$19,0)),"?"))</f>
        <v/>
      </c>
      <c r="J1335" s="28" t="str">
        <f aca="false">IF(G1335="","",IFERROR(INDEX(Settings!$C$8:$C$19,MATCH(G1335,Settings!$B$8:$B$19,0)),"?"))</f>
        <v/>
      </c>
      <c r="K1335" s="35" t="str">
        <f aca="false">IF(A1335="","",DATE(YEAR(A1335),MONTH(A1335),1))</f>
        <v/>
      </c>
      <c r="L1335" s="28" t="str">
        <f aca="false">IF(E1335="","",IFERROR(INDEX(Settings!$K$8:$K$38,MATCH(E1335,Settings!$H$8:$H$38,0))&amp;"",""))</f>
        <v/>
      </c>
    </row>
    <row r="1336" customFormat="false" ht="15" hidden="false" customHeight="false" outlineLevel="0" collapsed="false">
      <c r="A1336" s="33"/>
      <c r="B1336" s="27"/>
      <c r="C1336" s="27"/>
      <c r="D1336" s="27"/>
      <c r="E1336" s="27"/>
      <c r="F1336" s="34"/>
      <c r="G1336" s="27"/>
      <c r="H1336" s="27"/>
      <c r="I1336" s="28" t="str">
        <f aca="false">IF(C1336="","",IFERROR(INDEX(Settings!$C$8:$C$19,MATCH(C1336,Settings!$B$8:$B$19,0)),"?"))</f>
        <v/>
      </c>
      <c r="J1336" s="28" t="str">
        <f aca="false">IF(G1336="","",IFERROR(INDEX(Settings!$C$8:$C$19,MATCH(G1336,Settings!$B$8:$B$19,0)),"?"))</f>
        <v/>
      </c>
      <c r="K1336" s="35" t="str">
        <f aca="false">IF(A1336="","",DATE(YEAR(A1336),MONTH(A1336),1))</f>
        <v/>
      </c>
      <c r="L1336" s="28" t="str">
        <f aca="false">IF(E1336="","",IFERROR(INDEX(Settings!$K$8:$K$38,MATCH(E1336,Settings!$H$8:$H$38,0))&amp;"",""))</f>
        <v/>
      </c>
    </row>
    <row r="1337" customFormat="false" ht="15" hidden="false" customHeight="false" outlineLevel="0" collapsed="false">
      <c r="A1337" s="33"/>
      <c r="B1337" s="27"/>
      <c r="C1337" s="27"/>
      <c r="D1337" s="27"/>
      <c r="E1337" s="27"/>
      <c r="F1337" s="34"/>
      <c r="G1337" s="27"/>
      <c r="H1337" s="27"/>
      <c r="I1337" s="28" t="str">
        <f aca="false">IF(C1337="","",IFERROR(INDEX(Settings!$C$8:$C$19,MATCH(C1337,Settings!$B$8:$B$19,0)),"?"))</f>
        <v/>
      </c>
      <c r="J1337" s="28" t="str">
        <f aca="false">IF(G1337="","",IFERROR(INDEX(Settings!$C$8:$C$19,MATCH(G1337,Settings!$B$8:$B$19,0)),"?"))</f>
        <v/>
      </c>
      <c r="K1337" s="35" t="str">
        <f aca="false">IF(A1337="","",DATE(YEAR(A1337),MONTH(A1337),1))</f>
        <v/>
      </c>
      <c r="L1337" s="28" t="str">
        <f aca="false">IF(E1337="","",IFERROR(INDEX(Settings!$K$8:$K$38,MATCH(E1337,Settings!$H$8:$H$38,0))&amp;"",""))</f>
        <v/>
      </c>
    </row>
    <row r="1338" customFormat="false" ht="15" hidden="false" customHeight="false" outlineLevel="0" collapsed="false">
      <c r="A1338" s="33"/>
      <c r="B1338" s="27"/>
      <c r="C1338" s="27"/>
      <c r="D1338" s="27"/>
      <c r="E1338" s="27"/>
      <c r="F1338" s="34"/>
      <c r="G1338" s="27"/>
      <c r="H1338" s="27"/>
      <c r="I1338" s="28" t="str">
        <f aca="false">IF(C1338="","",IFERROR(INDEX(Settings!$C$8:$C$19,MATCH(C1338,Settings!$B$8:$B$19,0)),"?"))</f>
        <v/>
      </c>
      <c r="J1338" s="28" t="str">
        <f aca="false">IF(G1338="","",IFERROR(INDEX(Settings!$C$8:$C$19,MATCH(G1338,Settings!$B$8:$B$19,0)),"?"))</f>
        <v/>
      </c>
      <c r="K1338" s="35" t="str">
        <f aca="false">IF(A1338="","",DATE(YEAR(A1338),MONTH(A1338),1))</f>
        <v/>
      </c>
      <c r="L1338" s="28" t="str">
        <f aca="false">IF(E1338="","",IFERROR(INDEX(Settings!$K$8:$K$38,MATCH(E1338,Settings!$H$8:$H$38,0))&amp;"",""))</f>
        <v/>
      </c>
    </row>
    <row r="1339" customFormat="false" ht="15" hidden="false" customHeight="false" outlineLevel="0" collapsed="false">
      <c r="A1339" s="33"/>
      <c r="B1339" s="27"/>
      <c r="C1339" s="27"/>
      <c r="D1339" s="27"/>
      <c r="E1339" s="27"/>
      <c r="F1339" s="34"/>
      <c r="G1339" s="27"/>
      <c r="H1339" s="27"/>
      <c r="I1339" s="28" t="str">
        <f aca="false">IF(C1339="","",IFERROR(INDEX(Settings!$C$8:$C$19,MATCH(C1339,Settings!$B$8:$B$19,0)),"?"))</f>
        <v/>
      </c>
      <c r="J1339" s="28" t="str">
        <f aca="false">IF(G1339="","",IFERROR(INDEX(Settings!$C$8:$C$19,MATCH(G1339,Settings!$B$8:$B$19,0)),"?"))</f>
        <v/>
      </c>
      <c r="K1339" s="35" t="str">
        <f aca="false">IF(A1339="","",DATE(YEAR(A1339),MONTH(A1339),1))</f>
        <v/>
      </c>
      <c r="L1339" s="28" t="str">
        <f aca="false">IF(E1339="","",IFERROR(INDEX(Settings!$K$8:$K$38,MATCH(E1339,Settings!$H$8:$H$38,0))&amp;"",""))</f>
        <v/>
      </c>
    </row>
    <row r="1340" customFormat="false" ht="15" hidden="false" customHeight="false" outlineLevel="0" collapsed="false">
      <c r="A1340" s="33"/>
      <c r="B1340" s="27"/>
      <c r="C1340" s="27"/>
      <c r="D1340" s="27"/>
      <c r="E1340" s="27"/>
      <c r="F1340" s="34"/>
      <c r="G1340" s="27"/>
      <c r="H1340" s="27"/>
      <c r="I1340" s="28" t="str">
        <f aca="false">IF(C1340="","",IFERROR(INDEX(Settings!$C$8:$C$19,MATCH(C1340,Settings!$B$8:$B$19,0)),"?"))</f>
        <v/>
      </c>
      <c r="J1340" s="28" t="str">
        <f aca="false">IF(G1340="","",IFERROR(INDEX(Settings!$C$8:$C$19,MATCH(G1340,Settings!$B$8:$B$19,0)),"?"))</f>
        <v/>
      </c>
      <c r="K1340" s="35" t="str">
        <f aca="false">IF(A1340="","",DATE(YEAR(A1340),MONTH(A1340),1))</f>
        <v/>
      </c>
      <c r="L1340" s="28" t="str">
        <f aca="false">IF(E1340="","",IFERROR(INDEX(Settings!$K$8:$K$38,MATCH(E1340,Settings!$H$8:$H$38,0))&amp;"",""))</f>
        <v/>
      </c>
    </row>
    <row r="1341" customFormat="false" ht="15" hidden="false" customHeight="false" outlineLevel="0" collapsed="false">
      <c r="A1341" s="33"/>
      <c r="B1341" s="27"/>
      <c r="C1341" s="27"/>
      <c r="D1341" s="27"/>
      <c r="E1341" s="27"/>
      <c r="F1341" s="34"/>
      <c r="G1341" s="27"/>
      <c r="H1341" s="27"/>
      <c r="I1341" s="28" t="str">
        <f aca="false">IF(C1341="","",IFERROR(INDEX(Settings!$C$8:$C$19,MATCH(C1341,Settings!$B$8:$B$19,0)),"?"))</f>
        <v/>
      </c>
      <c r="J1341" s="28" t="str">
        <f aca="false">IF(G1341="","",IFERROR(INDEX(Settings!$C$8:$C$19,MATCH(G1341,Settings!$B$8:$B$19,0)),"?"))</f>
        <v/>
      </c>
      <c r="K1341" s="35" t="str">
        <f aca="false">IF(A1341="","",DATE(YEAR(A1341),MONTH(A1341),1))</f>
        <v/>
      </c>
      <c r="L1341" s="28" t="str">
        <f aca="false">IF(E1341="","",IFERROR(INDEX(Settings!$K$8:$K$38,MATCH(E1341,Settings!$H$8:$H$38,0))&amp;"",""))</f>
        <v/>
      </c>
    </row>
    <row r="1342" customFormat="false" ht="15" hidden="false" customHeight="false" outlineLevel="0" collapsed="false">
      <c r="A1342" s="33"/>
      <c r="B1342" s="27"/>
      <c r="C1342" s="27"/>
      <c r="D1342" s="27"/>
      <c r="E1342" s="27"/>
      <c r="F1342" s="34"/>
      <c r="G1342" s="27"/>
      <c r="H1342" s="27"/>
      <c r="I1342" s="28" t="str">
        <f aca="false">IF(C1342="","",IFERROR(INDEX(Settings!$C$8:$C$19,MATCH(C1342,Settings!$B$8:$B$19,0)),"?"))</f>
        <v/>
      </c>
      <c r="J1342" s="28" t="str">
        <f aca="false">IF(G1342="","",IFERROR(INDEX(Settings!$C$8:$C$19,MATCH(G1342,Settings!$B$8:$B$19,0)),"?"))</f>
        <v/>
      </c>
      <c r="K1342" s="35" t="str">
        <f aca="false">IF(A1342="","",DATE(YEAR(A1342),MONTH(A1342),1))</f>
        <v/>
      </c>
      <c r="L1342" s="28" t="str">
        <f aca="false">IF(E1342="","",IFERROR(INDEX(Settings!$K$8:$K$38,MATCH(E1342,Settings!$H$8:$H$38,0))&amp;"",""))</f>
        <v/>
      </c>
    </row>
    <row r="1343" customFormat="false" ht="15" hidden="false" customHeight="false" outlineLevel="0" collapsed="false">
      <c r="A1343" s="33"/>
      <c r="B1343" s="27"/>
      <c r="C1343" s="27"/>
      <c r="D1343" s="27"/>
      <c r="E1343" s="27"/>
      <c r="F1343" s="34"/>
      <c r="G1343" s="27"/>
      <c r="H1343" s="27"/>
      <c r="I1343" s="28" t="str">
        <f aca="false">IF(C1343="","",IFERROR(INDEX(Settings!$C$8:$C$19,MATCH(C1343,Settings!$B$8:$B$19,0)),"?"))</f>
        <v/>
      </c>
      <c r="J1343" s="28" t="str">
        <f aca="false">IF(G1343="","",IFERROR(INDEX(Settings!$C$8:$C$19,MATCH(G1343,Settings!$B$8:$B$19,0)),"?"))</f>
        <v/>
      </c>
      <c r="K1343" s="35" t="str">
        <f aca="false">IF(A1343="","",DATE(YEAR(A1343),MONTH(A1343),1))</f>
        <v/>
      </c>
      <c r="L1343" s="28" t="str">
        <f aca="false">IF(E1343="","",IFERROR(INDEX(Settings!$K$8:$K$38,MATCH(E1343,Settings!$H$8:$H$38,0))&amp;"",""))</f>
        <v/>
      </c>
    </row>
    <row r="1344" customFormat="false" ht="15" hidden="false" customHeight="false" outlineLevel="0" collapsed="false">
      <c r="A1344" s="33"/>
      <c r="B1344" s="27"/>
      <c r="C1344" s="27"/>
      <c r="D1344" s="27"/>
      <c r="E1344" s="27"/>
      <c r="F1344" s="34"/>
      <c r="G1344" s="27"/>
      <c r="H1344" s="27"/>
      <c r="I1344" s="28" t="str">
        <f aca="false">IF(C1344="","",IFERROR(INDEX(Settings!$C$8:$C$19,MATCH(C1344,Settings!$B$8:$B$19,0)),"?"))</f>
        <v/>
      </c>
      <c r="J1344" s="28" t="str">
        <f aca="false">IF(G1344="","",IFERROR(INDEX(Settings!$C$8:$C$19,MATCH(G1344,Settings!$B$8:$B$19,0)),"?"))</f>
        <v/>
      </c>
      <c r="K1344" s="35" t="str">
        <f aca="false">IF(A1344="","",DATE(YEAR(A1344),MONTH(A1344),1))</f>
        <v/>
      </c>
      <c r="L1344" s="28" t="str">
        <f aca="false">IF(E1344="","",IFERROR(INDEX(Settings!$K$8:$K$38,MATCH(E1344,Settings!$H$8:$H$38,0))&amp;"",""))</f>
        <v/>
      </c>
    </row>
    <row r="1345" customFormat="false" ht="15" hidden="false" customHeight="false" outlineLevel="0" collapsed="false">
      <c r="A1345" s="33"/>
      <c r="B1345" s="27"/>
      <c r="C1345" s="27"/>
      <c r="D1345" s="27"/>
      <c r="E1345" s="27"/>
      <c r="F1345" s="34"/>
      <c r="G1345" s="27"/>
      <c r="H1345" s="27"/>
      <c r="I1345" s="28" t="str">
        <f aca="false">IF(C1345="","",IFERROR(INDEX(Settings!$C$8:$C$19,MATCH(C1345,Settings!$B$8:$B$19,0)),"?"))</f>
        <v/>
      </c>
      <c r="J1345" s="28" t="str">
        <f aca="false">IF(G1345="","",IFERROR(INDEX(Settings!$C$8:$C$19,MATCH(G1345,Settings!$B$8:$B$19,0)),"?"))</f>
        <v/>
      </c>
      <c r="K1345" s="35" t="str">
        <f aca="false">IF(A1345="","",DATE(YEAR(A1345),MONTH(A1345),1))</f>
        <v/>
      </c>
      <c r="L1345" s="28" t="str">
        <f aca="false">IF(E1345="","",IFERROR(INDEX(Settings!$K$8:$K$38,MATCH(E1345,Settings!$H$8:$H$38,0))&amp;"",""))</f>
        <v/>
      </c>
    </row>
    <row r="1346" customFormat="false" ht="15" hidden="false" customHeight="false" outlineLevel="0" collapsed="false">
      <c r="A1346" s="33"/>
      <c r="B1346" s="27"/>
      <c r="C1346" s="27"/>
      <c r="D1346" s="27"/>
      <c r="E1346" s="27"/>
      <c r="F1346" s="34"/>
      <c r="G1346" s="27"/>
      <c r="H1346" s="27"/>
      <c r="I1346" s="28" t="str">
        <f aca="false">IF(C1346="","",IFERROR(INDEX(Settings!$C$8:$C$19,MATCH(C1346,Settings!$B$8:$B$19,0)),"?"))</f>
        <v/>
      </c>
      <c r="J1346" s="28" t="str">
        <f aca="false">IF(G1346="","",IFERROR(INDEX(Settings!$C$8:$C$19,MATCH(G1346,Settings!$B$8:$B$19,0)),"?"))</f>
        <v/>
      </c>
      <c r="K1346" s="35" t="str">
        <f aca="false">IF(A1346="","",DATE(YEAR(A1346),MONTH(A1346),1))</f>
        <v/>
      </c>
      <c r="L1346" s="28" t="str">
        <f aca="false">IF(E1346="","",IFERROR(INDEX(Settings!$K$8:$K$38,MATCH(E1346,Settings!$H$8:$H$38,0))&amp;"",""))</f>
        <v/>
      </c>
    </row>
    <row r="1347" customFormat="false" ht="15" hidden="false" customHeight="false" outlineLevel="0" collapsed="false">
      <c r="A1347" s="33"/>
      <c r="B1347" s="27"/>
      <c r="C1347" s="27"/>
      <c r="D1347" s="27"/>
      <c r="E1347" s="27"/>
      <c r="F1347" s="34"/>
      <c r="G1347" s="27"/>
      <c r="H1347" s="27"/>
      <c r="I1347" s="28" t="str">
        <f aca="false">IF(C1347="","",IFERROR(INDEX(Settings!$C$8:$C$19,MATCH(C1347,Settings!$B$8:$B$19,0)),"?"))</f>
        <v/>
      </c>
      <c r="J1347" s="28" t="str">
        <f aca="false">IF(G1347="","",IFERROR(INDEX(Settings!$C$8:$C$19,MATCH(G1347,Settings!$B$8:$B$19,0)),"?"))</f>
        <v/>
      </c>
      <c r="K1347" s="35" t="str">
        <f aca="false">IF(A1347="","",DATE(YEAR(A1347),MONTH(A1347),1))</f>
        <v/>
      </c>
      <c r="L1347" s="28" t="str">
        <f aca="false">IF(E1347="","",IFERROR(INDEX(Settings!$K$8:$K$38,MATCH(E1347,Settings!$H$8:$H$38,0))&amp;"",""))</f>
        <v/>
      </c>
    </row>
    <row r="1348" customFormat="false" ht="15" hidden="false" customHeight="false" outlineLevel="0" collapsed="false">
      <c r="A1348" s="33"/>
      <c r="B1348" s="27"/>
      <c r="C1348" s="27"/>
      <c r="D1348" s="27"/>
      <c r="E1348" s="27"/>
      <c r="F1348" s="34"/>
      <c r="G1348" s="27"/>
      <c r="H1348" s="27"/>
      <c r="I1348" s="28" t="str">
        <f aca="false">IF(C1348="","",IFERROR(INDEX(Settings!$C$8:$C$19,MATCH(C1348,Settings!$B$8:$B$19,0)),"?"))</f>
        <v/>
      </c>
      <c r="J1348" s="28" t="str">
        <f aca="false">IF(G1348="","",IFERROR(INDEX(Settings!$C$8:$C$19,MATCH(G1348,Settings!$B$8:$B$19,0)),"?"))</f>
        <v/>
      </c>
      <c r="K1348" s="35" t="str">
        <f aca="false">IF(A1348="","",DATE(YEAR(A1348),MONTH(A1348),1))</f>
        <v/>
      </c>
      <c r="L1348" s="28" t="str">
        <f aca="false">IF(E1348="","",IFERROR(INDEX(Settings!$K$8:$K$38,MATCH(E1348,Settings!$H$8:$H$38,0))&amp;"",""))</f>
        <v/>
      </c>
    </row>
    <row r="1349" customFormat="false" ht="15" hidden="false" customHeight="false" outlineLevel="0" collapsed="false">
      <c r="A1349" s="33"/>
      <c r="B1349" s="27"/>
      <c r="C1349" s="27"/>
      <c r="D1349" s="27"/>
      <c r="E1349" s="27"/>
      <c r="F1349" s="34"/>
      <c r="G1349" s="27"/>
      <c r="H1349" s="27"/>
      <c r="I1349" s="28" t="str">
        <f aca="false">IF(C1349="","",IFERROR(INDEX(Settings!$C$8:$C$19,MATCH(C1349,Settings!$B$8:$B$19,0)),"?"))</f>
        <v/>
      </c>
      <c r="J1349" s="28" t="str">
        <f aca="false">IF(G1349="","",IFERROR(INDEX(Settings!$C$8:$C$19,MATCH(G1349,Settings!$B$8:$B$19,0)),"?"))</f>
        <v/>
      </c>
      <c r="K1349" s="35" t="str">
        <f aca="false">IF(A1349="","",DATE(YEAR(A1349),MONTH(A1349),1))</f>
        <v/>
      </c>
      <c r="L1349" s="28" t="str">
        <f aca="false">IF(E1349="","",IFERROR(INDEX(Settings!$K$8:$K$38,MATCH(E1349,Settings!$H$8:$H$38,0))&amp;"",""))</f>
        <v/>
      </c>
    </row>
    <row r="1350" customFormat="false" ht="15" hidden="false" customHeight="false" outlineLevel="0" collapsed="false">
      <c r="A1350" s="33"/>
      <c r="B1350" s="27"/>
      <c r="C1350" s="27"/>
      <c r="D1350" s="27"/>
      <c r="E1350" s="27"/>
      <c r="F1350" s="34"/>
      <c r="G1350" s="27"/>
      <c r="H1350" s="27"/>
      <c r="I1350" s="28" t="str">
        <f aca="false">IF(C1350="","",IFERROR(INDEX(Settings!$C$8:$C$19,MATCH(C1350,Settings!$B$8:$B$19,0)),"?"))</f>
        <v/>
      </c>
      <c r="J1350" s="28" t="str">
        <f aca="false">IF(G1350="","",IFERROR(INDEX(Settings!$C$8:$C$19,MATCH(G1350,Settings!$B$8:$B$19,0)),"?"))</f>
        <v/>
      </c>
      <c r="K1350" s="35" t="str">
        <f aca="false">IF(A1350="","",DATE(YEAR(A1350),MONTH(A1350),1))</f>
        <v/>
      </c>
      <c r="L1350" s="28" t="str">
        <f aca="false">IF(E1350="","",IFERROR(INDEX(Settings!$K$8:$K$38,MATCH(E1350,Settings!$H$8:$H$38,0))&amp;"",""))</f>
        <v/>
      </c>
    </row>
    <row r="1351" customFormat="false" ht="15" hidden="false" customHeight="false" outlineLevel="0" collapsed="false">
      <c r="A1351" s="33"/>
      <c r="B1351" s="27"/>
      <c r="C1351" s="27"/>
      <c r="D1351" s="27"/>
      <c r="E1351" s="27"/>
      <c r="F1351" s="34"/>
      <c r="G1351" s="27"/>
      <c r="H1351" s="27"/>
      <c r="I1351" s="28" t="str">
        <f aca="false">IF(C1351="","",IFERROR(INDEX(Settings!$C$8:$C$19,MATCH(C1351,Settings!$B$8:$B$19,0)),"?"))</f>
        <v/>
      </c>
      <c r="J1351" s="28" t="str">
        <f aca="false">IF(G1351="","",IFERROR(INDEX(Settings!$C$8:$C$19,MATCH(G1351,Settings!$B$8:$B$19,0)),"?"))</f>
        <v/>
      </c>
      <c r="K1351" s="35" t="str">
        <f aca="false">IF(A1351="","",DATE(YEAR(A1351),MONTH(A1351),1))</f>
        <v/>
      </c>
      <c r="L1351" s="28" t="str">
        <f aca="false">IF(E1351="","",IFERROR(INDEX(Settings!$K$8:$K$38,MATCH(E1351,Settings!$H$8:$H$38,0))&amp;"",""))</f>
        <v/>
      </c>
    </row>
    <row r="1352" customFormat="false" ht="15" hidden="false" customHeight="false" outlineLevel="0" collapsed="false">
      <c r="A1352" s="33"/>
      <c r="B1352" s="27"/>
      <c r="C1352" s="27"/>
      <c r="D1352" s="27"/>
      <c r="E1352" s="27"/>
      <c r="F1352" s="34"/>
      <c r="G1352" s="27"/>
      <c r="H1352" s="27"/>
      <c r="I1352" s="28" t="str">
        <f aca="false">IF(C1352="","",IFERROR(INDEX(Settings!$C$8:$C$19,MATCH(C1352,Settings!$B$8:$B$19,0)),"?"))</f>
        <v/>
      </c>
      <c r="J1352" s="28" t="str">
        <f aca="false">IF(G1352="","",IFERROR(INDEX(Settings!$C$8:$C$19,MATCH(G1352,Settings!$B$8:$B$19,0)),"?"))</f>
        <v/>
      </c>
      <c r="K1352" s="35" t="str">
        <f aca="false">IF(A1352="","",DATE(YEAR(A1352),MONTH(A1352),1))</f>
        <v/>
      </c>
      <c r="L1352" s="28" t="str">
        <f aca="false">IF(E1352="","",IFERROR(INDEX(Settings!$K$8:$K$38,MATCH(E1352,Settings!$H$8:$H$38,0))&amp;"",""))</f>
        <v/>
      </c>
    </row>
    <row r="1353" customFormat="false" ht="15" hidden="false" customHeight="false" outlineLevel="0" collapsed="false">
      <c r="A1353" s="33"/>
      <c r="B1353" s="27"/>
      <c r="C1353" s="27"/>
      <c r="D1353" s="27"/>
      <c r="E1353" s="27"/>
      <c r="F1353" s="34"/>
      <c r="G1353" s="27"/>
      <c r="H1353" s="27"/>
      <c r="I1353" s="28" t="str">
        <f aca="false">IF(C1353="","",IFERROR(INDEX(Settings!$C$8:$C$19,MATCH(C1353,Settings!$B$8:$B$19,0)),"?"))</f>
        <v/>
      </c>
      <c r="J1353" s="28" t="str">
        <f aca="false">IF(G1353="","",IFERROR(INDEX(Settings!$C$8:$C$19,MATCH(G1353,Settings!$B$8:$B$19,0)),"?"))</f>
        <v/>
      </c>
      <c r="K1353" s="35" t="str">
        <f aca="false">IF(A1353="","",DATE(YEAR(A1353),MONTH(A1353),1))</f>
        <v/>
      </c>
      <c r="L1353" s="28" t="str">
        <f aca="false">IF(E1353="","",IFERROR(INDEX(Settings!$K$8:$K$38,MATCH(E1353,Settings!$H$8:$H$38,0))&amp;"",""))</f>
        <v/>
      </c>
    </row>
    <row r="1354" customFormat="false" ht="15" hidden="false" customHeight="false" outlineLevel="0" collapsed="false">
      <c r="A1354" s="33"/>
      <c r="B1354" s="27"/>
      <c r="C1354" s="27"/>
      <c r="D1354" s="27"/>
      <c r="E1354" s="27"/>
      <c r="F1354" s="34"/>
      <c r="G1354" s="27"/>
      <c r="H1354" s="27"/>
      <c r="I1354" s="28" t="str">
        <f aca="false">IF(C1354="","",IFERROR(INDEX(Settings!$C$8:$C$19,MATCH(C1354,Settings!$B$8:$B$19,0)),"?"))</f>
        <v/>
      </c>
      <c r="J1354" s="28" t="str">
        <f aca="false">IF(G1354="","",IFERROR(INDEX(Settings!$C$8:$C$19,MATCH(G1354,Settings!$B$8:$B$19,0)),"?"))</f>
        <v/>
      </c>
      <c r="K1354" s="35" t="str">
        <f aca="false">IF(A1354="","",DATE(YEAR(A1354),MONTH(A1354),1))</f>
        <v/>
      </c>
      <c r="L1354" s="28" t="str">
        <f aca="false">IF(E1354="","",IFERROR(INDEX(Settings!$K$8:$K$38,MATCH(E1354,Settings!$H$8:$H$38,0))&amp;"",""))</f>
        <v/>
      </c>
    </row>
    <row r="1355" customFormat="false" ht="15" hidden="false" customHeight="false" outlineLevel="0" collapsed="false">
      <c r="A1355" s="33"/>
      <c r="B1355" s="27"/>
      <c r="C1355" s="27"/>
      <c r="D1355" s="27"/>
      <c r="E1355" s="27"/>
      <c r="F1355" s="34"/>
      <c r="G1355" s="27"/>
      <c r="H1355" s="27"/>
      <c r="I1355" s="28" t="str">
        <f aca="false">IF(C1355="","",IFERROR(INDEX(Settings!$C$8:$C$19,MATCH(C1355,Settings!$B$8:$B$19,0)),"?"))</f>
        <v/>
      </c>
      <c r="J1355" s="28" t="str">
        <f aca="false">IF(G1355="","",IFERROR(INDEX(Settings!$C$8:$C$19,MATCH(G1355,Settings!$B$8:$B$19,0)),"?"))</f>
        <v/>
      </c>
      <c r="K1355" s="35" t="str">
        <f aca="false">IF(A1355="","",DATE(YEAR(A1355),MONTH(A1355),1))</f>
        <v/>
      </c>
      <c r="L1355" s="28" t="str">
        <f aca="false">IF(E1355="","",IFERROR(INDEX(Settings!$K$8:$K$38,MATCH(E1355,Settings!$H$8:$H$38,0))&amp;"",""))</f>
        <v/>
      </c>
    </row>
    <row r="1356" customFormat="false" ht="15" hidden="false" customHeight="false" outlineLevel="0" collapsed="false">
      <c r="A1356" s="33"/>
      <c r="B1356" s="27"/>
      <c r="C1356" s="27"/>
      <c r="D1356" s="27"/>
      <c r="E1356" s="27"/>
      <c r="F1356" s="34"/>
      <c r="G1356" s="27"/>
      <c r="H1356" s="27"/>
      <c r="I1356" s="28" t="str">
        <f aca="false">IF(C1356="","",IFERROR(INDEX(Settings!$C$8:$C$19,MATCH(C1356,Settings!$B$8:$B$19,0)),"?"))</f>
        <v/>
      </c>
      <c r="J1356" s="28" t="str">
        <f aca="false">IF(G1356="","",IFERROR(INDEX(Settings!$C$8:$C$19,MATCH(G1356,Settings!$B$8:$B$19,0)),"?"))</f>
        <v/>
      </c>
      <c r="K1356" s="35" t="str">
        <f aca="false">IF(A1356="","",DATE(YEAR(A1356),MONTH(A1356),1))</f>
        <v/>
      </c>
      <c r="L1356" s="28" t="str">
        <f aca="false">IF(E1356="","",IFERROR(INDEX(Settings!$K$8:$K$38,MATCH(E1356,Settings!$H$8:$H$38,0))&amp;"",""))</f>
        <v/>
      </c>
    </row>
    <row r="1357" customFormat="false" ht="15" hidden="false" customHeight="false" outlineLevel="0" collapsed="false">
      <c r="A1357" s="33"/>
      <c r="B1357" s="27"/>
      <c r="C1357" s="27"/>
      <c r="D1357" s="27"/>
      <c r="E1357" s="27"/>
      <c r="F1357" s="34"/>
      <c r="G1357" s="27"/>
      <c r="H1357" s="27"/>
      <c r="I1357" s="28" t="str">
        <f aca="false">IF(C1357="","",IFERROR(INDEX(Settings!$C$8:$C$19,MATCH(C1357,Settings!$B$8:$B$19,0)),"?"))</f>
        <v/>
      </c>
      <c r="J1357" s="28" t="str">
        <f aca="false">IF(G1357="","",IFERROR(INDEX(Settings!$C$8:$C$19,MATCH(G1357,Settings!$B$8:$B$19,0)),"?"))</f>
        <v/>
      </c>
      <c r="K1357" s="35" t="str">
        <f aca="false">IF(A1357="","",DATE(YEAR(A1357),MONTH(A1357),1))</f>
        <v/>
      </c>
      <c r="L1357" s="28" t="str">
        <f aca="false">IF(E1357="","",IFERROR(INDEX(Settings!$K$8:$K$38,MATCH(E1357,Settings!$H$8:$H$38,0))&amp;"",""))</f>
        <v/>
      </c>
    </row>
    <row r="1358" customFormat="false" ht="15" hidden="false" customHeight="false" outlineLevel="0" collapsed="false">
      <c r="A1358" s="33"/>
      <c r="B1358" s="27"/>
      <c r="C1358" s="27"/>
      <c r="D1358" s="27"/>
      <c r="E1358" s="27"/>
      <c r="F1358" s="34"/>
      <c r="G1358" s="27"/>
      <c r="H1358" s="27"/>
      <c r="I1358" s="28" t="str">
        <f aca="false">IF(C1358="","",IFERROR(INDEX(Settings!$C$8:$C$19,MATCH(C1358,Settings!$B$8:$B$19,0)),"?"))</f>
        <v/>
      </c>
      <c r="J1358" s="28" t="str">
        <f aca="false">IF(G1358="","",IFERROR(INDEX(Settings!$C$8:$C$19,MATCH(G1358,Settings!$B$8:$B$19,0)),"?"))</f>
        <v/>
      </c>
      <c r="K1358" s="35" t="str">
        <f aca="false">IF(A1358="","",DATE(YEAR(A1358),MONTH(A1358),1))</f>
        <v/>
      </c>
      <c r="L1358" s="28" t="str">
        <f aca="false">IF(E1358="","",IFERROR(INDEX(Settings!$K$8:$K$38,MATCH(E1358,Settings!$H$8:$H$38,0))&amp;"",""))</f>
        <v/>
      </c>
    </row>
    <row r="1359" customFormat="false" ht="15" hidden="false" customHeight="false" outlineLevel="0" collapsed="false">
      <c r="A1359" s="33"/>
      <c r="B1359" s="27"/>
      <c r="C1359" s="27"/>
      <c r="D1359" s="27"/>
      <c r="E1359" s="27"/>
      <c r="F1359" s="34"/>
      <c r="G1359" s="27"/>
      <c r="H1359" s="27"/>
      <c r="I1359" s="28" t="str">
        <f aca="false">IF(C1359="","",IFERROR(INDEX(Settings!$C$8:$C$19,MATCH(C1359,Settings!$B$8:$B$19,0)),"?"))</f>
        <v/>
      </c>
      <c r="J1359" s="28" t="str">
        <f aca="false">IF(G1359="","",IFERROR(INDEX(Settings!$C$8:$C$19,MATCH(G1359,Settings!$B$8:$B$19,0)),"?"))</f>
        <v/>
      </c>
      <c r="K1359" s="35" t="str">
        <f aca="false">IF(A1359="","",DATE(YEAR(A1359),MONTH(A1359),1))</f>
        <v/>
      </c>
      <c r="L1359" s="28" t="str">
        <f aca="false">IF(E1359="","",IFERROR(INDEX(Settings!$K$8:$K$38,MATCH(E1359,Settings!$H$8:$H$38,0))&amp;"",""))</f>
        <v/>
      </c>
    </row>
    <row r="1360" customFormat="false" ht="15" hidden="false" customHeight="false" outlineLevel="0" collapsed="false">
      <c r="A1360" s="33"/>
      <c r="B1360" s="27"/>
      <c r="C1360" s="27"/>
      <c r="D1360" s="27"/>
      <c r="E1360" s="27"/>
      <c r="F1360" s="34"/>
      <c r="G1360" s="27"/>
      <c r="H1360" s="27"/>
      <c r="I1360" s="28" t="str">
        <f aca="false">IF(C1360="","",IFERROR(INDEX(Settings!$C$8:$C$19,MATCH(C1360,Settings!$B$8:$B$19,0)),"?"))</f>
        <v/>
      </c>
      <c r="J1360" s="28" t="str">
        <f aca="false">IF(G1360="","",IFERROR(INDEX(Settings!$C$8:$C$19,MATCH(G1360,Settings!$B$8:$B$19,0)),"?"))</f>
        <v/>
      </c>
      <c r="K1360" s="35" t="str">
        <f aca="false">IF(A1360="","",DATE(YEAR(A1360),MONTH(A1360),1))</f>
        <v/>
      </c>
      <c r="L1360" s="28" t="str">
        <f aca="false">IF(E1360="","",IFERROR(INDEX(Settings!$K$8:$K$38,MATCH(E1360,Settings!$H$8:$H$38,0))&amp;"",""))</f>
        <v/>
      </c>
    </row>
    <row r="1361" customFormat="false" ht="15" hidden="false" customHeight="false" outlineLevel="0" collapsed="false">
      <c r="A1361" s="33"/>
      <c r="B1361" s="27"/>
      <c r="C1361" s="27"/>
      <c r="D1361" s="27"/>
      <c r="E1361" s="27"/>
      <c r="F1361" s="34"/>
      <c r="G1361" s="27"/>
      <c r="H1361" s="27"/>
      <c r="I1361" s="28" t="str">
        <f aca="false">IF(C1361="","",IFERROR(INDEX(Settings!$C$8:$C$19,MATCH(C1361,Settings!$B$8:$B$19,0)),"?"))</f>
        <v/>
      </c>
      <c r="J1361" s="28" t="str">
        <f aca="false">IF(G1361="","",IFERROR(INDEX(Settings!$C$8:$C$19,MATCH(G1361,Settings!$B$8:$B$19,0)),"?"))</f>
        <v/>
      </c>
      <c r="K1361" s="35" t="str">
        <f aca="false">IF(A1361="","",DATE(YEAR(A1361),MONTH(A1361),1))</f>
        <v/>
      </c>
      <c r="L1361" s="28" t="str">
        <f aca="false">IF(E1361="","",IFERROR(INDEX(Settings!$K$8:$K$38,MATCH(E1361,Settings!$H$8:$H$38,0))&amp;"",""))</f>
        <v/>
      </c>
    </row>
    <row r="1362" customFormat="false" ht="15" hidden="false" customHeight="false" outlineLevel="0" collapsed="false">
      <c r="A1362" s="33"/>
      <c r="B1362" s="27"/>
      <c r="C1362" s="27"/>
      <c r="D1362" s="27"/>
      <c r="E1362" s="27"/>
      <c r="F1362" s="34"/>
      <c r="G1362" s="27"/>
      <c r="H1362" s="27"/>
      <c r="I1362" s="28" t="str">
        <f aca="false">IF(C1362="","",IFERROR(INDEX(Settings!$C$8:$C$19,MATCH(C1362,Settings!$B$8:$B$19,0)),"?"))</f>
        <v/>
      </c>
      <c r="J1362" s="28" t="str">
        <f aca="false">IF(G1362="","",IFERROR(INDEX(Settings!$C$8:$C$19,MATCH(G1362,Settings!$B$8:$B$19,0)),"?"))</f>
        <v/>
      </c>
      <c r="K1362" s="35" t="str">
        <f aca="false">IF(A1362="","",DATE(YEAR(A1362),MONTH(A1362),1))</f>
        <v/>
      </c>
      <c r="L1362" s="28" t="str">
        <f aca="false">IF(E1362="","",IFERROR(INDEX(Settings!$K$8:$K$38,MATCH(E1362,Settings!$H$8:$H$38,0))&amp;"",""))</f>
        <v/>
      </c>
    </row>
    <row r="1363" customFormat="false" ht="15" hidden="false" customHeight="false" outlineLevel="0" collapsed="false">
      <c r="A1363" s="33"/>
      <c r="B1363" s="27"/>
      <c r="C1363" s="27"/>
      <c r="D1363" s="27"/>
      <c r="E1363" s="27"/>
      <c r="F1363" s="34"/>
      <c r="G1363" s="27"/>
      <c r="H1363" s="27"/>
      <c r="I1363" s="28" t="str">
        <f aca="false">IF(C1363="","",IFERROR(INDEX(Settings!$C$8:$C$19,MATCH(C1363,Settings!$B$8:$B$19,0)),"?"))</f>
        <v/>
      </c>
      <c r="J1363" s="28" t="str">
        <f aca="false">IF(G1363="","",IFERROR(INDEX(Settings!$C$8:$C$19,MATCH(G1363,Settings!$B$8:$B$19,0)),"?"))</f>
        <v/>
      </c>
      <c r="K1363" s="35" t="str">
        <f aca="false">IF(A1363="","",DATE(YEAR(A1363),MONTH(A1363),1))</f>
        <v/>
      </c>
      <c r="L1363" s="28" t="str">
        <f aca="false">IF(E1363="","",IFERROR(INDEX(Settings!$K$8:$K$38,MATCH(E1363,Settings!$H$8:$H$38,0))&amp;"",""))</f>
        <v/>
      </c>
    </row>
    <row r="1364" customFormat="false" ht="15" hidden="false" customHeight="false" outlineLevel="0" collapsed="false">
      <c r="A1364" s="33"/>
      <c r="B1364" s="27"/>
      <c r="C1364" s="27"/>
      <c r="D1364" s="27"/>
      <c r="E1364" s="27"/>
      <c r="F1364" s="34"/>
      <c r="G1364" s="27"/>
      <c r="H1364" s="27"/>
      <c r="I1364" s="28" t="str">
        <f aca="false">IF(C1364="","",IFERROR(INDEX(Settings!$C$8:$C$19,MATCH(C1364,Settings!$B$8:$B$19,0)),"?"))</f>
        <v/>
      </c>
      <c r="J1364" s="28" t="str">
        <f aca="false">IF(G1364="","",IFERROR(INDEX(Settings!$C$8:$C$19,MATCH(G1364,Settings!$B$8:$B$19,0)),"?"))</f>
        <v/>
      </c>
      <c r="K1364" s="35" t="str">
        <f aca="false">IF(A1364="","",DATE(YEAR(A1364),MONTH(A1364),1))</f>
        <v/>
      </c>
      <c r="L1364" s="28" t="str">
        <f aca="false">IF(E1364="","",IFERROR(INDEX(Settings!$K$8:$K$38,MATCH(E1364,Settings!$H$8:$H$38,0))&amp;"",""))</f>
        <v/>
      </c>
    </row>
    <row r="1365" customFormat="false" ht="15" hidden="false" customHeight="false" outlineLevel="0" collapsed="false">
      <c r="A1365" s="33"/>
      <c r="B1365" s="27"/>
      <c r="C1365" s="27"/>
      <c r="D1365" s="27"/>
      <c r="E1365" s="27"/>
      <c r="F1365" s="34"/>
      <c r="G1365" s="27"/>
      <c r="H1365" s="27"/>
      <c r="I1365" s="28" t="str">
        <f aca="false">IF(C1365="","",IFERROR(INDEX(Settings!$C$8:$C$19,MATCH(C1365,Settings!$B$8:$B$19,0)),"?"))</f>
        <v/>
      </c>
      <c r="J1365" s="28" t="str">
        <f aca="false">IF(G1365="","",IFERROR(INDEX(Settings!$C$8:$C$19,MATCH(G1365,Settings!$B$8:$B$19,0)),"?"))</f>
        <v/>
      </c>
      <c r="K1365" s="35" t="str">
        <f aca="false">IF(A1365="","",DATE(YEAR(A1365),MONTH(A1365),1))</f>
        <v/>
      </c>
      <c r="L1365" s="28" t="str">
        <f aca="false">IF(E1365="","",IFERROR(INDEX(Settings!$K$8:$K$38,MATCH(E1365,Settings!$H$8:$H$38,0))&amp;"",""))</f>
        <v/>
      </c>
    </row>
    <row r="1366" customFormat="false" ht="15" hidden="false" customHeight="false" outlineLevel="0" collapsed="false">
      <c r="A1366" s="33"/>
      <c r="B1366" s="27"/>
      <c r="C1366" s="27"/>
      <c r="D1366" s="27"/>
      <c r="E1366" s="27"/>
      <c r="F1366" s="34"/>
      <c r="G1366" s="27"/>
      <c r="H1366" s="27"/>
      <c r="I1366" s="28" t="str">
        <f aca="false">IF(C1366="","",IFERROR(INDEX(Settings!$C$8:$C$19,MATCH(C1366,Settings!$B$8:$B$19,0)),"?"))</f>
        <v/>
      </c>
      <c r="J1366" s="28" t="str">
        <f aca="false">IF(G1366="","",IFERROR(INDEX(Settings!$C$8:$C$19,MATCH(G1366,Settings!$B$8:$B$19,0)),"?"))</f>
        <v/>
      </c>
      <c r="K1366" s="35" t="str">
        <f aca="false">IF(A1366="","",DATE(YEAR(A1366),MONTH(A1366),1))</f>
        <v/>
      </c>
      <c r="L1366" s="28" t="str">
        <f aca="false">IF(E1366="","",IFERROR(INDEX(Settings!$K$8:$K$38,MATCH(E1366,Settings!$H$8:$H$38,0))&amp;"",""))</f>
        <v/>
      </c>
    </row>
    <row r="1367" customFormat="false" ht="15" hidden="false" customHeight="false" outlineLevel="0" collapsed="false">
      <c r="A1367" s="33"/>
      <c r="B1367" s="27"/>
      <c r="C1367" s="27"/>
      <c r="D1367" s="27"/>
      <c r="E1367" s="27"/>
      <c r="F1367" s="34"/>
      <c r="G1367" s="27"/>
      <c r="H1367" s="27"/>
      <c r="I1367" s="28" t="str">
        <f aca="false">IF(C1367="","",IFERROR(INDEX(Settings!$C$8:$C$19,MATCH(C1367,Settings!$B$8:$B$19,0)),"?"))</f>
        <v/>
      </c>
      <c r="J1367" s="28" t="str">
        <f aca="false">IF(G1367="","",IFERROR(INDEX(Settings!$C$8:$C$19,MATCH(G1367,Settings!$B$8:$B$19,0)),"?"))</f>
        <v/>
      </c>
      <c r="K1367" s="35" t="str">
        <f aca="false">IF(A1367="","",DATE(YEAR(A1367),MONTH(A1367),1))</f>
        <v/>
      </c>
      <c r="L1367" s="28" t="str">
        <f aca="false">IF(E1367="","",IFERROR(INDEX(Settings!$K$8:$K$38,MATCH(E1367,Settings!$H$8:$H$38,0))&amp;"",""))</f>
        <v/>
      </c>
    </row>
    <row r="1368" customFormat="false" ht="15" hidden="false" customHeight="false" outlineLevel="0" collapsed="false">
      <c r="A1368" s="33"/>
      <c r="B1368" s="27"/>
      <c r="C1368" s="27"/>
      <c r="D1368" s="27"/>
      <c r="E1368" s="27"/>
      <c r="F1368" s="34"/>
      <c r="G1368" s="27"/>
      <c r="H1368" s="27"/>
      <c r="I1368" s="28" t="str">
        <f aca="false">IF(C1368="","",IFERROR(INDEX(Settings!$C$8:$C$19,MATCH(C1368,Settings!$B$8:$B$19,0)),"?"))</f>
        <v/>
      </c>
      <c r="J1368" s="28" t="str">
        <f aca="false">IF(G1368="","",IFERROR(INDEX(Settings!$C$8:$C$19,MATCH(G1368,Settings!$B$8:$B$19,0)),"?"))</f>
        <v/>
      </c>
      <c r="K1368" s="35" t="str">
        <f aca="false">IF(A1368="","",DATE(YEAR(A1368),MONTH(A1368),1))</f>
        <v/>
      </c>
      <c r="L1368" s="28" t="str">
        <f aca="false">IF(E1368="","",IFERROR(INDEX(Settings!$K$8:$K$38,MATCH(E1368,Settings!$H$8:$H$38,0))&amp;"",""))</f>
        <v/>
      </c>
    </row>
    <row r="1369" customFormat="false" ht="15" hidden="false" customHeight="false" outlineLevel="0" collapsed="false">
      <c r="A1369" s="33"/>
      <c r="B1369" s="27"/>
      <c r="C1369" s="27"/>
      <c r="D1369" s="27"/>
      <c r="E1369" s="27"/>
      <c r="F1369" s="34"/>
      <c r="G1369" s="27"/>
      <c r="H1369" s="27"/>
      <c r="I1369" s="28" t="str">
        <f aca="false">IF(C1369="","",IFERROR(INDEX(Settings!$C$8:$C$19,MATCH(C1369,Settings!$B$8:$B$19,0)),"?"))</f>
        <v/>
      </c>
      <c r="J1369" s="28" t="str">
        <f aca="false">IF(G1369="","",IFERROR(INDEX(Settings!$C$8:$C$19,MATCH(G1369,Settings!$B$8:$B$19,0)),"?"))</f>
        <v/>
      </c>
      <c r="K1369" s="35" t="str">
        <f aca="false">IF(A1369="","",DATE(YEAR(A1369),MONTH(A1369),1))</f>
        <v/>
      </c>
      <c r="L1369" s="28" t="str">
        <f aca="false">IF(E1369="","",IFERROR(INDEX(Settings!$K$8:$K$38,MATCH(E1369,Settings!$H$8:$H$38,0))&amp;"",""))</f>
        <v/>
      </c>
    </row>
    <row r="1370" customFormat="false" ht="15" hidden="false" customHeight="false" outlineLevel="0" collapsed="false">
      <c r="A1370" s="33"/>
      <c r="B1370" s="27"/>
      <c r="C1370" s="27"/>
      <c r="D1370" s="27"/>
      <c r="E1370" s="27"/>
      <c r="F1370" s="34"/>
      <c r="G1370" s="27"/>
      <c r="H1370" s="27"/>
      <c r="I1370" s="28" t="str">
        <f aca="false">IF(C1370="","",IFERROR(INDEX(Settings!$C$8:$C$19,MATCH(C1370,Settings!$B$8:$B$19,0)),"?"))</f>
        <v/>
      </c>
      <c r="J1370" s="28" t="str">
        <f aca="false">IF(G1370="","",IFERROR(INDEX(Settings!$C$8:$C$19,MATCH(G1370,Settings!$B$8:$B$19,0)),"?"))</f>
        <v/>
      </c>
      <c r="K1370" s="35" t="str">
        <f aca="false">IF(A1370="","",DATE(YEAR(A1370),MONTH(A1370),1))</f>
        <v/>
      </c>
      <c r="L1370" s="28" t="str">
        <f aca="false">IF(E1370="","",IFERROR(INDEX(Settings!$K$8:$K$38,MATCH(E1370,Settings!$H$8:$H$38,0))&amp;"",""))</f>
        <v/>
      </c>
    </row>
    <row r="1371" customFormat="false" ht="15" hidden="false" customHeight="false" outlineLevel="0" collapsed="false">
      <c r="A1371" s="33"/>
      <c r="B1371" s="27"/>
      <c r="C1371" s="27"/>
      <c r="D1371" s="27"/>
      <c r="E1371" s="27"/>
      <c r="F1371" s="34"/>
      <c r="G1371" s="27"/>
      <c r="H1371" s="27"/>
      <c r="I1371" s="28" t="str">
        <f aca="false">IF(C1371="","",IFERROR(INDEX(Settings!$C$8:$C$19,MATCH(C1371,Settings!$B$8:$B$19,0)),"?"))</f>
        <v/>
      </c>
      <c r="J1371" s="28" t="str">
        <f aca="false">IF(G1371="","",IFERROR(INDEX(Settings!$C$8:$C$19,MATCH(G1371,Settings!$B$8:$B$19,0)),"?"))</f>
        <v/>
      </c>
      <c r="K1371" s="35" t="str">
        <f aca="false">IF(A1371="","",DATE(YEAR(A1371),MONTH(A1371),1))</f>
        <v/>
      </c>
      <c r="L1371" s="28" t="str">
        <f aca="false">IF(E1371="","",IFERROR(INDEX(Settings!$K$8:$K$38,MATCH(E1371,Settings!$H$8:$H$38,0))&amp;"",""))</f>
        <v/>
      </c>
    </row>
    <row r="1372" customFormat="false" ht="15" hidden="false" customHeight="false" outlineLevel="0" collapsed="false">
      <c r="A1372" s="33"/>
      <c r="B1372" s="27"/>
      <c r="C1372" s="27"/>
      <c r="D1372" s="27"/>
      <c r="E1372" s="27"/>
      <c r="F1372" s="34"/>
      <c r="G1372" s="27"/>
      <c r="H1372" s="27"/>
      <c r="I1372" s="28" t="str">
        <f aca="false">IF(C1372="","",IFERROR(INDEX(Settings!$C$8:$C$19,MATCH(C1372,Settings!$B$8:$B$19,0)),"?"))</f>
        <v/>
      </c>
      <c r="J1372" s="28" t="str">
        <f aca="false">IF(G1372="","",IFERROR(INDEX(Settings!$C$8:$C$19,MATCH(G1372,Settings!$B$8:$B$19,0)),"?"))</f>
        <v/>
      </c>
      <c r="K1372" s="35" t="str">
        <f aca="false">IF(A1372="","",DATE(YEAR(A1372),MONTH(A1372),1))</f>
        <v/>
      </c>
      <c r="L1372" s="28" t="str">
        <f aca="false">IF(E1372="","",IFERROR(INDEX(Settings!$K$8:$K$38,MATCH(E1372,Settings!$H$8:$H$38,0))&amp;"",""))</f>
        <v/>
      </c>
    </row>
    <row r="1373" customFormat="false" ht="15" hidden="false" customHeight="false" outlineLevel="0" collapsed="false">
      <c r="A1373" s="33"/>
      <c r="B1373" s="27"/>
      <c r="C1373" s="27"/>
      <c r="D1373" s="27"/>
      <c r="E1373" s="27"/>
      <c r="F1373" s="34"/>
      <c r="G1373" s="27"/>
      <c r="H1373" s="27"/>
      <c r="I1373" s="28" t="str">
        <f aca="false">IF(C1373="","",IFERROR(INDEX(Settings!$C$8:$C$19,MATCH(C1373,Settings!$B$8:$B$19,0)),"?"))</f>
        <v/>
      </c>
      <c r="J1373" s="28" t="str">
        <f aca="false">IF(G1373="","",IFERROR(INDEX(Settings!$C$8:$C$19,MATCH(G1373,Settings!$B$8:$B$19,0)),"?"))</f>
        <v/>
      </c>
      <c r="K1373" s="35" t="str">
        <f aca="false">IF(A1373="","",DATE(YEAR(A1373),MONTH(A1373),1))</f>
        <v/>
      </c>
      <c r="L1373" s="28" t="str">
        <f aca="false">IF(E1373="","",IFERROR(INDEX(Settings!$K$8:$K$38,MATCH(E1373,Settings!$H$8:$H$38,0))&amp;"",""))</f>
        <v/>
      </c>
    </row>
    <row r="1374" customFormat="false" ht="15" hidden="false" customHeight="false" outlineLevel="0" collapsed="false">
      <c r="A1374" s="33"/>
      <c r="B1374" s="27"/>
      <c r="C1374" s="27"/>
      <c r="D1374" s="27"/>
      <c r="E1374" s="27"/>
      <c r="F1374" s="34"/>
      <c r="G1374" s="27"/>
      <c r="H1374" s="27"/>
      <c r="I1374" s="28" t="str">
        <f aca="false">IF(C1374="","",IFERROR(INDEX(Settings!$C$8:$C$19,MATCH(C1374,Settings!$B$8:$B$19,0)),"?"))</f>
        <v/>
      </c>
      <c r="J1374" s="28" t="str">
        <f aca="false">IF(G1374="","",IFERROR(INDEX(Settings!$C$8:$C$19,MATCH(G1374,Settings!$B$8:$B$19,0)),"?"))</f>
        <v/>
      </c>
      <c r="K1374" s="35" t="str">
        <f aca="false">IF(A1374="","",DATE(YEAR(A1374),MONTH(A1374),1))</f>
        <v/>
      </c>
      <c r="L1374" s="28" t="str">
        <f aca="false">IF(E1374="","",IFERROR(INDEX(Settings!$K$8:$K$38,MATCH(E1374,Settings!$H$8:$H$38,0))&amp;"",""))</f>
        <v/>
      </c>
    </row>
    <row r="1375" customFormat="false" ht="15" hidden="false" customHeight="false" outlineLevel="0" collapsed="false">
      <c r="A1375" s="33"/>
      <c r="B1375" s="27"/>
      <c r="C1375" s="27"/>
      <c r="D1375" s="27"/>
      <c r="E1375" s="27"/>
      <c r="F1375" s="34"/>
      <c r="G1375" s="27"/>
      <c r="H1375" s="27"/>
      <c r="I1375" s="28" t="str">
        <f aca="false">IF(C1375="","",IFERROR(INDEX(Settings!$C$8:$C$19,MATCH(C1375,Settings!$B$8:$B$19,0)),"?"))</f>
        <v/>
      </c>
      <c r="J1375" s="28" t="str">
        <f aca="false">IF(G1375="","",IFERROR(INDEX(Settings!$C$8:$C$19,MATCH(G1375,Settings!$B$8:$B$19,0)),"?"))</f>
        <v/>
      </c>
      <c r="K1375" s="35" t="str">
        <f aca="false">IF(A1375="","",DATE(YEAR(A1375),MONTH(A1375),1))</f>
        <v/>
      </c>
      <c r="L1375" s="28" t="str">
        <f aca="false">IF(E1375="","",IFERROR(INDEX(Settings!$K$8:$K$38,MATCH(E1375,Settings!$H$8:$H$38,0))&amp;"",""))</f>
        <v/>
      </c>
    </row>
    <row r="1376" customFormat="false" ht="15" hidden="false" customHeight="false" outlineLevel="0" collapsed="false">
      <c r="A1376" s="33"/>
      <c r="B1376" s="27"/>
      <c r="C1376" s="27"/>
      <c r="D1376" s="27"/>
      <c r="E1376" s="27"/>
      <c r="F1376" s="34"/>
      <c r="G1376" s="27"/>
      <c r="H1376" s="27"/>
      <c r="I1376" s="28" t="str">
        <f aca="false">IF(C1376="","",IFERROR(INDEX(Settings!$C$8:$C$19,MATCH(C1376,Settings!$B$8:$B$19,0)),"?"))</f>
        <v/>
      </c>
      <c r="J1376" s="28" t="str">
        <f aca="false">IF(G1376="","",IFERROR(INDEX(Settings!$C$8:$C$19,MATCH(G1376,Settings!$B$8:$B$19,0)),"?"))</f>
        <v/>
      </c>
      <c r="K1376" s="35" t="str">
        <f aca="false">IF(A1376="","",DATE(YEAR(A1376),MONTH(A1376),1))</f>
        <v/>
      </c>
      <c r="L1376" s="28" t="str">
        <f aca="false">IF(E1376="","",IFERROR(INDEX(Settings!$K$8:$K$38,MATCH(E1376,Settings!$H$8:$H$38,0))&amp;"",""))</f>
        <v/>
      </c>
    </row>
    <row r="1377" customFormat="false" ht="15" hidden="false" customHeight="false" outlineLevel="0" collapsed="false">
      <c r="A1377" s="33"/>
      <c r="B1377" s="27"/>
      <c r="C1377" s="27"/>
      <c r="D1377" s="27"/>
      <c r="E1377" s="27"/>
      <c r="F1377" s="34"/>
      <c r="G1377" s="27"/>
      <c r="H1377" s="27"/>
      <c r="I1377" s="28" t="str">
        <f aca="false">IF(C1377="","",IFERROR(INDEX(Settings!$C$8:$C$19,MATCH(C1377,Settings!$B$8:$B$19,0)),"?"))</f>
        <v/>
      </c>
      <c r="J1377" s="28" t="str">
        <f aca="false">IF(G1377="","",IFERROR(INDEX(Settings!$C$8:$C$19,MATCH(G1377,Settings!$B$8:$B$19,0)),"?"))</f>
        <v/>
      </c>
      <c r="K1377" s="35" t="str">
        <f aca="false">IF(A1377="","",DATE(YEAR(A1377),MONTH(A1377),1))</f>
        <v/>
      </c>
      <c r="L1377" s="28" t="str">
        <f aca="false">IF(E1377="","",IFERROR(INDEX(Settings!$K$8:$K$38,MATCH(E1377,Settings!$H$8:$H$38,0))&amp;"",""))</f>
        <v/>
      </c>
    </row>
    <row r="1378" customFormat="false" ht="15" hidden="false" customHeight="false" outlineLevel="0" collapsed="false">
      <c r="A1378" s="33"/>
      <c r="B1378" s="27"/>
      <c r="C1378" s="27"/>
      <c r="D1378" s="27"/>
      <c r="E1378" s="27"/>
      <c r="F1378" s="34"/>
      <c r="G1378" s="27"/>
      <c r="H1378" s="27"/>
      <c r="I1378" s="28" t="str">
        <f aca="false">IF(C1378="","",IFERROR(INDEX(Settings!$C$8:$C$19,MATCH(C1378,Settings!$B$8:$B$19,0)),"?"))</f>
        <v/>
      </c>
      <c r="J1378" s="28" t="str">
        <f aca="false">IF(G1378="","",IFERROR(INDEX(Settings!$C$8:$C$19,MATCH(G1378,Settings!$B$8:$B$19,0)),"?"))</f>
        <v/>
      </c>
      <c r="K1378" s="35" t="str">
        <f aca="false">IF(A1378="","",DATE(YEAR(A1378),MONTH(A1378),1))</f>
        <v/>
      </c>
      <c r="L1378" s="28" t="str">
        <f aca="false">IF(E1378="","",IFERROR(INDEX(Settings!$K$8:$K$38,MATCH(E1378,Settings!$H$8:$H$38,0))&amp;"",""))</f>
        <v/>
      </c>
    </row>
    <row r="1379" customFormat="false" ht="15" hidden="false" customHeight="false" outlineLevel="0" collapsed="false">
      <c r="A1379" s="33"/>
      <c r="B1379" s="27"/>
      <c r="C1379" s="27"/>
      <c r="D1379" s="27"/>
      <c r="E1379" s="27"/>
      <c r="F1379" s="34"/>
      <c r="G1379" s="27"/>
      <c r="H1379" s="27"/>
      <c r="I1379" s="28" t="str">
        <f aca="false">IF(C1379="","",IFERROR(INDEX(Settings!$C$8:$C$19,MATCH(C1379,Settings!$B$8:$B$19,0)),"?"))</f>
        <v/>
      </c>
      <c r="J1379" s="28" t="str">
        <f aca="false">IF(G1379="","",IFERROR(INDEX(Settings!$C$8:$C$19,MATCH(G1379,Settings!$B$8:$B$19,0)),"?"))</f>
        <v/>
      </c>
      <c r="K1379" s="35" t="str">
        <f aca="false">IF(A1379="","",DATE(YEAR(A1379),MONTH(A1379),1))</f>
        <v/>
      </c>
      <c r="L1379" s="28" t="str">
        <f aca="false">IF(E1379="","",IFERROR(INDEX(Settings!$K$8:$K$38,MATCH(E1379,Settings!$H$8:$H$38,0))&amp;"",""))</f>
        <v/>
      </c>
    </row>
    <row r="1380" customFormat="false" ht="15" hidden="false" customHeight="false" outlineLevel="0" collapsed="false">
      <c r="A1380" s="33"/>
      <c r="B1380" s="27"/>
      <c r="C1380" s="27"/>
      <c r="D1380" s="27"/>
      <c r="E1380" s="27"/>
      <c r="F1380" s="34"/>
      <c r="G1380" s="27"/>
      <c r="H1380" s="27"/>
      <c r="I1380" s="28" t="str">
        <f aca="false">IF(C1380="","",IFERROR(INDEX(Settings!$C$8:$C$19,MATCH(C1380,Settings!$B$8:$B$19,0)),"?"))</f>
        <v/>
      </c>
      <c r="J1380" s="28" t="str">
        <f aca="false">IF(G1380="","",IFERROR(INDEX(Settings!$C$8:$C$19,MATCH(G1380,Settings!$B$8:$B$19,0)),"?"))</f>
        <v/>
      </c>
      <c r="K1380" s="35" t="str">
        <f aca="false">IF(A1380="","",DATE(YEAR(A1380),MONTH(A1380),1))</f>
        <v/>
      </c>
      <c r="L1380" s="28" t="str">
        <f aca="false">IF(E1380="","",IFERROR(INDEX(Settings!$K$8:$K$38,MATCH(E1380,Settings!$H$8:$H$38,0))&amp;"",""))</f>
        <v/>
      </c>
    </row>
    <row r="1381" customFormat="false" ht="15" hidden="false" customHeight="false" outlineLevel="0" collapsed="false">
      <c r="A1381" s="33"/>
      <c r="B1381" s="27"/>
      <c r="C1381" s="27"/>
      <c r="D1381" s="27"/>
      <c r="E1381" s="27"/>
      <c r="F1381" s="34"/>
      <c r="G1381" s="27"/>
      <c r="H1381" s="27"/>
      <c r="I1381" s="28" t="str">
        <f aca="false">IF(C1381="","",IFERROR(INDEX(Settings!$C$8:$C$19,MATCH(C1381,Settings!$B$8:$B$19,0)),"?"))</f>
        <v/>
      </c>
      <c r="J1381" s="28" t="str">
        <f aca="false">IF(G1381="","",IFERROR(INDEX(Settings!$C$8:$C$19,MATCH(G1381,Settings!$B$8:$B$19,0)),"?"))</f>
        <v/>
      </c>
      <c r="K1381" s="35" t="str">
        <f aca="false">IF(A1381="","",DATE(YEAR(A1381),MONTH(A1381),1))</f>
        <v/>
      </c>
      <c r="L1381" s="28" t="str">
        <f aca="false">IF(E1381="","",IFERROR(INDEX(Settings!$K$8:$K$38,MATCH(E1381,Settings!$H$8:$H$38,0))&amp;"",""))</f>
        <v/>
      </c>
    </row>
    <row r="1382" customFormat="false" ht="15" hidden="false" customHeight="false" outlineLevel="0" collapsed="false">
      <c r="A1382" s="33"/>
      <c r="B1382" s="27"/>
      <c r="C1382" s="27"/>
      <c r="D1382" s="27"/>
      <c r="E1382" s="27"/>
      <c r="F1382" s="34"/>
      <c r="G1382" s="27"/>
      <c r="H1382" s="27"/>
      <c r="I1382" s="28" t="str">
        <f aca="false">IF(C1382="","",IFERROR(INDEX(Settings!$C$8:$C$19,MATCH(C1382,Settings!$B$8:$B$19,0)),"?"))</f>
        <v/>
      </c>
      <c r="J1382" s="28" t="str">
        <f aca="false">IF(G1382="","",IFERROR(INDEX(Settings!$C$8:$C$19,MATCH(G1382,Settings!$B$8:$B$19,0)),"?"))</f>
        <v/>
      </c>
      <c r="K1382" s="35" t="str">
        <f aca="false">IF(A1382="","",DATE(YEAR(A1382),MONTH(A1382),1))</f>
        <v/>
      </c>
      <c r="L1382" s="28" t="str">
        <f aca="false">IF(E1382="","",IFERROR(INDEX(Settings!$K$8:$K$38,MATCH(E1382,Settings!$H$8:$H$38,0))&amp;"",""))</f>
        <v/>
      </c>
    </row>
    <row r="1383" customFormat="false" ht="15" hidden="false" customHeight="false" outlineLevel="0" collapsed="false">
      <c r="A1383" s="33"/>
      <c r="B1383" s="27"/>
      <c r="C1383" s="27"/>
      <c r="D1383" s="27"/>
      <c r="E1383" s="27"/>
      <c r="F1383" s="34"/>
      <c r="G1383" s="27"/>
      <c r="H1383" s="27"/>
      <c r="I1383" s="28" t="str">
        <f aca="false">IF(C1383="","",IFERROR(INDEX(Settings!$C$8:$C$19,MATCH(C1383,Settings!$B$8:$B$19,0)),"?"))</f>
        <v/>
      </c>
      <c r="J1383" s="28" t="str">
        <f aca="false">IF(G1383="","",IFERROR(INDEX(Settings!$C$8:$C$19,MATCH(G1383,Settings!$B$8:$B$19,0)),"?"))</f>
        <v/>
      </c>
      <c r="K1383" s="35" t="str">
        <f aca="false">IF(A1383="","",DATE(YEAR(A1383),MONTH(A1383),1))</f>
        <v/>
      </c>
      <c r="L1383" s="28" t="str">
        <f aca="false">IF(E1383="","",IFERROR(INDEX(Settings!$K$8:$K$38,MATCH(E1383,Settings!$H$8:$H$38,0))&amp;"",""))</f>
        <v/>
      </c>
    </row>
    <row r="1384" customFormat="false" ht="15" hidden="false" customHeight="false" outlineLevel="0" collapsed="false">
      <c r="A1384" s="33"/>
      <c r="B1384" s="27"/>
      <c r="C1384" s="27"/>
      <c r="D1384" s="27"/>
      <c r="E1384" s="27"/>
      <c r="F1384" s="34"/>
      <c r="G1384" s="27"/>
      <c r="H1384" s="27"/>
      <c r="I1384" s="28" t="str">
        <f aca="false">IF(C1384="","",IFERROR(INDEX(Settings!$C$8:$C$19,MATCH(C1384,Settings!$B$8:$B$19,0)),"?"))</f>
        <v/>
      </c>
      <c r="J1384" s="28" t="str">
        <f aca="false">IF(G1384="","",IFERROR(INDEX(Settings!$C$8:$C$19,MATCH(G1384,Settings!$B$8:$B$19,0)),"?"))</f>
        <v/>
      </c>
      <c r="K1384" s="35" t="str">
        <f aca="false">IF(A1384="","",DATE(YEAR(A1384),MONTH(A1384),1))</f>
        <v/>
      </c>
      <c r="L1384" s="28" t="str">
        <f aca="false">IF(E1384="","",IFERROR(INDEX(Settings!$K$8:$K$38,MATCH(E1384,Settings!$H$8:$H$38,0))&amp;"",""))</f>
        <v/>
      </c>
    </row>
    <row r="1385" customFormat="false" ht="15" hidden="false" customHeight="false" outlineLevel="0" collapsed="false">
      <c r="A1385" s="33"/>
      <c r="B1385" s="27"/>
      <c r="C1385" s="27"/>
      <c r="D1385" s="27"/>
      <c r="E1385" s="27"/>
      <c r="F1385" s="34"/>
      <c r="G1385" s="27"/>
      <c r="H1385" s="27"/>
      <c r="I1385" s="28" t="str">
        <f aca="false">IF(C1385="","",IFERROR(INDEX(Settings!$C$8:$C$19,MATCH(C1385,Settings!$B$8:$B$19,0)),"?"))</f>
        <v/>
      </c>
      <c r="J1385" s="28" t="str">
        <f aca="false">IF(G1385="","",IFERROR(INDEX(Settings!$C$8:$C$19,MATCH(G1385,Settings!$B$8:$B$19,0)),"?"))</f>
        <v/>
      </c>
      <c r="K1385" s="35" t="str">
        <f aca="false">IF(A1385="","",DATE(YEAR(A1385),MONTH(A1385),1))</f>
        <v/>
      </c>
      <c r="L1385" s="28" t="str">
        <f aca="false">IF(E1385="","",IFERROR(INDEX(Settings!$K$8:$K$38,MATCH(E1385,Settings!$H$8:$H$38,0))&amp;"",""))</f>
        <v/>
      </c>
    </row>
    <row r="1386" customFormat="false" ht="15" hidden="false" customHeight="false" outlineLevel="0" collapsed="false">
      <c r="A1386" s="33"/>
      <c r="B1386" s="27"/>
      <c r="C1386" s="27"/>
      <c r="D1386" s="27"/>
      <c r="E1386" s="27"/>
      <c r="F1386" s="34"/>
      <c r="G1386" s="27"/>
      <c r="H1386" s="27"/>
      <c r="I1386" s="28" t="str">
        <f aca="false">IF(C1386="","",IFERROR(INDEX(Settings!$C$8:$C$19,MATCH(C1386,Settings!$B$8:$B$19,0)),"?"))</f>
        <v/>
      </c>
      <c r="J1386" s="28" t="str">
        <f aca="false">IF(G1386="","",IFERROR(INDEX(Settings!$C$8:$C$19,MATCH(G1386,Settings!$B$8:$B$19,0)),"?"))</f>
        <v/>
      </c>
      <c r="K1386" s="35" t="str">
        <f aca="false">IF(A1386="","",DATE(YEAR(A1386),MONTH(A1386),1))</f>
        <v/>
      </c>
      <c r="L1386" s="28" t="str">
        <f aca="false">IF(E1386="","",IFERROR(INDEX(Settings!$K$8:$K$38,MATCH(E1386,Settings!$H$8:$H$38,0))&amp;"",""))</f>
        <v/>
      </c>
    </row>
    <row r="1387" customFormat="false" ht="15" hidden="false" customHeight="false" outlineLevel="0" collapsed="false">
      <c r="A1387" s="33"/>
      <c r="B1387" s="27"/>
      <c r="C1387" s="27"/>
      <c r="D1387" s="27"/>
      <c r="E1387" s="27"/>
      <c r="F1387" s="34"/>
      <c r="G1387" s="27"/>
      <c r="H1387" s="27"/>
      <c r="I1387" s="28" t="str">
        <f aca="false">IF(C1387="","",IFERROR(INDEX(Settings!$C$8:$C$19,MATCH(C1387,Settings!$B$8:$B$19,0)),"?"))</f>
        <v/>
      </c>
      <c r="J1387" s="28" t="str">
        <f aca="false">IF(G1387="","",IFERROR(INDEX(Settings!$C$8:$C$19,MATCH(G1387,Settings!$B$8:$B$19,0)),"?"))</f>
        <v/>
      </c>
      <c r="K1387" s="35" t="str">
        <f aca="false">IF(A1387="","",DATE(YEAR(A1387),MONTH(A1387),1))</f>
        <v/>
      </c>
      <c r="L1387" s="28" t="str">
        <f aca="false">IF(E1387="","",IFERROR(INDEX(Settings!$K$8:$K$38,MATCH(E1387,Settings!$H$8:$H$38,0))&amp;"",""))</f>
        <v/>
      </c>
    </row>
    <row r="1388" customFormat="false" ht="15" hidden="false" customHeight="false" outlineLevel="0" collapsed="false">
      <c r="A1388" s="33"/>
      <c r="B1388" s="27"/>
      <c r="C1388" s="27"/>
      <c r="D1388" s="27"/>
      <c r="E1388" s="27"/>
      <c r="F1388" s="34"/>
      <c r="G1388" s="27"/>
      <c r="H1388" s="27"/>
      <c r="I1388" s="28" t="str">
        <f aca="false">IF(C1388="","",IFERROR(INDEX(Settings!$C$8:$C$19,MATCH(C1388,Settings!$B$8:$B$19,0)),"?"))</f>
        <v/>
      </c>
      <c r="J1388" s="28" t="str">
        <f aca="false">IF(G1388="","",IFERROR(INDEX(Settings!$C$8:$C$19,MATCH(G1388,Settings!$B$8:$B$19,0)),"?"))</f>
        <v/>
      </c>
      <c r="K1388" s="35" t="str">
        <f aca="false">IF(A1388="","",DATE(YEAR(A1388),MONTH(A1388),1))</f>
        <v/>
      </c>
      <c r="L1388" s="28" t="str">
        <f aca="false">IF(E1388="","",IFERROR(INDEX(Settings!$K$8:$K$38,MATCH(E1388,Settings!$H$8:$H$38,0))&amp;"",""))</f>
        <v/>
      </c>
    </row>
    <row r="1389" customFormat="false" ht="15" hidden="false" customHeight="false" outlineLevel="0" collapsed="false">
      <c r="A1389" s="33"/>
      <c r="B1389" s="27"/>
      <c r="C1389" s="27"/>
      <c r="D1389" s="27"/>
      <c r="E1389" s="27"/>
      <c r="F1389" s="34"/>
      <c r="G1389" s="27"/>
      <c r="H1389" s="27"/>
      <c r="I1389" s="28" t="str">
        <f aca="false">IF(C1389="","",IFERROR(INDEX(Settings!$C$8:$C$19,MATCH(C1389,Settings!$B$8:$B$19,0)),"?"))</f>
        <v/>
      </c>
      <c r="J1389" s="28" t="str">
        <f aca="false">IF(G1389="","",IFERROR(INDEX(Settings!$C$8:$C$19,MATCH(G1389,Settings!$B$8:$B$19,0)),"?"))</f>
        <v/>
      </c>
      <c r="K1389" s="35" t="str">
        <f aca="false">IF(A1389="","",DATE(YEAR(A1389),MONTH(A1389),1))</f>
        <v/>
      </c>
      <c r="L1389" s="28" t="str">
        <f aca="false">IF(E1389="","",IFERROR(INDEX(Settings!$K$8:$K$38,MATCH(E1389,Settings!$H$8:$H$38,0))&amp;"",""))</f>
        <v/>
      </c>
    </row>
    <row r="1390" customFormat="false" ht="15" hidden="false" customHeight="false" outlineLevel="0" collapsed="false">
      <c r="A1390" s="33"/>
      <c r="B1390" s="27"/>
      <c r="C1390" s="27"/>
      <c r="D1390" s="27"/>
      <c r="E1390" s="27"/>
      <c r="F1390" s="34"/>
      <c r="G1390" s="27"/>
      <c r="H1390" s="27"/>
      <c r="I1390" s="28" t="str">
        <f aca="false">IF(C1390="","",IFERROR(INDEX(Settings!$C$8:$C$19,MATCH(C1390,Settings!$B$8:$B$19,0)),"?"))</f>
        <v/>
      </c>
      <c r="J1390" s="28" t="str">
        <f aca="false">IF(G1390="","",IFERROR(INDEX(Settings!$C$8:$C$19,MATCH(G1390,Settings!$B$8:$B$19,0)),"?"))</f>
        <v/>
      </c>
      <c r="K1390" s="35" t="str">
        <f aca="false">IF(A1390="","",DATE(YEAR(A1390),MONTH(A1390),1))</f>
        <v/>
      </c>
      <c r="L1390" s="28" t="str">
        <f aca="false">IF(E1390="","",IFERROR(INDEX(Settings!$K$8:$K$38,MATCH(E1390,Settings!$H$8:$H$38,0))&amp;"",""))</f>
        <v/>
      </c>
    </row>
    <row r="1391" customFormat="false" ht="15" hidden="false" customHeight="false" outlineLevel="0" collapsed="false">
      <c r="A1391" s="33"/>
      <c r="B1391" s="27"/>
      <c r="C1391" s="27"/>
      <c r="D1391" s="27"/>
      <c r="E1391" s="27"/>
      <c r="F1391" s="34"/>
      <c r="G1391" s="27"/>
      <c r="H1391" s="27"/>
      <c r="I1391" s="28" t="str">
        <f aca="false">IF(C1391="","",IFERROR(INDEX(Settings!$C$8:$C$19,MATCH(C1391,Settings!$B$8:$B$19,0)),"?"))</f>
        <v/>
      </c>
      <c r="J1391" s="28" t="str">
        <f aca="false">IF(G1391="","",IFERROR(INDEX(Settings!$C$8:$C$19,MATCH(G1391,Settings!$B$8:$B$19,0)),"?"))</f>
        <v/>
      </c>
      <c r="K1391" s="35" t="str">
        <f aca="false">IF(A1391="","",DATE(YEAR(A1391),MONTH(A1391),1))</f>
        <v/>
      </c>
      <c r="L1391" s="28" t="str">
        <f aca="false">IF(E1391="","",IFERROR(INDEX(Settings!$K$8:$K$38,MATCH(E1391,Settings!$H$8:$H$38,0))&amp;"",""))</f>
        <v/>
      </c>
    </row>
    <row r="1392" customFormat="false" ht="15" hidden="false" customHeight="false" outlineLevel="0" collapsed="false">
      <c r="A1392" s="33"/>
      <c r="B1392" s="27"/>
      <c r="C1392" s="27"/>
      <c r="D1392" s="27"/>
      <c r="E1392" s="27"/>
      <c r="F1392" s="34"/>
      <c r="G1392" s="27"/>
      <c r="H1392" s="27"/>
      <c r="I1392" s="28" t="str">
        <f aca="false">IF(C1392="","",IFERROR(INDEX(Settings!$C$8:$C$19,MATCH(C1392,Settings!$B$8:$B$19,0)),"?"))</f>
        <v/>
      </c>
      <c r="J1392" s="28" t="str">
        <f aca="false">IF(G1392="","",IFERROR(INDEX(Settings!$C$8:$C$19,MATCH(G1392,Settings!$B$8:$B$19,0)),"?"))</f>
        <v/>
      </c>
      <c r="K1392" s="35" t="str">
        <f aca="false">IF(A1392="","",DATE(YEAR(A1392),MONTH(A1392),1))</f>
        <v/>
      </c>
      <c r="L1392" s="28" t="str">
        <f aca="false">IF(E1392="","",IFERROR(INDEX(Settings!$K$8:$K$38,MATCH(E1392,Settings!$H$8:$H$38,0))&amp;"",""))</f>
        <v/>
      </c>
    </row>
    <row r="1393" customFormat="false" ht="15" hidden="false" customHeight="false" outlineLevel="0" collapsed="false">
      <c r="A1393" s="33"/>
      <c r="B1393" s="27"/>
      <c r="C1393" s="27"/>
      <c r="D1393" s="27"/>
      <c r="E1393" s="27"/>
      <c r="F1393" s="34"/>
      <c r="G1393" s="27"/>
      <c r="H1393" s="27"/>
      <c r="I1393" s="28" t="str">
        <f aca="false">IF(C1393="","",IFERROR(INDEX(Settings!$C$8:$C$19,MATCH(C1393,Settings!$B$8:$B$19,0)),"?"))</f>
        <v/>
      </c>
      <c r="J1393" s="28" t="str">
        <f aca="false">IF(G1393="","",IFERROR(INDEX(Settings!$C$8:$C$19,MATCH(G1393,Settings!$B$8:$B$19,0)),"?"))</f>
        <v/>
      </c>
      <c r="K1393" s="35" t="str">
        <f aca="false">IF(A1393="","",DATE(YEAR(A1393),MONTH(A1393),1))</f>
        <v/>
      </c>
      <c r="L1393" s="28" t="str">
        <f aca="false">IF(E1393="","",IFERROR(INDEX(Settings!$K$8:$K$38,MATCH(E1393,Settings!$H$8:$H$38,0))&amp;"",""))</f>
        <v/>
      </c>
    </row>
    <row r="1394" customFormat="false" ht="15" hidden="false" customHeight="false" outlineLevel="0" collapsed="false">
      <c r="A1394" s="33"/>
      <c r="B1394" s="27"/>
      <c r="C1394" s="27"/>
      <c r="D1394" s="27"/>
      <c r="E1394" s="27"/>
      <c r="F1394" s="34"/>
      <c r="G1394" s="27"/>
      <c r="H1394" s="27"/>
      <c r="I1394" s="28" t="str">
        <f aca="false">IF(C1394="","",IFERROR(INDEX(Settings!$C$8:$C$19,MATCH(C1394,Settings!$B$8:$B$19,0)),"?"))</f>
        <v/>
      </c>
      <c r="J1394" s="28" t="str">
        <f aca="false">IF(G1394="","",IFERROR(INDEX(Settings!$C$8:$C$19,MATCH(G1394,Settings!$B$8:$B$19,0)),"?"))</f>
        <v/>
      </c>
      <c r="K1394" s="35" t="str">
        <f aca="false">IF(A1394="","",DATE(YEAR(A1394),MONTH(A1394),1))</f>
        <v/>
      </c>
      <c r="L1394" s="28" t="str">
        <f aca="false">IF(E1394="","",IFERROR(INDEX(Settings!$K$8:$K$38,MATCH(E1394,Settings!$H$8:$H$38,0))&amp;"",""))</f>
        <v/>
      </c>
    </row>
    <row r="1395" customFormat="false" ht="15" hidden="false" customHeight="false" outlineLevel="0" collapsed="false">
      <c r="A1395" s="33"/>
      <c r="B1395" s="27"/>
      <c r="C1395" s="27"/>
      <c r="D1395" s="27"/>
      <c r="E1395" s="27"/>
      <c r="F1395" s="34"/>
      <c r="G1395" s="27"/>
      <c r="H1395" s="27"/>
      <c r="I1395" s="28" t="str">
        <f aca="false">IF(C1395="","",IFERROR(INDEX(Settings!$C$8:$C$19,MATCH(C1395,Settings!$B$8:$B$19,0)),"?"))</f>
        <v/>
      </c>
      <c r="J1395" s="28" t="str">
        <f aca="false">IF(G1395="","",IFERROR(INDEX(Settings!$C$8:$C$19,MATCH(G1395,Settings!$B$8:$B$19,0)),"?"))</f>
        <v/>
      </c>
      <c r="K1395" s="35" t="str">
        <f aca="false">IF(A1395="","",DATE(YEAR(A1395),MONTH(A1395),1))</f>
        <v/>
      </c>
      <c r="L1395" s="28" t="str">
        <f aca="false">IF(E1395="","",IFERROR(INDEX(Settings!$K$8:$K$38,MATCH(E1395,Settings!$H$8:$H$38,0))&amp;"",""))</f>
        <v/>
      </c>
    </row>
    <row r="1396" customFormat="false" ht="15" hidden="false" customHeight="false" outlineLevel="0" collapsed="false">
      <c r="A1396" s="33"/>
      <c r="B1396" s="27"/>
      <c r="C1396" s="27"/>
      <c r="D1396" s="27"/>
      <c r="E1396" s="27"/>
      <c r="F1396" s="34"/>
      <c r="G1396" s="27"/>
      <c r="H1396" s="27"/>
      <c r="I1396" s="28" t="str">
        <f aca="false">IF(C1396="","",IFERROR(INDEX(Settings!$C$8:$C$19,MATCH(C1396,Settings!$B$8:$B$19,0)),"?"))</f>
        <v/>
      </c>
      <c r="J1396" s="28" t="str">
        <f aca="false">IF(G1396="","",IFERROR(INDEX(Settings!$C$8:$C$19,MATCH(G1396,Settings!$B$8:$B$19,0)),"?"))</f>
        <v/>
      </c>
      <c r="K1396" s="35" t="str">
        <f aca="false">IF(A1396="","",DATE(YEAR(A1396),MONTH(A1396),1))</f>
        <v/>
      </c>
      <c r="L1396" s="28" t="str">
        <f aca="false">IF(E1396="","",IFERROR(INDEX(Settings!$K$8:$K$38,MATCH(E1396,Settings!$H$8:$H$38,0))&amp;"",""))</f>
        <v/>
      </c>
    </row>
    <row r="1397" customFormat="false" ht="15" hidden="false" customHeight="false" outlineLevel="0" collapsed="false">
      <c r="A1397" s="33"/>
      <c r="B1397" s="27"/>
      <c r="C1397" s="27"/>
      <c r="D1397" s="27"/>
      <c r="E1397" s="27"/>
      <c r="F1397" s="34"/>
      <c r="G1397" s="27"/>
      <c r="H1397" s="27"/>
      <c r="I1397" s="28" t="str">
        <f aca="false">IF(C1397="","",IFERROR(INDEX(Settings!$C$8:$C$19,MATCH(C1397,Settings!$B$8:$B$19,0)),"?"))</f>
        <v/>
      </c>
      <c r="J1397" s="28" t="str">
        <f aca="false">IF(G1397="","",IFERROR(INDEX(Settings!$C$8:$C$19,MATCH(G1397,Settings!$B$8:$B$19,0)),"?"))</f>
        <v/>
      </c>
      <c r="K1397" s="35" t="str">
        <f aca="false">IF(A1397="","",DATE(YEAR(A1397),MONTH(A1397),1))</f>
        <v/>
      </c>
      <c r="L1397" s="28" t="str">
        <f aca="false">IF(E1397="","",IFERROR(INDEX(Settings!$K$8:$K$38,MATCH(E1397,Settings!$H$8:$H$38,0))&amp;"",""))</f>
        <v/>
      </c>
    </row>
    <row r="1398" customFormat="false" ht="15" hidden="false" customHeight="false" outlineLevel="0" collapsed="false">
      <c r="A1398" s="33"/>
      <c r="B1398" s="27"/>
      <c r="C1398" s="27"/>
      <c r="D1398" s="27"/>
      <c r="E1398" s="27"/>
      <c r="F1398" s="34"/>
      <c r="G1398" s="27"/>
      <c r="H1398" s="27"/>
      <c r="I1398" s="28" t="str">
        <f aca="false">IF(C1398="","",IFERROR(INDEX(Settings!$C$8:$C$19,MATCH(C1398,Settings!$B$8:$B$19,0)),"?"))</f>
        <v/>
      </c>
      <c r="J1398" s="28" t="str">
        <f aca="false">IF(G1398="","",IFERROR(INDEX(Settings!$C$8:$C$19,MATCH(G1398,Settings!$B$8:$B$19,0)),"?"))</f>
        <v/>
      </c>
      <c r="K1398" s="35" t="str">
        <f aca="false">IF(A1398="","",DATE(YEAR(A1398),MONTH(A1398),1))</f>
        <v/>
      </c>
      <c r="L1398" s="28" t="str">
        <f aca="false">IF(E1398="","",IFERROR(INDEX(Settings!$K$8:$K$38,MATCH(E1398,Settings!$H$8:$H$38,0))&amp;"",""))</f>
        <v/>
      </c>
    </row>
    <row r="1399" customFormat="false" ht="15" hidden="false" customHeight="false" outlineLevel="0" collapsed="false">
      <c r="A1399" s="33"/>
      <c r="B1399" s="27"/>
      <c r="C1399" s="27"/>
      <c r="D1399" s="27"/>
      <c r="E1399" s="27"/>
      <c r="F1399" s="34"/>
      <c r="G1399" s="27"/>
      <c r="H1399" s="27"/>
      <c r="I1399" s="28" t="str">
        <f aca="false">IF(C1399="","",IFERROR(INDEX(Settings!$C$8:$C$19,MATCH(C1399,Settings!$B$8:$B$19,0)),"?"))</f>
        <v/>
      </c>
      <c r="J1399" s="28" t="str">
        <f aca="false">IF(G1399="","",IFERROR(INDEX(Settings!$C$8:$C$19,MATCH(G1399,Settings!$B$8:$B$19,0)),"?"))</f>
        <v/>
      </c>
      <c r="K1399" s="35" t="str">
        <f aca="false">IF(A1399="","",DATE(YEAR(A1399),MONTH(A1399),1))</f>
        <v/>
      </c>
      <c r="L1399" s="28" t="str">
        <f aca="false">IF(E1399="","",IFERROR(INDEX(Settings!$K$8:$K$38,MATCH(E1399,Settings!$H$8:$H$38,0))&amp;"",""))</f>
        <v/>
      </c>
    </row>
    <row r="1400" customFormat="false" ht="15" hidden="false" customHeight="false" outlineLevel="0" collapsed="false">
      <c r="A1400" s="33"/>
      <c r="B1400" s="27"/>
      <c r="C1400" s="27"/>
      <c r="D1400" s="27"/>
      <c r="E1400" s="27"/>
      <c r="F1400" s="34"/>
      <c r="G1400" s="27"/>
      <c r="H1400" s="27"/>
      <c r="I1400" s="28" t="str">
        <f aca="false">IF(C1400="","",IFERROR(INDEX(Settings!$C$8:$C$19,MATCH(C1400,Settings!$B$8:$B$19,0)),"?"))</f>
        <v/>
      </c>
      <c r="J1400" s="28" t="str">
        <f aca="false">IF(G1400="","",IFERROR(INDEX(Settings!$C$8:$C$19,MATCH(G1400,Settings!$B$8:$B$19,0)),"?"))</f>
        <v/>
      </c>
      <c r="K1400" s="35" t="str">
        <f aca="false">IF(A1400="","",DATE(YEAR(A1400),MONTH(A1400),1))</f>
        <v/>
      </c>
      <c r="L1400" s="28" t="str">
        <f aca="false">IF(E1400="","",IFERROR(INDEX(Settings!$K$8:$K$38,MATCH(E1400,Settings!$H$8:$H$38,0))&amp;"",""))</f>
        <v/>
      </c>
    </row>
    <row r="1401" customFormat="false" ht="15" hidden="false" customHeight="false" outlineLevel="0" collapsed="false">
      <c r="A1401" s="33"/>
      <c r="B1401" s="27"/>
      <c r="C1401" s="27"/>
      <c r="D1401" s="27"/>
      <c r="E1401" s="27"/>
      <c r="F1401" s="34"/>
      <c r="G1401" s="27"/>
      <c r="H1401" s="27"/>
      <c r="I1401" s="28" t="str">
        <f aca="false">IF(C1401="","",IFERROR(INDEX(Settings!$C$8:$C$19,MATCH(C1401,Settings!$B$8:$B$19,0)),"?"))</f>
        <v/>
      </c>
      <c r="J1401" s="28" t="str">
        <f aca="false">IF(G1401="","",IFERROR(INDEX(Settings!$C$8:$C$19,MATCH(G1401,Settings!$B$8:$B$19,0)),"?"))</f>
        <v/>
      </c>
      <c r="K1401" s="35" t="str">
        <f aca="false">IF(A1401="","",DATE(YEAR(A1401),MONTH(A1401),1))</f>
        <v/>
      </c>
      <c r="L1401" s="28" t="str">
        <f aca="false">IF(E1401="","",IFERROR(INDEX(Settings!$K$8:$K$38,MATCH(E1401,Settings!$H$8:$H$38,0))&amp;"",""))</f>
        <v/>
      </c>
    </row>
    <row r="1402" customFormat="false" ht="15" hidden="false" customHeight="false" outlineLevel="0" collapsed="false">
      <c r="A1402" s="33"/>
      <c r="B1402" s="27"/>
      <c r="C1402" s="27"/>
      <c r="D1402" s="27"/>
      <c r="E1402" s="27"/>
      <c r="F1402" s="34"/>
      <c r="G1402" s="27"/>
      <c r="H1402" s="27"/>
      <c r="I1402" s="28" t="str">
        <f aca="false">IF(C1402="","",IFERROR(INDEX(Settings!$C$8:$C$19,MATCH(C1402,Settings!$B$8:$B$19,0)),"?"))</f>
        <v/>
      </c>
      <c r="J1402" s="28" t="str">
        <f aca="false">IF(G1402="","",IFERROR(INDEX(Settings!$C$8:$C$19,MATCH(G1402,Settings!$B$8:$B$19,0)),"?"))</f>
        <v/>
      </c>
      <c r="K1402" s="35" t="str">
        <f aca="false">IF(A1402="","",DATE(YEAR(A1402),MONTH(A1402),1))</f>
        <v/>
      </c>
      <c r="L1402" s="28" t="str">
        <f aca="false">IF(E1402="","",IFERROR(INDEX(Settings!$K$8:$K$38,MATCH(E1402,Settings!$H$8:$H$38,0))&amp;"",""))</f>
        <v/>
      </c>
    </row>
    <row r="1403" customFormat="false" ht="15" hidden="false" customHeight="false" outlineLevel="0" collapsed="false">
      <c r="A1403" s="33"/>
      <c r="B1403" s="27"/>
      <c r="C1403" s="27"/>
      <c r="D1403" s="27"/>
      <c r="E1403" s="27"/>
      <c r="F1403" s="34"/>
      <c r="G1403" s="27"/>
      <c r="H1403" s="27"/>
      <c r="I1403" s="28" t="str">
        <f aca="false">IF(C1403="","",IFERROR(INDEX(Settings!$C$8:$C$19,MATCH(C1403,Settings!$B$8:$B$19,0)),"?"))</f>
        <v/>
      </c>
      <c r="J1403" s="28" t="str">
        <f aca="false">IF(G1403="","",IFERROR(INDEX(Settings!$C$8:$C$19,MATCH(G1403,Settings!$B$8:$B$19,0)),"?"))</f>
        <v/>
      </c>
      <c r="K1403" s="35" t="str">
        <f aca="false">IF(A1403="","",DATE(YEAR(A1403),MONTH(A1403),1))</f>
        <v/>
      </c>
      <c r="L1403" s="28" t="str">
        <f aca="false">IF(E1403="","",IFERROR(INDEX(Settings!$K$8:$K$38,MATCH(E1403,Settings!$H$8:$H$38,0))&amp;"",""))</f>
        <v/>
      </c>
    </row>
    <row r="1404" customFormat="false" ht="15" hidden="false" customHeight="false" outlineLevel="0" collapsed="false">
      <c r="A1404" s="33"/>
      <c r="B1404" s="27"/>
      <c r="C1404" s="27"/>
      <c r="D1404" s="27"/>
      <c r="E1404" s="27"/>
      <c r="F1404" s="34"/>
      <c r="G1404" s="27"/>
      <c r="H1404" s="27"/>
      <c r="I1404" s="28" t="str">
        <f aca="false">IF(C1404="","",IFERROR(INDEX(Settings!$C$8:$C$19,MATCH(C1404,Settings!$B$8:$B$19,0)),"?"))</f>
        <v/>
      </c>
      <c r="J1404" s="28" t="str">
        <f aca="false">IF(G1404="","",IFERROR(INDEX(Settings!$C$8:$C$19,MATCH(G1404,Settings!$B$8:$B$19,0)),"?"))</f>
        <v/>
      </c>
      <c r="K1404" s="35" t="str">
        <f aca="false">IF(A1404="","",DATE(YEAR(A1404),MONTH(A1404),1))</f>
        <v/>
      </c>
      <c r="L1404" s="28" t="str">
        <f aca="false">IF(E1404="","",IFERROR(INDEX(Settings!$K$8:$K$38,MATCH(E1404,Settings!$H$8:$H$38,0))&amp;"",""))</f>
        <v/>
      </c>
    </row>
    <row r="1405" customFormat="false" ht="15" hidden="false" customHeight="false" outlineLevel="0" collapsed="false">
      <c r="A1405" s="33"/>
      <c r="B1405" s="27"/>
      <c r="C1405" s="27"/>
      <c r="D1405" s="27"/>
      <c r="E1405" s="27"/>
      <c r="F1405" s="34"/>
      <c r="G1405" s="27"/>
      <c r="H1405" s="27"/>
      <c r="I1405" s="28" t="str">
        <f aca="false">IF(C1405="","",IFERROR(INDEX(Settings!$C$8:$C$19,MATCH(C1405,Settings!$B$8:$B$19,0)),"?"))</f>
        <v/>
      </c>
      <c r="J1405" s="28" t="str">
        <f aca="false">IF(G1405="","",IFERROR(INDEX(Settings!$C$8:$C$19,MATCH(G1405,Settings!$B$8:$B$19,0)),"?"))</f>
        <v/>
      </c>
      <c r="K1405" s="35" t="str">
        <f aca="false">IF(A1405="","",DATE(YEAR(A1405),MONTH(A1405),1))</f>
        <v/>
      </c>
      <c r="L1405" s="28" t="str">
        <f aca="false">IF(E1405="","",IFERROR(INDEX(Settings!$K$8:$K$38,MATCH(E1405,Settings!$H$8:$H$38,0))&amp;"",""))</f>
        <v/>
      </c>
    </row>
    <row r="1406" customFormat="false" ht="15" hidden="false" customHeight="false" outlineLevel="0" collapsed="false">
      <c r="A1406" s="33"/>
      <c r="B1406" s="27"/>
      <c r="C1406" s="27"/>
      <c r="D1406" s="27"/>
      <c r="E1406" s="27"/>
      <c r="F1406" s="34"/>
      <c r="G1406" s="27"/>
      <c r="H1406" s="27"/>
      <c r="I1406" s="28" t="str">
        <f aca="false">IF(C1406="","",IFERROR(INDEX(Settings!$C$8:$C$19,MATCH(C1406,Settings!$B$8:$B$19,0)),"?"))</f>
        <v/>
      </c>
      <c r="J1406" s="28" t="str">
        <f aca="false">IF(G1406="","",IFERROR(INDEX(Settings!$C$8:$C$19,MATCH(G1406,Settings!$B$8:$B$19,0)),"?"))</f>
        <v/>
      </c>
      <c r="K1406" s="35" t="str">
        <f aca="false">IF(A1406="","",DATE(YEAR(A1406),MONTH(A1406),1))</f>
        <v/>
      </c>
      <c r="L1406" s="28" t="str">
        <f aca="false">IF(E1406="","",IFERROR(INDEX(Settings!$K$8:$K$38,MATCH(E1406,Settings!$H$8:$H$38,0))&amp;"",""))</f>
        <v/>
      </c>
    </row>
    <row r="1407" customFormat="false" ht="15" hidden="false" customHeight="false" outlineLevel="0" collapsed="false">
      <c r="A1407" s="33"/>
      <c r="B1407" s="27"/>
      <c r="C1407" s="27"/>
      <c r="D1407" s="27"/>
      <c r="E1407" s="27"/>
      <c r="F1407" s="34"/>
      <c r="G1407" s="27"/>
      <c r="H1407" s="27"/>
      <c r="I1407" s="28" t="str">
        <f aca="false">IF(C1407="","",IFERROR(INDEX(Settings!$C$8:$C$19,MATCH(C1407,Settings!$B$8:$B$19,0)),"?"))</f>
        <v/>
      </c>
      <c r="J1407" s="28" t="str">
        <f aca="false">IF(G1407="","",IFERROR(INDEX(Settings!$C$8:$C$19,MATCH(G1407,Settings!$B$8:$B$19,0)),"?"))</f>
        <v/>
      </c>
      <c r="K1407" s="35" t="str">
        <f aca="false">IF(A1407="","",DATE(YEAR(A1407),MONTH(A1407),1))</f>
        <v/>
      </c>
      <c r="L1407" s="28" t="str">
        <f aca="false">IF(E1407="","",IFERROR(INDEX(Settings!$K$8:$K$38,MATCH(E1407,Settings!$H$8:$H$38,0))&amp;"",""))</f>
        <v/>
      </c>
    </row>
    <row r="1408" customFormat="false" ht="15" hidden="false" customHeight="false" outlineLevel="0" collapsed="false">
      <c r="A1408" s="33"/>
      <c r="B1408" s="27"/>
      <c r="C1408" s="27"/>
      <c r="D1408" s="27"/>
      <c r="E1408" s="27"/>
      <c r="F1408" s="34"/>
      <c r="G1408" s="27"/>
      <c r="H1408" s="27"/>
      <c r="I1408" s="28" t="str">
        <f aca="false">IF(C1408="","",IFERROR(INDEX(Settings!$C$8:$C$19,MATCH(C1408,Settings!$B$8:$B$19,0)),"?"))</f>
        <v/>
      </c>
      <c r="J1408" s="28" t="str">
        <f aca="false">IF(G1408="","",IFERROR(INDEX(Settings!$C$8:$C$19,MATCH(G1408,Settings!$B$8:$B$19,0)),"?"))</f>
        <v/>
      </c>
      <c r="K1408" s="35" t="str">
        <f aca="false">IF(A1408="","",DATE(YEAR(A1408),MONTH(A1408),1))</f>
        <v/>
      </c>
      <c r="L1408" s="28" t="str">
        <f aca="false">IF(E1408="","",IFERROR(INDEX(Settings!$K$8:$K$38,MATCH(E1408,Settings!$H$8:$H$38,0))&amp;"",""))</f>
        <v/>
      </c>
    </row>
    <row r="1409" customFormat="false" ht="15" hidden="false" customHeight="false" outlineLevel="0" collapsed="false">
      <c r="A1409" s="33"/>
      <c r="B1409" s="27"/>
      <c r="C1409" s="27"/>
      <c r="D1409" s="27"/>
      <c r="E1409" s="27"/>
      <c r="F1409" s="34"/>
      <c r="G1409" s="27"/>
      <c r="H1409" s="27"/>
      <c r="I1409" s="28" t="str">
        <f aca="false">IF(C1409="","",IFERROR(INDEX(Settings!$C$8:$C$19,MATCH(C1409,Settings!$B$8:$B$19,0)),"?"))</f>
        <v/>
      </c>
      <c r="J1409" s="28" t="str">
        <f aca="false">IF(G1409="","",IFERROR(INDEX(Settings!$C$8:$C$19,MATCH(G1409,Settings!$B$8:$B$19,0)),"?"))</f>
        <v/>
      </c>
      <c r="K1409" s="35" t="str">
        <f aca="false">IF(A1409="","",DATE(YEAR(A1409),MONTH(A1409),1))</f>
        <v/>
      </c>
      <c r="L1409" s="28" t="str">
        <f aca="false">IF(E1409="","",IFERROR(INDEX(Settings!$K$8:$K$38,MATCH(E1409,Settings!$H$8:$H$38,0))&amp;"",""))</f>
        <v/>
      </c>
    </row>
    <row r="1410" customFormat="false" ht="15" hidden="false" customHeight="false" outlineLevel="0" collapsed="false">
      <c r="A1410" s="33"/>
      <c r="B1410" s="27"/>
      <c r="C1410" s="27"/>
      <c r="D1410" s="27"/>
      <c r="E1410" s="27"/>
      <c r="F1410" s="34"/>
      <c r="G1410" s="27"/>
      <c r="H1410" s="27"/>
      <c r="I1410" s="28" t="str">
        <f aca="false">IF(C1410="","",IFERROR(INDEX(Settings!$C$8:$C$19,MATCH(C1410,Settings!$B$8:$B$19,0)),"?"))</f>
        <v/>
      </c>
      <c r="J1410" s="28" t="str">
        <f aca="false">IF(G1410="","",IFERROR(INDEX(Settings!$C$8:$C$19,MATCH(G1410,Settings!$B$8:$B$19,0)),"?"))</f>
        <v/>
      </c>
      <c r="K1410" s="35" t="str">
        <f aca="false">IF(A1410="","",DATE(YEAR(A1410),MONTH(A1410),1))</f>
        <v/>
      </c>
      <c r="L1410" s="28" t="str">
        <f aca="false">IF(E1410="","",IFERROR(INDEX(Settings!$K$8:$K$38,MATCH(E1410,Settings!$H$8:$H$38,0))&amp;"",""))</f>
        <v/>
      </c>
    </row>
    <row r="1411" customFormat="false" ht="15" hidden="false" customHeight="false" outlineLevel="0" collapsed="false">
      <c r="A1411" s="33"/>
      <c r="B1411" s="27"/>
      <c r="C1411" s="27"/>
      <c r="D1411" s="27"/>
      <c r="E1411" s="27"/>
      <c r="F1411" s="34"/>
      <c r="G1411" s="27"/>
      <c r="H1411" s="27"/>
      <c r="I1411" s="28" t="str">
        <f aca="false">IF(C1411="","",IFERROR(INDEX(Settings!$C$8:$C$19,MATCH(C1411,Settings!$B$8:$B$19,0)),"?"))</f>
        <v/>
      </c>
      <c r="J1411" s="28" t="str">
        <f aca="false">IF(G1411="","",IFERROR(INDEX(Settings!$C$8:$C$19,MATCH(G1411,Settings!$B$8:$B$19,0)),"?"))</f>
        <v/>
      </c>
      <c r="K1411" s="35" t="str">
        <f aca="false">IF(A1411="","",DATE(YEAR(A1411),MONTH(A1411),1))</f>
        <v/>
      </c>
      <c r="L1411" s="28" t="str">
        <f aca="false">IF(E1411="","",IFERROR(INDEX(Settings!$K$8:$K$38,MATCH(E1411,Settings!$H$8:$H$38,0))&amp;"",""))</f>
        <v/>
      </c>
    </row>
    <row r="1412" customFormat="false" ht="15" hidden="false" customHeight="false" outlineLevel="0" collapsed="false">
      <c r="A1412" s="33"/>
      <c r="B1412" s="27"/>
      <c r="C1412" s="27"/>
      <c r="D1412" s="27"/>
      <c r="E1412" s="27"/>
      <c r="F1412" s="34"/>
      <c r="G1412" s="27"/>
      <c r="H1412" s="27"/>
      <c r="I1412" s="28" t="str">
        <f aca="false">IF(C1412="","",IFERROR(INDEX(Settings!$C$8:$C$19,MATCH(C1412,Settings!$B$8:$B$19,0)),"?"))</f>
        <v/>
      </c>
      <c r="J1412" s="28" t="str">
        <f aca="false">IF(G1412="","",IFERROR(INDEX(Settings!$C$8:$C$19,MATCH(G1412,Settings!$B$8:$B$19,0)),"?"))</f>
        <v/>
      </c>
      <c r="K1412" s="35" t="str">
        <f aca="false">IF(A1412="","",DATE(YEAR(A1412),MONTH(A1412),1))</f>
        <v/>
      </c>
      <c r="L1412" s="28" t="str">
        <f aca="false">IF(E1412="","",IFERROR(INDEX(Settings!$K$8:$K$38,MATCH(E1412,Settings!$H$8:$H$38,0))&amp;"",""))</f>
        <v/>
      </c>
    </row>
    <row r="1413" customFormat="false" ht="15" hidden="false" customHeight="false" outlineLevel="0" collapsed="false">
      <c r="A1413" s="33"/>
      <c r="B1413" s="27"/>
      <c r="C1413" s="27"/>
      <c r="D1413" s="27"/>
      <c r="E1413" s="27"/>
      <c r="F1413" s="34"/>
      <c r="G1413" s="27"/>
      <c r="H1413" s="27"/>
      <c r="I1413" s="28" t="str">
        <f aca="false">IF(C1413="","",IFERROR(INDEX(Settings!$C$8:$C$19,MATCH(C1413,Settings!$B$8:$B$19,0)),"?"))</f>
        <v/>
      </c>
      <c r="J1413" s="28" t="str">
        <f aca="false">IF(G1413="","",IFERROR(INDEX(Settings!$C$8:$C$19,MATCH(G1413,Settings!$B$8:$B$19,0)),"?"))</f>
        <v/>
      </c>
      <c r="K1413" s="35" t="str">
        <f aca="false">IF(A1413="","",DATE(YEAR(A1413),MONTH(A1413),1))</f>
        <v/>
      </c>
      <c r="L1413" s="28" t="str">
        <f aca="false">IF(E1413="","",IFERROR(INDEX(Settings!$K$8:$K$38,MATCH(E1413,Settings!$H$8:$H$38,0))&amp;"",""))</f>
        <v/>
      </c>
    </row>
    <row r="1414" customFormat="false" ht="15" hidden="false" customHeight="false" outlineLevel="0" collapsed="false">
      <c r="A1414" s="33"/>
      <c r="B1414" s="27"/>
      <c r="C1414" s="27"/>
      <c r="D1414" s="27"/>
      <c r="E1414" s="27"/>
      <c r="F1414" s="34"/>
      <c r="G1414" s="27"/>
      <c r="H1414" s="27"/>
      <c r="I1414" s="28" t="str">
        <f aca="false">IF(C1414="","",IFERROR(INDEX(Settings!$C$8:$C$19,MATCH(C1414,Settings!$B$8:$B$19,0)),"?"))</f>
        <v/>
      </c>
      <c r="J1414" s="28" t="str">
        <f aca="false">IF(G1414="","",IFERROR(INDEX(Settings!$C$8:$C$19,MATCH(G1414,Settings!$B$8:$B$19,0)),"?"))</f>
        <v/>
      </c>
      <c r="K1414" s="35" t="str">
        <f aca="false">IF(A1414="","",DATE(YEAR(A1414),MONTH(A1414),1))</f>
        <v/>
      </c>
      <c r="L1414" s="28" t="str">
        <f aca="false">IF(E1414="","",IFERROR(INDEX(Settings!$K$8:$K$38,MATCH(E1414,Settings!$H$8:$H$38,0))&amp;"",""))</f>
        <v/>
      </c>
    </row>
    <row r="1415" customFormat="false" ht="15" hidden="false" customHeight="false" outlineLevel="0" collapsed="false">
      <c r="A1415" s="33"/>
      <c r="B1415" s="27"/>
      <c r="C1415" s="27"/>
      <c r="D1415" s="27"/>
      <c r="E1415" s="27"/>
      <c r="F1415" s="34"/>
      <c r="G1415" s="27"/>
      <c r="H1415" s="27"/>
      <c r="I1415" s="28" t="str">
        <f aca="false">IF(C1415="","",IFERROR(INDEX(Settings!$C$8:$C$19,MATCH(C1415,Settings!$B$8:$B$19,0)),"?"))</f>
        <v/>
      </c>
      <c r="J1415" s="28" t="str">
        <f aca="false">IF(G1415="","",IFERROR(INDEX(Settings!$C$8:$C$19,MATCH(G1415,Settings!$B$8:$B$19,0)),"?"))</f>
        <v/>
      </c>
      <c r="K1415" s="35" t="str">
        <f aca="false">IF(A1415="","",DATE(YEAR(A1415),MONTH(A1415),1))</f>
        <v/>
      </c>
      <c r="L1415" s="28" t="str">
        <f aca="false">IF(E1415="","",IFERROR(INDEX(Settings!$K$8:$K$38,MATCH(E1415,Settings!$H$8:$H$38,0))&amp;"",""))</f>
        <v/>
      </c>
    </row>
    <row r="1416" customFormat="false" ht="15" hidden="false" customHeight="false" outlineLevel="0" collapsed="false">
      <c r="A1416" s="33"/>
      <c r="B1416" s="27"/>
      <c r="C1416" s="27"/>
      <c r="D1416" s="27"/>
      <c r="E1416" s="27"/>
      <c r="F1416" s="34"/>
      <c r="G1416" s="27"/>
      <c r="H1416" s="27"/>
      <c r="I1416" s="28" t="str">
        <f aca="false">IF(C1416="","",IFERROR(INDEX(Settings!$C$8:$C$19,MATCH(C1416,Settings!$B$8:$B$19,0)),"?"))</f>
        <v/>
      </c>
      <c r="J1416" s="28" t="str">
        <f aca="false">IF(G1416="","",IFERROR(INDEX(Settings!$C$8:$C$19,MATCH(G1416,Settings!$B$8:$B$19,0)),"?"))</f>
        <v/>
      </c>
      <c r="K1416" s="35" t="str">
        <f aca="false">IF(A1416="","",DATE(YEAR(A1416),MONTH(A1416),1))</f>
        <v/>
      </c>
      <c r="L1416" s="28" t="str">
        <f aca="false">IF(E1416="","",IFERROR(INDEX(Settings!$K$8:$K$38,MATCH(E1416,Settings!$H$8:$H$38,0))&amp;"",""))</f>
        <v/>
      </c>
    </row>
    <row r="1417" customFormat="false" ht="15" hidden="false" customHeight="false" outlineLevel="0" collapsed="false">
      <c r="A1417" s="33"/>
      <c r="B1417" s="27"/>
      <c r="C1417" s="27"/>
      <c r="D1417" s="27"/>
      <c r="E1417" s="27"/>
      <c r="F1417" s="34"/>
      <c r="G1417" s="27"/>
      <c r="H1417" s="27"/>
      <c r="I1417" s="28" t="str">
        <f aca="false">IF(C1417="","",IFERROR(INDEX(Settings!$C$8:$C$19,MATCH(C1417,Settings!$B$8:$B$19,0)),"?"))</f>
        <v/>
      </c>
      <c r="J1417" s="28" t="str">
        <f aca="false">IF(G1417="","",IFERROR(INDEX(Settings!$C$8:$C$19,MATCH(G1417,Settings!$B$8:$B$19,0)),"?"))</f>
        <v/>
      </c>
      <c r="K1417" s="35" t="str">
        <f aca="false">IF(A1417="","",DATE(YEAR(A1417),MONTH(A1417),1))</f>
        <v/>
      </c>
      <c r="L1417" s="28" t="str">
        <f aca="false">IF(E1417="","",IFERROR(INDEX(Settings!$K$8:$K$38,MATCH(E1417,Settings!$H$8:$H$38,0))&amp;"",""))</f>
        <v/>
      </c>
    </row>
    <row r="1418" customFormat="false" ht="15" hidden="false" customHeight="false" outlineLevel="0" collapsed="false">
      <c r="A1418" s="33"/>
      <c r="B1418" s="27"/>
      <c r="C1418" s="27"/>
      <c r="D1418" s="27"/>
      <c r="E1418" s="27"/>
      <c r="F1418" s="34"/>
      <c r="G1418" s="27"/>
      <c r="H1418" s="27"/>
      <c r="I1418" s="28" t="str">
        <f aca="false">IF(C1418="","",IFERROR(INDEX(Settings!$C$8:$C$19,MATCH(C1418,Settings!$B$8:$B$19,0)),"?"))</f>
        <v/>
      </c>
      <c r="J1418" s="28" t="str">
        <f aca="false">IF(G1418="","",IFERROR(INDEX(Settings!$C$8:$C$19,MATCH(G1418,Settings!$B$8:$B$19,0)),"?"))</f>
        <v/>
      </c>
      <c r="K1418" s="35" t="str">
        <f aca="false">IF(A1418="","",DATE(YEAR(A1418),MONTH(A1418),1))</f>
        <v/>
      </c>
      <c r="L1418" s="28" t="str">
        <f aca="false">IF(E1418="","",IFERROR(INDEX(Settings!$K$8:$K$38,MATCH(E1418,Settings!$H$8:$H$38,0))&amp;"",""))</f>
        <v/>
      </c>
    </row>
    <row r="1419" customFormat="false" ht="15" hidden="false" customHeight="false" outlineLevel="0" collapsed="false">
      <c r="A1419" s="33"/>
      <c r="B1419" s="27"/>
      <c r="C1419" s="27"/>
      <c r="D1419" s="27"/>
      <c r="E1419" s="27"/>
      <c r="F1419" s="34"/>
      <c r="G1419" s="27"/>
      <c r="H1419" s="27"/>
      <c r="I1419" s="28" t="str">
        <f aca="false">IF(C1419="","",IFERROR(INDEX(Settings!$C$8:$C$19,MATCH(C1419,Settings!$B$8:$B$19,0)),"?"))</f>
        <v/>
      </c>
      <c r="J1419" s="28" t="str">
        <f aca="false">IF(G1419="","",IFERROR(INDEX(Settings!$C$8:$C$19,MATCH(G1419,Settings!$B$8:$B$19,0)),"?"))</f>
        <v/>
      </c>
      <c r="K1419" s="35" t="str">
        <f aca="false">IF(A1419="","",DATE(YEAR(A1419),MONTH(A1419),1))</f>
        <v/>
      </c>
      <c r="L1419" s="28" t="str">
        <f aca="false">IF(E1419="","",IFERROR(INDEX(Settings!$K$8:$K$38,MATCH(E1419,Settings!$H$8:$H$38,0))&amp;"",""))</f>
        <v/>
      </c>
    </row>
    <row r="1420" customFormat="false" ht="15" hidden="false" customHeight="false" outlineLevel="0" collapsed="false">
      <c r="A1420" s="33"/>
      <c r="B1420" s="27"/>
      <c r="C1420" s="27"/>
      <c r="D1420" s="27"/>
      <c r="E1420" s="27"/>
      <c r="F1420" s="34"/>
      <c r="G1420" s="27"/>
      <c r="H1420" s="27"/>
      <c r="I1420" s="28" t="str">
        <f aca="false">IF(C1420="","",IFERROR(INDEX(Settings!$C$8:$C$19,MATCH(C1420,Settings!$B$8:$B$19,0)),"?"))</f>
        <v/>
      </c>
      <c r="J1420" s="28" t="str">
        <f aca="false">IF(G1420="","",IFERROR(INDEX(Settings!$C$8:$C$19,MATCH(G1420,Settings!$B$8:$B$19,0)),"?"))</f>
        <v/>
      </c>
      <c r="K1420" s="35" t="str">
        <f aca="false">IF(A1420="","",DATE(YEAR(A1420),MONTH(A1420),1))</f>
        <v/>
      </c>
      <c r="L1420" s="28" t="str">
        <f aca="false">IF(E1420="","",IFERROR(INDEX(Settings!$K$8:$K$38,MATCH(E1420,Settings!$H$8:$H$38,0))&amp;"",""))</f>
        <v/>
      </c>
    </row>
    <row r="1421" customFormat="false" ht="15" hidden="false" customHeight="false" outlineLevel="0" collapsed="false">
      <c r="A1421" s="33"/>
      <c r="B1421" s="27"/>
      <c r="C1421" s="27"/>
      <c r="D1421" s="27"/>
      <c r="E1421" s="27"/>
      <c r="F1421" s="34"/>
      <c r="G1421" s="27"/>
      <c r="H1421" s="27"/>
      <c r="I1421" s="28" t="str">
        <f aca="false">IF(C1421="","",IFERROR(INDEX(Settings!$C$8:$C$19,MATCH(C1421,Settings!$B$8:$B$19,0)),"?"))</f>
        <v/>
      </c>
      <c r="J1421" s="28" t="str">
        <f aca="false">IF(G1421="","",IFERROR(INDEX(Settings!$C$8:$C$19,MATCH(G1421,Settings!$B$8:$B$19,0)),"?"))</f>
        <v/>
      </c>
      <c r="K1421" s="35" t="str">
        <f aca="false">IF(A1421="","",DATE(YEAR(A1421),MONTH(A1421),1))</f>
        <v/>
      </c>
      <c r="L1421" s="28" t="str">
        <f aca="false">IF(E1421="","",IFERROR(INDEX(Settings!$K$8:$K$38,MATCH(E1421,Settings!$H$8:$H$38,0))&amp;"",""))</f>
        <v/>
      </c>
    </row>
    <row r="1422" customFormat="false" ht="15" hidden="false" customHeight="false" outlineLevel="0" collapsed="false">
      <c r="A1422" s="33"/>
      <c r="B1422" s="27"/>
      <c r="C1422" s="27"/>
      <c r="D1422" s="27"/>
      <c r="E1422" s="27"/>
      <c r="F1422" s="34"/>
      <c r="G1422" s="27"/>
      <c r="H1422" s="27"/>
      <c r="I1422" s="28" t="str">
        <f aca="false">IF(C1422="","",IFERROR(INDEX(Settings!$C$8:$C$19,MATCH(C1422,Settings!$B$8:$B$19,0)),"?"))</f>
        <v/>
      </c>
      <c r="J1422" s="28" t="str">
        <f aca="false">IF(G1422="","",IFERROR(INDEX(Settings!$C$8:$C$19,MATCH(G1422,Settings!$B$8:$B$19,0)),"?"))</f>
        <v/>
      </c>
      <c r="K1422" s="35" t="str">
        <f aca="false">IF(A1422="","",DATE(YEAR(A1422),MONTH(A1422),1))</f>
        <v/>
      </c>
      <c r="L1422" s="28" t="str">
        <f aca="false">IF(E1422="","",IFERROR(INDEX(Settings!$K$8:$K$38,MATCH(E1422,Settings!$H$8:$H$38,0))&amp;"",""))</f>
        <v/>
      </c>
    </row>
    <row r="1423" customFormat="false" ht="15" hidden="false" customHeight="false" outlineLevel="0" collapsed="false">
      <c r="A1423" s="33"/>
      <c r="B1423" s="27"/>
      <c r="C1423" s="27"/>
      <c r="D1423" s="27"/>
      <c r="E1423" s="27"/>
      <c r="F1423" s="34"/>
      <c r="G1423" s="27"/>
      <c r="H1423" s="27"/>
      <c r="I1423" s="28" t="str">
        <f aca="false">IF(C1423="","",IFERROR(INDEX(Settings!$C$8:$C$19,MATCH(C1423,Settings!$B$8:$B$19,0)),"?"))</f>
        <v/>
      </c>
      <c r="J1423" s="28" t="str">
        <f aca="false">IF(G1423="","",IFERROR(INDEX(Settings!$C$8:$C$19,MATCH(G1423,Settings!$B$8:$B$19,0)),"?"))</f>
        <v/>
      </c>
      <c r="K1423" s="35" t="str">
        <f aca="false">IF(A1423="","",DATE(YEAR(A1423),MONTH(A1423),1))</f>
        <v/>
      </c>
      <c r="L1423" s="28" t="str">
        <f aca="false">IF(E1423="","",IFERROR(INDEX(Settings!$K$8:$K$38,MATCH(E1423,Settings!$H$8:$H$38,0))&amp;"",""))</f>
        <v/>
      </c>
    </row>
    <row r="1424" customFormat="false" ht="15" hidden="false" customHeight="false" outlineLevel="0" collapsed="false">
      <c r="A1424" s="33"/>
      <c r="B1424" s="27"/>
      <c r="C1424" s="27"/>
      <c r="D1424" s="27"/>
      <c r="E1424" s="27"/>
      <c r="F1424" s="34"/>
      <c r="G1424" s="27"/>
      <c r="H1424" s="27"/>
      <c r="I1424" s="28" t="str">
        <f aca="false">IF(C1424="","",IFERROR(INDEX(Settings!$C$8:$C$19,MATCH(C1424,Settings!$B$8:$B$19,0)),"?"))</f>
        <v/>
      </c>
      <c r="J1424" s="28" t="str">
        <f aca="false">IF(G1424="","",IFERROR(INDEX(Settings!$C$8:$C$19,MATCH(G1424,Settings!$B$8:$B$19,0)),"?"))</f>
        <v/>
      </c>
      <c r="K1424" s="35" t="str">
        <f aca="false">IF(A1424="","",DATE(YEAR(A1424),MONTH(A1424),1))</f>
        <v/>
      </c>
      <c r="L1424" s="28" t="str">
        <f aca="false">IF(E1424="","",IFERROR(INDEX(Settings!$K$8:$K$38,MATCH(E1424,Settings!$H$8:$H$38,0))&amp;"",""))</f>
        <v/>
      </c>
    </row>
    <row r="1425" customFormat="false" ht="15" hidden="false" customHeight="false" outlineLevel="0" collapsed="false">
      <c r="A1425" s="33"/>
      <c r="B1425" s="27"/>
      <c r="C1425" s="27"/>
      <c r="D1425" s="27"/>
      <c r="E1425" s="27"/>
      <c r="F1425" s="34"/>
      <c r="G1425" s="27"/>
      <c r="H1425" s="27"/>
      <c r="I1425" s="28" t="str">
        <f aca="false">IF(C1425="","",IFERROR(INDEX(Settings!$C$8:$C$19,MATCH(C1425,Settings!$B$8:$B$19,0)),"?"))</f>
        <v/>
      </c>
      <c r="J1425" s="28" t="str">
        <f aca="false">IF(G1425="","",IFERROR(INDEX(Settings!$C$8:$C$19,MATCH(G1425,Settings!$B$8:$B$19,0)),"?"))</f>
        <v/>
      </c>
      <c r="K1425" s="35" t="str">
        <f aca="false">IF(A1425="","",DATE(YEAR(A1425),MONTH(A1425),1))</f>
        <v/>
      </c>
      <c r="L1425" s="28" t="str">
        <f aca="false">IF(E1425="","",IFERROR(INDEX(Settings!$K$8:$K$38,MATCH(E1425,Settings!$H$8:$H$38,0))&amp;"",""))</f>
        <v/>
      </c>
    </row>
    <row r="1426" customFormat="false" ht="15" hidden="false" customHeight="false" outlineLevel="0" collapsed="false">
      <c r="A1426" s="33"/>
      <c r="B1426" s="27"/>
      <c r="C1426" s="27"/>
      <c r="D1426" s="27"/>
      <c r="E1426" s="27"/>
      <c r="F1426" s="34"/>
      <c r="G1426" s="27"/>
      <c r="H1426" s="27"/>
      <c r="I1426" s="28" t="str">
        <f aca="false">IF(C1426="","",IFERROR(INDEX(Settings!$C$8:$C$19,MATCH(C1426,Settings!$B$8:$B$19,0)),"?"))</f>
        <v/>
      </c>
      <c r="J1426" s="28" t="str">
        <f aca="false">IF(G1426="","",IFERROR(INDEX(Settings!$C$8:$C$19,MATCH(G1426,Settings!$B$8:$B$19,0)),"?"))</f>
        <v/>
      </c>
      <c r="K1426" s="35" t="str">
        <f aca="false">IF(A1426="","",DATE(YEAR(A1426),MONTH(A1426),1))</f>
        <v/>
      </c>
      <c r="L1426" s="28" t="str">
        <f aca="false">IF(E1426="","",IFERROR(INDEX(Settings!$K$8:$K$38,MATCH(E1426,Settings!$H$8:$H$38,0))&amp;"",""))</f>
        <v/>
      </c>
    </row>
    <row r="1427" customFormat="false" ht="15" hidden="false" customHeight="false" outlineLevel="0" collapsed="false">
      <c r="A1427" s="33"/>
      <c r="B1427" s="27"/>
      <c r="C1427" s="27"/>
      <c r="D1427" s="27"/>
      <c r="E1427" s="27"/>
      <c r="F1427" s="34"/>
      <c r="G1427" s="27"/>
      <c r="H1427" s="27"/>
      <c r="I1427" s="28" t="str">
        <f aca="false">IF(C1427="","",IFERROR(INDEX(Settings!$C$8:$C$19,MATCH(C1427,Settings!$B$8:$B$19,0)),"?"))</f>
        <v/>
      </c>
      <c r="J1427" s="28" t="str">
        <f aca="false">IF(G1427="","",IFERROR(INDEX(Settings!$C$8:$C$19,MATCH(G1427,Settings!$B$8:$B$19,0)),"?"))</f>
        <v/>
      </c>
      <c r="K1427" s="35" t="str">
        <f aca="false">IF(A1427="","",DATE(YEAR(A1427),MONTH(A1427),1))</f>
        <v/>
      </c>
      <c r="L1427" s="28" t="str">
        <f aca="false">IF(E1427="","",IFERROR(INDEX(Settings!$K$8:$K$38,MATCH(E1427,Settings!$H$8:$H$38,0))&amp;"",""))</f>
        <v/>
      </c>
    </row>
    <row r="1428" customFormat="false" ht="15" hidden="false" customHeight="false" outlineLevel="0" collapsed="false">
      <c r="A1428" s="33"/>
      <c r="B1428" s="27"/>
      <c r="C1428" s="27"/>
      <c r="D1428" s="27"/>
      <c r="E1428" s="27"/>
      <c r="F1428" s="34"/>
      <c r="G1428" s="27"/>
      <c r="H1428" s="27"/>
      <c r="I1428" s="28" t="str">
        <f aca="false">IF(C1428="","",IFERROR(INDEX(Settings!$C$8:$C$19,MATCH(C1428,Settings!$B$8:$B$19,0)),"?"))</f>
        <v/>
      </c>
      <c r="J1428" s="28" t="str">
        <f aca="false">IF(G1428="","",IFERROR(INDEX(Settings!$C$8:$C$19,MATCH(G1428,Settings!$B$8:$B$19,0)),"?"))</f>
        <v/>
      </c>
      <c r="K1428" s="35" t="str">
        <f aca="false">IF(A1428="","",DATE(YEAR(A1428),MONTH(A1428),1))</f>
        <v/>
      </c>
      <c r="L1428" s="28" t="str">
        <f aca="false">IF(E1428="","",IFERROR(INDEX(Settings!$K$8:$K$38,MATCH(E1428,Settings!$H$8:$H$38,0))&amp;"",""))</f>
        <v/>
      </c>
    </row>
    <row r="1429" customFormat="false" ht="15" hidden="false" customHeight="false" outlineLevel="0" collapsed="false">
      <c r="A1429" s="33"/>
      <c r="B1429" s="27"/>
      <c r="C1429" s="27"/>
      <c r="D1429" s="27"/>
      <c r="E1429" s="27"/>
      <c r="F1429" s="34"/>
      <c r="G1429" s="27"/>
      <c r="H1429" s="27"/>
      <c r="I1429" s="28" t="str">
        <f aca="false">IF(C1429="","",IFERROR(INDEX(Settings!$C$8:$C$19,MATCH(C1429,Settings!$B$8:$B$19,0)),"?"))</f>
        <v/>
      </c>
      <c r="J1429" s="28" t="str">
        <f aca="false">IF(G1429="","",IFERROR(INDEX(Settings!$C$8:$C$19,MATCH(G1429,Settings!$B$8:$B$19,0)),"?"))</f>
        <v/>
      </c>
      <c r="K1429" s="35" t="str">
        <f aca="false">IF(A1429="","",DATE(YEAR(A1429),MONTH(A1429),1))</f>
        <v/>
      </c>
      <c r="L1429" s="28" t="str">
        <f aca="false">IF(E1429="","",IFERROR(INDEX(Settings!$K$8:$K$38,MATCH(E1429,Settings!$H$8:$H$38,0))&amp;"",""))</f>
        <v/>
      </c>
    </row>
    <row r="1430" customFormat="false" ht="15" hidden="false" customHeight="false" outlineLevel="0" collapsed="false">
      <c r="A1430" s="33"/>
      <c r="B1430" s="27"/>
      <c r="C1430" s="27"/>
      <c r="D1430" s="27"/>
      <c r="E1430" s="27"/>
      <c r="F1430" s="34"/>
      <c r="G1430" s="27"/>
      <c r="H1430" s="27"/>
      <c r="I1430" s="28" t="str">
        <f aca="false">IF(C1430="","",IFERROR(INDEX(Settings!$C$8:$C$19,MATCH(C1430,Settings!$B$8:$B$19,0)),"?"))</f>
        <v/>
      </c>
      <c r="J1430" s="28" t="str">
        <f aca="false">IF(G1430="","",IFERROR(INDEX(Settings!$C$8:$C$19,MATCH(G1430,Settings!$B$8:$B$19,0)),"?"))</f>
        <v/>
      </c>
      <c r="K1430" s="35" t="str">
        <f aca="false">IF(A1430="","",DATE(YEAR(A1430),MONTH(A1430),1))</f>
        <v/>
      </c>
      <c r="L1430" s="28" t="str">
        <f aca="false">IF(E1430="","",IFERROR(INDEX(Settings!$K$8:$K$38,MATCH(E1430,Settings!$H$8:$H$38,0))&amp;"",""))</f>
        <v/>
      </c>
    </row>
    <row r="1431" customFormat="false" ht="15" hidden="false" customHeight="false" outlineLevel="0" collapsed="false">
      <c r="A1431" s="33"/>
      <c r="B1431" s="27"/>
      <c r="C1431" s="27"/>
      <c r="D1431" s="27"/>
      <c r="E1431" s="27"/>
      <c r="F1431" s="34"/>
      <c r="G1431" s="27"/>
      <c r="H1431" s="27"/>
      <c r="I1431" s="28" t="str">
        <f aca="false">IF(C1431="","",IFERROR(INDEX(Settings!$C$8:$C$19,MATCH(C1431,Settings!$B$8:$B$19,0)),"?"))</f>
        <v/>
      </c>
      <c r="J1431" s="28" t="str">
        <f aca="false">IF(G1431="","",IFERROR(INDEX(Settings!$C$8:$C$19,MATCH(G1431,Settings!$B$8:$B$19,0)),"?"))</f>
        <v/>
      </c>
      <c r="K1431" s="35" t="str">
        <f aca="false">IF(A1431="","",DATE(YEAR(A1431),MONTH(A1431),1))</f>
        <v/>
      </c>
      <c r="L1431" s="28" t="str">
        <f aca="false">IF(E1431="","",IFERROR(INDEX(Settings!$K$8:$K$38,MATCH(E1431,Settings!$H$8:$H$38,0))&amp;"",""))</f>
        <v/>
      </c>
    </row>
    <row r="1432" customFormat="false" ht="15" hidden="false" customHeight="false" outlineLevel="0" collapsed="false">
      <c r="A1432" s="33"/>
      <c r="B1432" s="27"/>
      <c r="C1432" s="27"/>
      <c r="D1432" s="27"/>
      <c r="E1432" s="27"/>
      <c r="F1432" s="34"/>
      <c r="G1432" s="27"/>
      <c r="H1432" s="27"/>
      <c r="I1432" s="28" t="str">
        <f aca="false">IF(C1432="","",IFERROR(INDEX(Settings!$C$8:$C$19,MATCH(C1432,Settings!$B$8:$B$19,0)),"?"))</f>
        <v/>
      </c>
      <c r="J1432" s="28" t="str">
        <f aca="false">IF(G1432="","",IFERROR(INDEX(Settings!$C$8:$C$19,MATCH(G1432,Settings!$B$8:$B$19,0)),"?"))</f>
        <v/>
      </c>
      <c r="K1432" s="35" t="str">
        <f aca="false">IF(A1432="","",DATE(YEAR(A1432),MONTH(A1432),1))</f>
        <v/>
      </c>
      <c r="L1432" s="28" t="str">
        <f aca="false">IF(E1432="","",IFERROR(INDEX(Settings!$K$8:$K$38,MATCH(E1432,Settings!$H$8:$H$38,0))&amp;"",""))</f>
        <v/>
      </c>
    </row>
    <row r="1433" customFormat="false" ht="15" hidden="false" customHeight="false" outlineLevel="0" collapsed="false">
      <c r="A1433" s="33"/>
      <c r="B1433" s="27"/>
      <c r="C1433" s="27"/>
      <c r="D1433" s="27"/>
      <c r="E1433" s="27"/>
      <c r="F1433" s="34"/>
      <c r="G1433" s="27"/>
      <c r="H1433" s="27"/>
      <c r="I1433" s="28" t="str">
        <f aca="false">IF(C1433="","",IFERROR(INDEX(Settings!$C$8:$C$19,MATCH(C1433,Settings!$B$8:$B$19,0)),"?"))</f>
        <v/>
      </c>
      <c r="J1433" s="28" t="str">
        <f aca="false">IF(G1433="","",IFERROR(INDEX(Settings!$C$8:$C$19,MATCH(G1433,Settings!$B$8:$B$19,0)),"?"))</f>
        <v/>
      </c>
      <c r="K1433" s="35" t="str">
        <f aca="false">IF(A1433="","",DATE(YEAR(A1433),MONTH(A1433),1))</f>
        <v/>
      </c>
      <c r="L1433" s="28" t="str">
        <f aca="false">IF(E1433="","",IFERROR(INDEX(Settings!$K$8:$K$38,MATCH(E1433,Settings!$H$8:$H$38,0))&amp;"",""))</f>
        <v/>
      </c>
    </row>
    <row r="1434" customFormat="false" ht="15" hidden="false" customHeight="false" outlineLevel="0" collapsed="false">
      <c r="A1434" s="33"/>
      <c r="B1434" s="27"/>
      <c r="C1434" s="27"/>
      <c r="D1434" s="27"/>
      <c r="E1434" s="27"/>
      <c r="F1434" s="34"/>
      <c r="G1434" s="27"/>
      <c r="H1434" s="27"/>
      <c r="I1434" s="28" t="str">
        <f aca="false">IF(C1434="","",IFERROR(INDEX(Settings!$C$8:$C$19,MATCH(C1434,Settings!$B$8:$B$19,0)),"?"))</f>
        <v/>
      </c>
      <c r="J1434" s="28" t="str">
        <f aca="false">IF(G1434="","",IFERROR(INDEX(Settings!$C$8:$C$19,MATCH(G1434,Settings!$B$8:$B$19,0)),"?"))</f>
        <v/>
      </c>
      <c r="K1434" s="35" t="str">
        <f aca="false">IF(A1434="","",DATE(YEAR(A1434),MONTH(A1434),1))</f>
        <v/>
      </c>
      <c r="L1434" s="28" t="str">
        <f aca="false">IF(E1434="","",IFERROR(INDEX(Settings!$K$8:$K$38,MATCH(E1434,Settings!$H$8:$H$38,0))&amp;"",""))</f>
        <v/>
      </c>
    </row>
    <row r="1435" customFormat="false" ht="15" hidden="false" customHeight="false" outlineLevel="0" collapsed="false">
      <c r="A1435" s="33"/>
      <c r="B1435" s="27"/>
      <c r="C1435" s="27"/>
      <c r="D1435" s="27"/>
      <c r="E1435" s="27"/>
      <c r="F1435" s="34"/>
      <c r="G1435" s="27"/>
      <c r="H1435" s="27"/>
      <c r="I1435" s="28" t="str">
        <f aca="false">IF(C1435="","",IFERROR(INDEX(Settings!$C$8:$C$19,MATCH(C1435,Settings!$B$8:$B$19,0)),"?"))</f>
        <v/>
      </c>
      <c r="J1435" s="28" t="str">
        <f aca="false">IF(G1435="","",IFERROR(INDEX(Settings!$C$8:$C$19,MATCH(G1435,Settings!$B$8:$B$19,0)),"?"))</f>
        <v/>
      </c>
      <c r="K1435" s="35" t="str">
        <f aca="false">IF(A1435="","",DATE(YEAR(A1435),MONTH(A1435),1))</f>
        <v/>
      </c>
      <c r="L1435" s="28" t="str">
        <f aca="false">IF(E1435="","",IFERROR(INDEX(Settings!$K$8:$K$38,MATCH(E1435,Settings!$H$8:$H$38,0))&amp;"",""))</f>
        <v/>
      </c>
    </row>
    <row r="1436" customFormat="false" ht="15" hidden="false" customHeight="false" outlineLevel="0" collapsed="false">
      <c r="A1436" s="33"/>
      <c r="B1436" s="27"/>
      <c r="C1436" s="27"/>
      <c r="D1436" s="27"/>
      <c r="E1436" s="27"/>
      <c r="F1436" s="34"/>
      <c r="G1436" s="27"/>
      <c r="H1436" s="27"/>
      <c r="I1436" s="28" t="str">
        <f aca="false">IF(C1436="","",IFERROR(INDEX(Settings!$C$8:$C$19,MATCH(C1436,Settings!$B$8:$B$19,0)),"?"))</f>
        <v/>
      </c>
      <c r="J1436" s="28" t="str">
        <f aca="false">IF(G1436="","",IFERROR(INDEX(Settings!$C$8:$C$19,MATCH(G1436,Settings!$B$8:$B$19,0)),"?"))</f>
        <v/>
      </c>
      <c r="K1436" s="35" t="str">
        <f aca="false">IF(A1436="","",DATE(YEAR(A1436),MONTH(A1436),1))</f>
        <v/>
      </c>
      <c r="L1436" s="28" t="str">
        <f aca="false">IF(E1436="","",IFERROR(INDEX(Settings!$K$8:$K$38,MATCH(E1436,Settings!$H$8:$H$38,0))&amp;"",""))</f>
        <v/>
      </c>
    </row>
    <row r="1437" customFormat="false" ht="15" hidden="false" customHeight="false" outlineLevel="0" collapsed="false">
      <c r="A1437" s="33"/>
      <c r="B1437" s="27"/>
      <c r="C1437" s="27"/>
      <c r="D1437" s="27"/>
      <c r="E1437" s="27"/>
      <c r="F1437" s="34"/>
      <c r="G1437" s="27"/>
      <c r="H1437" s="27"/>
      <c r="I1437" s="28" t="str">
        <f aca="false">IF(C1437="","",IFERROR(INDEX(Settings!$C$8:$C$19,MATCH(C1437,Settings!$B$8:$B$19,0)),"?"))</f>
        <v/>
      </c>
      <c r="J1437" s="28" t="str">
        <f aca="false">IF(G1437="","",IFERROR(INDEX(Settings!$C$8:$C$19,MATCH(G1437,Settings!$B$8:$B$19,0)),"?"))</f>
        <v/>
      </c>
      <c r="K1437" s="35" t="str">
        <f aca="false">IF(A1437="","",DATE(YEAR(A1437),MONTH(A1437),1))</f>
        <v/>
      </c>
      <c r="L1437" s="28" t="str">
        <f aca="false">IF(E1437="","",IFERROR(INDEX(Settings!$K$8:$K$38,MATCH(E1437,Settings!$H$8:$H$38,0))&amp;"",""))</f>
        <v/>
      </c>
    </row>
    <row r="1438" customFormat="false" ht="15" hidden="false" customHeight="false" outlineLevel="0" collapsed="false">
      <c r="A1438" s="33"/>
      <c r="B1438" s="27"/>
      <c r="C1438" s="27"/>
      <c r="D1438" s="27"/>
      <c r="E1438" s="27"/>
      <c r="F1438" s="34"/>
      <c r="G1438" s="27"/>
      <c r="H1438" s="27"/>
      <c r="I1438" s="28" t="str">
        <f aca="false">IF(C1438="","",IFERROR(INDEX(Settings!$C$8:$C$19,MATCH(C1438,Settings!$B$8:$B$19,0)),"?"))</f>
        <v/>
      </c>
      <c r="J1438" s="28" t="str">
        <f aca="false">IF(G1438="","",IFERROR(INDEX(Settings!$C$8:$C$19,MATCH(G1438,Settings!$B$8:$B$19,0)),"?"))</f>
        <v/>
      </c>
      <c r="K1438" s="35" t="str">
        <f aca="false">IF(A1438="","",DATE(YEAR(A1438),MONTH(A1438),1))</f>
        <v/>
      </c>
      <c r="L1438" s="28" t="str">
        <f aca="false">IF(E1438="","",IFERROR(INDEX(Settings!$K$8:$K$38,MATCH(E1438,Settings!$H$8:$H$38,0))&amp;"",""))</f>
        <v/>
      </c>
    </row>
    <row r="1439" customFormat="false" ht="15" hidden="false" customHeight="false" outlineLevel="0" collapsed="false">
      <c r="A1439" s="33"/>
      <c r="B1439" s="27"/>
      <c r="C1439" s="27"/>
      <c r="D1439" s="27"/>
      <c r="E1439" s="27"/>
      <c r="F1439" s="34"/>
      <c r="G1439" s="27"/>
      <c r="H1439" s="27"/>
      <c r="I1439" s="28" t="str">
        <f aca="false">IF(C1439="","",IFERROR(INDEX(Settings!$C$8:$C$19,MATCH(C1439,Settings!$B$8:$B$19,0)),"?"))</f>
        <v/>
      </c>
      <c r="J1439" s="28" t="str">
        <f aca="false">IF(G1439="","",IFERROR(INDEX(Settings!$C$8:$C$19,MATCH(G1439,Settings!$B$8:$B$19,0)),"?"))</f>
        <v/>
      </c>
      <c r="K1439" s="35" t="str">
        <f aca="false">IF(A1439="","",DATE(YEAR(A1439),MONTH(A1439),1))</f>
        <v/>
      </c>
      <c r="L1439" s="28" t="str">
        <f aca="false">IF(E1439="","",IFERROR(INDEX(Settings!$K$8:$K$38,MATCH(E1439,Settings!$H$8:$H$38,0))&amp;"",""))</f>
        <v/>
      </c>
    </row>
    <row r="1440" customFormat="false" ht="15" hidden="false" customHeight="false" outlineLevel="0" collapsed="false">
      <c r="A1440" s="33"/>
      <c r="B1440" s="27"/>
      <c r="C1440" s="27"/>
      <c r="D1440" s="27"/>
      <c r="E1440" s="27"/>
      <c r="F1440" s="34"/>
      <c r="G1440" s="27"/>
      <c r="H1440" s="27"/>
      <c r="I1440" s="28" t="str">
        <f aca="false">IF(C1440="","",IFERROR(INDEX(Settings!$C$8:$C$19,MATCH(C1440,Settings!$B$8:$B$19,0)),"?"))</f>
        <v/>
      </c>
      <c r="J1440" s="28" t="str">
        <f aca="false">IF(G1440="","",IFERROR(INDEX(Settings!$C$8:$C$19,MATCH(G1440,Settings!$B$8:$B$19,0)),"?"))</f>
        <v/>
      </c>
      <c r="K1440" s="35" t="str">
        <f aca="false">IF(A1440="","",DATE(YEAR(A1440),MONTH(A1440),1))</f>
        <v/>
      </c>
      <c r="L1440" s="28" t="str">
        <f aca="false">IF(E1440="","",IFERROR(INDEX(Settings!$K$8:$K$38,MATCH(E1440,Settings!$H$8:$H$38,0))&amp;"",""))</f>
        <v/>
      </c>
    </row>
    <row r="1441" customFormat="false" ht="15" hidden="false" customHeight="false" outlineLevel="0" collapsed="false">
      <c r="A1441" s="33"/>
      <c r="B1441" s="27"/>
      <c r="C1441" s="27"/>
      <c r="D1441" s="27"/>
      <c r="E1441" s="27"/>
      <c r="F1441" s="34"/>
      <c r="G1441" s="27"/>
      <c r="H1441" s="27"/>
      <c r="I1441" s="28" t="str">
        <f aca="false">IF(C1441="","",IFERROR(INDEX(Settings!$C$8:$C$19,MATCH(C1441,Settings!$B$8:$B$19,0)),"?"))</f>
        <v/>
      </c>
      <c r="J1441" s="28" t="str">
        <f aca="false">IF(G1441="","",IFERROR(INDEX(Settings!$C$8:$C$19,MATCH(G1441,Settings!$B$8:$B$19,0)),"?"))</f>
        <v/>
      </c>
      <c r="K1441" s="35" t="str">
        <f aca="false">IF(A1441="","",DATE(YEAR(A1441),MONTH(A1441),1))</f>
        <v/>
      </c>
      <c r="L1441" s="28" t="str">
        <f aca="false">IF(E1441="","",IFERROR(INDEX(Settings!$K$8:$K$38,MATCH(E1441,Settings!$H$8:$H$38,0))&amp;"",""))</f>
        <v/>
      </c>
    </row>
    <row r="1442" customFormat="false" ht="15" hidden="false" customHeight="false" outlineLevel="0" collapsed="false">
      <c r="A1442" s="33"/>
      <c r="B1442" s="27"/>
      <c r="C1442" s="27"/>
      <c r="D1442" s="27"/>
      <c r="E1442" s="27"/>
      <c r="F1442" s="34"/>
      <c r="G1442" s="27"/>
      <c r="H1442" s="27"/>
      <c r="I1442" s="28" t="str">
        <f aca="false">IF(C1442="","",IFERROR(INDEX(Settings!$C$8:$C$19,MATCH(C1442,Settings!$B$8:$B$19,0)),"?"))</f>
        <v/>
      </c>
      <c r="J1442" s="28" t="str">
        <f aca="false">IF(G1442="","",IFERROR(INDEX(Settings!$C$8:$C$19,MATCH(G1442,Settings!$B$8:$B$19,0)),"?"))</f>
        <v/>
      </c>
      <c r="K1442" s="35" t="str">
        <f aca="false">IF(A1442="","",DATE(YEAR(A1442),MONTH(A1442),1))</f>
        <v/>
      </c>
      <c r="L1442" s="28" t="str">
        <f aca="false">IF(E1442="","",IFERROR(INDEX(Settings!$K$8:$K$38,MATCH(E1442,Settings!$H$8:$H$38,0))&amp;"",""))</f>
        <v/>
      </c>
    </row>
    <row r="1443" customFormat="false" ht="15" hidden="false" customHeight="false" outlineLevel="0" collapsed="false">
      <c r="A1443" s="33"/>
      <c r="B1443" s="27"/>
      <c r="C1443" s="27"/>
      <c r="D1443" s="27"/>
      <c r="E1443" s="27"/>
      <c r="F1443" s="34"/>
      <c r="G1443" s="27"/>
      <c r="H1443" s="27"/>
      <c r="I1443" s="28" t="str">
        <f aca="false">IF(C1443="","",IFERROR(INDEX(Settings!$C$8:$C$19,MATCH(C1443,Settings!$B$8:$B$19,0)),"?"))</f>
        <v/>
      </c>
      <c r="J1443" s="28" t="str">
        <f aca="false">IF(G1443="","",IFERROR(INDEX(Settings!$C$8:$C$19,MATCH(G1443,Settings!$B$8:$B$19,0)),"?"))</f>
        <v/>
      </c>
      <c r="K1443" s="35" t="str">
        <f aca="false">IF(A1443="","",DATE(YEAR(A1443),MONTH(A1443),1))</f>
        <v/>
      </c>
      <c r="L1443" s="28" t="str">
        <f aca="false">IF(E1443="","",IFERROR(INDEX(Settings!$K$8:$K$38,MATCH(E1443,Settings!$H$8:$H$38,0))&amp;"",""))</f>
        <v/>
      </c>
    </row>
    <row r="1444" customFormat="false" ht="15" hidden="false" customHeight="false" outlineLevel="0" collapsed="false">
      <c r="A1444" s="33"/>
      <c r="B1444" s="27"/>
      <c r="C1444" s="27"/>
      <c r="D1444" s="27"/>
      <c r="E1444" s="27"/>
      <c r="F1444" s="34"/>
      <c r="G1444" s="27"/>
      <c r="H1444" s="27"/>
      <c r="I1444" s="28" t="str">
        <f aca="false">IF(C1444="","",IFERROR(INDEX(Settings!$C$8:$C$19,MATCH(C1444,Settings!$B$8:$B$19,0)),"?"))</f>
        <v/>
      </c>
      <c r="J1444" s="28" t="str">
        <f aca="false">IF(G1444="","",IFERROR(INDEX(Settings!$C$8:$C$19,MATCH(G1444,Settings!$B$8:$B$19,0)),"?"))</f>
        <v/>
      </c>
      <c r="K1444" s="35" t="str">
        <f aca="false">IF(A1444="","",DATE(YEAR(A1444),MONTH(A1444),1))</f>
        <v/>
      </c>
      <c r="L1444" s="28" t="str">
        <f aca="false">IF(E1444="","",IFERROR(INDEX(Settings!$K$8:$K$38,MATCH(E1444,Settings!$H$8:$H$38,0))&amp;"",""))</f>
        <v/>
      </c>
    </row>
    <row r="1445" customFormat="false" ht="15" hidden="false" customHeight="false" outlineLevel="0" collapsed="false">
      <c r="A1445" s="33"/>
      <c r="B1445" s="27"/>
      <c r="C1445" s="27"/>
      <c r="D1445" s="27"/>
      <c r="E1445" s="27"/>
      <c r="F1445" s="34"/>
      <c r="G1445" s="27"/>
      <c r="H1445" s="27"/>
      <c r="I1445" s="28" t="str">
        <f aca="false">IF(C1445="","",IFERROR(INDEX(Settings!$C$8:$C$19,MATCH(C1445,Settings!$B$8:$B$19,0)),"?"))</f>
        <v/>
      </c>
      <c r="J1445" s="28" t="str">
        <f aca="false">IF(G1445="","",IFERROR(INDEX(Settings!$C$8:$C$19,MATCH(G1445,Settings!$B$8:$B$19,0)),"?"))</f>
        <v/>
      </c>
      <c r="K1445" s="35" t="str">
        <f aca="false">IF(A1445="","",DATE(YEAR(A1445),MONTH(A1445),1))</f>
        <v/>
      </c>
      <c r="L1445" s="28" t="str">
        <f aca="false">IF(E1445="","",IFERROR(INDEX(Settings!$K$8:$K$38,MATCH(E1445,Settings!$H$8:$H$38,0))&amp;"",""))</f>
        <v/>
      </c>
    </row>
    <row r="1446" customFormat="false" ht="15" hidden="false" customHeight="false" outlineLevel="0" collapsed="false">
      <c r="A1446" s="33"/>
      <c r="B1446" s="27"/>
      <c r="C1446" s="27"/>
      <c r="D1446" s="27"/>
      <c r="E1446" s="27"/>
      <c r="F1446" s="34"/>
      <c r="G1446" s="27"/>
      <c r="H1446" s="27"/>
      <c r="I1446" s="28" t="str">
        <f aca="false">IF(C1446="","",IFERROR(INDEX(Settings!$C$8:$C$19,MATCH(C1446,Settings!$B$8:$B$19,0)),"?"))</f>
        <v/>
      </c>
      <c r="J1446" s="28" t="str">
        <f aca="false">IF(G1446="","",IFERROR(INDEX(Settings!$C$8:$C$19,MATCH(G1446,Settings!$B$8:$B$19,0)),"?"))</f>
        <v/>
      </c>
      <c r="K1446" s="35" t="str">
        <f aca="false">IF(A1446="","",DATE(YEAR(A1446),MONTH(A1446),1))</f>
        <v/>
      </c>
      <c r="L1446" s="28" t="str">
        <f aca="false">IF(E1446="","",IFERROR(INDEX(Settings!$K$8:$K$38,MATCH(E1446,Settings!$H$8:$H$38,0))&amp;"",""))</f>
        <v/>
      </c>
    </row>
    <row r="1447" customFormat="false" ht="15" hidden="false" customHeight="false" outlineLevel="0" collapsed="false">
      <c r="A1447" s="33"/>
      <c r="B1447" s="27"/>
      <c r="C1447" s="27"/>
      <c r="D1447" s="27"/>
      <c r="E1447" s="27"/>
      <c r="F1447" s="34"/>
      <c r="G1447" s="27"/>
      <c r="H1447" s="27"/>
      <c r="I1447" s="28" t="str">
        <f aca="false">IF(C1447="","",IFERROR(INDEX(Settings!$C$8:$C$19,MATCH(C1447,Settings!$B$8:$B$19,0)),"?"))</f>
        <v/>
      </c>
      <c r="J1447" s="28" t="str">
        <f aca="false">IF(G1447="","",IFERROR(INDEX(Settings!$C$8:$C$19,MATCH(G1447,Settings!$B$8:$B$19,0)),"?"))</f>
        <v/>
      </c>
      <c r="K1447" s="35" t="str">
        <f aca="false">IF(A1447="","",DATE(YEAR(A1447),MONTH(A1447),1))</f>
        <v/>
      </c>
      <c r="L1447" s="28" t="str">
        <f aca="false">IF(E1447="","",IFERROR(INDEX(Settings!$K$8:$K$38,MATCH(E1447,Settings!$H$8:$H$38,0))&amp;"",""))</f>
        <v/>
      </c>
    </row>
    <row r="1448" customFormat="false" ht="15" hidden="false" customHeight="false" outlineLevel="0" collapsed="false">
      <c r="A1448" s="33"/>
      <c r="B1448" s="27"/>
      <c r="C1448" s="27"/>
      <c r="D1448" s="27"/>
      <c r="E1448" s="27"/>
      <c r="F1448" s="34"/>
      <c r="G1448" s="27"/>
      <c r="H1448" s="27"/>
      <c r="I1448" s="28" t="str">
        <f aca="false">IF(C1448="","",IFERROR(INDEX(Settings!$C$8:$C$19,MATCH(C1448,Settings!$B$8:$B$19,0)),"?"))</f>
        <v/>
      </c>
      <c r="J1448" s="28" t="str">
        <f aca="false">IF(G1448="","",IFERROR(INDEX(Settings!$C$8:$C$19,MATCH(G1448,Settings!$B$8:$B$19,0)),"?"))</f>
        <v/>
      </c>
      <c r="K1448" s="35" t="str">
        <f aca="false">IF(A1448="","",DATE(YEAR(A1448),MONTH(A1448),1))</f>
        <v/>
      </c>
      <c r="L1448" s="28" t="str">
        <f aca="false">IF(E1448="","",IFERROR(INDEX(Settings!$K$8:$K$38,MATCH(E1448,Settings!$H$8:$H$38,0))&amp;"",""))</f>
        <v/>
      </c>
    </row>
    <row r="1449" customFormat="false" ht="15" hidden="false" customHeight="false" outlineLevel="0" collapsed="false">
      <c r="A1449" s="33"/>
      <c r="B1449" s="27"/>
      <c r="C1449" s="27"/>
      <c r="D1449" s="27"/>
      <c r="E1449" s="27"/>
      <c r="F1449" s="34"/>
      <c r="G1449" s="27"/>
      <c r="H1449" s="27"/>
      <c r="I1449" s="28" t="str">
        <f aca="false">IF(C1449="","",IFERROR(INDEX(Settings!$C$8:$C$19,MATCH(C1449,Settings!$B$8:$B$19,0)),"?"))</f>
        <v/>
      </c>
      <c r="J1449" s="28" t="str">
        <f aca="false">IF(G1449="","",IFERROR(INDEX(Settings!$C$8:$C$19,MATCH(G1449,Settings!$B$8:$B$19,0)),"?"))</f>
        <v/>
      </c>
      <c r="K1449" s="35" t="str">
        <f aca="false">IF(A1449="","",DATE(YEAR(A1449),MONTH(A1449),1))</f>
        <v/>
      </c>
      <c r="L1449" s="28" t="str">
        <f aca="false">IF(E1449="","",IFERROR(INDEX(Settings!$K$8:$K$38,MATCH(E1449,Settings!$H$8:$H$38,0))&amp;"",""))</f>
        <v/>
      </c>
    </row>
    <row r="1450" customFormat="false" ht="15" hidden="false" customHeight="false" outlineLevel="0" collapsed="false">
      <c r="A1450" s="33"/>
      <c r="B1450" s="27"/>
      <c r="C1450" s="27"/>
      <c r="D1450" s="27"/>
      <c r="E1450" s="27"/>
      <c r="F1450" s="34"/>
      <c r="G1450" s="27"/>
      <c r="H1450" s="27"/>
      <c r="I1450" s="28" t="str">
        <f aca="false">IF(C1450="","",IFERROR(INDEX(Settings!$C$8:$C$19,MATCH(C1450,Settings!$B$8:$B$19,0)),"?"))</f>
        <v/>
      </c>
      <c r="J1450" s="28" t="str">
        <f aca="false">IF(G1450="","",IFERROR(INDEX(Settings!$C$8:$C$19,MATCH(G1450,Settings!$B$8:$B$19,0)),"?"))</f>
        <v/>
      </c>
      <c r="K1450" s="35" t="str">
        <f aca="false">IF(A1450="","",DATE(YEAR(A1450),MONTH(A1450),1))</f>
        <v/>
      </c>
      <c r="L1450" s="28" t="str">
        <f aca="false">IF(E1450="","",IFERROR(INDEX(Settings!$K$8:$K$38,MATCH(E1450,Settings!$H$8:$H$38,0))&amp;"",""))</f>
        <v/>
      </c>
    </row>
    <row r="1451" customFormat="false" ht="15" hidden="false" customHeight="false" outlineLevel="0" collapsed="false">
      <c r="A1451" s="33"/>
      <c r="B1451" s="27"/>
      <c r="C1451" s="27"/>
      <c r="D1451" s="27"/>
      <c r="E1451" s="27"/>
      <c r="F1451" s="34"/>
      <c r="G1451" s="27"/>
      <c r="H1451" s="27"/>
      <c r="I1451" s="28" t="str">
        <f aca="false">IF(C1451="","",IFERROR(INDEX(Settings!$C$8:$C$19,MATCH(C1451,Settings!$B$8:$B$19,0)),"?"))</f>
        <v/>
      </c>
      <c r="J1451" s="28" t="str">
        <f aca="false">IF(G1451="","",IFERROR(INDEX(Settings!$C$8:$C$19,MATCH(G1451,Settings!$B$8:$B$19,0)),"?"))</f>
        <v/>
      </c>
      <c r="K1451" s="35" t="str">
        <f aca="false">IF(A1451="","",DATE(YEAR(A1451),MONTH(A1451),1))</f>
        <v/>
      </c>
      <c r="L1451" s="28" t="str">
        <f aca="false">IF(E1451="","",IFERROR(INDEX(Settings!$K$8:$K$38,MATCH(E1451,Settings!$H$8:$H$38,0))&amp;"",""))</f>
        <v/>
      </c>
    </row>
    <row r="1452" customFormat="false" ht="15" hidden="false" customHeight="false" outlineLevel="0" collapsed="false">
      <c r="A1452" s="33"/>
      <c r="B1452" s="27"/>
      <c r="C1452" s="27"/>
      <c r="D1452" s="27"/>
      <c r="E1452" s="27"/>
      <c r="F1452" s="34"/>
      <c r="G1452" s="27"/>
      <c r="H1452" s="27"/>
      <c r="I1452" s="28" t="str">
        <f aca="false">IF(C1452="","",IFERROR(INDEX(Settings!$C$8:$C$19,MATCH(C1452,Settings!$B$8:$B$19,0)),"?"))</f>
        <v/>
      </c>
      <c r="J1452" s="28" t="str">
        <f aca="false">IF(G1452="","",IFERROR(INDEX(Settings!$C$8:$C$19,MATCH(G1452,Settings!$B$8:$B$19,0)),"?"))</f>
        <v/>
      </c>
      <c r="K1452" s="35" t="str">
        <f aca="false">IF(A1452="","",DATE(YEAR(A1452),MONTH(A1452),1))</f>
        <v/>
      </c>
      <c r="L1452" s="28" t="str">
        <f aca="false">IF(E1452="","",IFERROR(INDEX(Settings!$K$8:$K$38,MATCH(E1452,Settings!$H$8:$H$38,0))&amp;"",""))</f>
        <v/>
      </c>
    </row>
    <row r="1453" customFormat="false" ht="15" hidden="false" customHeight="false" outlineLevel="0" collapsed="false">
      <c r="A1453" s="33"/>
      <c r="B1453" s="27"/>
      <c r="C1453" s="27"/>
      <c r="D1453" s="27"/>
      <c r="E1453" s="27"/>
      <c r="F1453" s="34"/>
      <c r="G1453" s="27"/>
      <c r="H1453" s="27"/>
      <c r="I1453" s="28" t="str">
        <f aca="false">IF(C1453="","",IFERROR(INDEX(Settings!$C$8:$C$19,MATCH(C1453,Settings!$B$8:$B$19,0)),"?"))</f>
        <v/>
      </c>
      <c r="J1453" s="28" t="str">
        <f aca="false">IF(G1453="","",IFERROR(INDEX(Settings!$C$8:$C$19,MATCH(G1453,Settings!$B$8:$B$19,0)),"?"))</f>
        <v/>
      </c>
      <c r="K1453" s="35" t="str">
        <f aca="false">IF(A1453="","",DATE(YEAR(A1453),MONTH(A1453),1))</f>
        <v/>
      </c>
      <c r="L1453" s="28" t="str">
        <f aca="false">IF(E1453="","",IFERROR(INDEX(Settings!$K$8:$K$38,MATCH(E1453,Settings!$H$8:$H$38,0))&amp;"",""))</f>
        <v/>
      </c>
    </row>
    <row r="1454" customFormat="false" ht="15" hidden="false" customHeight="false" outlineLevel="0" collapsed="false">
      <c r="A1454" s="33"/>
      <c r="B1454" s="27"/>
      <c r="C1454" s="27"/>
      <c r="D1454" s="27"/>
      <c r="E1454" s="27"/>
      <c r="F1454" s="34"/>
      <c r="G1454" s="27"/>
      <c r="H1454" s="27"/>
      <c r="I1454" s="28" t="str">
        <f aca="false">IF(C1454="","",IFERROR(INDEX(Settings!$C$8:$C$19,MATCH(C1454,Settings!$B$8:$B$19,0)),"?"))</f>
        <v/>
      </c>
      <c r="J1454" s="28" t="str">
        <f aca="false">IF(G1454="","",IFERROR(INDEX(Settings!$C$8:$C$19,MATCH(G1454,Settings!$B$8:$B$19,0)),"?"))</f>
        <v/>
      </c>
      <c r="K1454" s="35" t="str">
        <f aca="false">IF(A1454="","",DATE(YEAR(A1454),MONTH(A1454),1))</f>
        <v/>
      </c>
      <c r="L1454" s="28" t="str">
        <f aca="false">IF(E1454="","",IFERROR(INDEX(Settings!$K$8:$K$38,MATCH(E1454,Settings!$H$8:$H$38,0))&amp;"",""))</f>
        <v/>
      </c>
    </row>
    <row r="1455" customFormat="false" ht="15" hidden="false" customHeight="false" outlineLevel="0" collapsed="false">
      <c r="A1455" s="33"/>
      <c r="B1455" s="27"/>
      <c r="C1455" s="27"/>
      <c r="D1455" s="27"/>
      <c r="E1455" s="27"/>
      <c r="F1455" s="34"/>
      <c r="G1455" s="27"/>
      <c r="H1455" s="27"/>
      <c r="I1455" s="28" t="str">
        <f aca="false">IF(C1455="","",IFERROR(INDEX(Settings!$C$8:$C$19,MATCH(C1455,Settings!$B$8:$B$19,0)),"?"))</f>
        <v/>
      </c>
      <c r="J1455" s="28" t="str">
        <f aca="false">IF(G1455="","",IFERROR(INDEX(Settings!$C$8:$C$19,MATCH(G1455,Settings!$B$8:$B$19,0)),"?"))</f>
        <v/>
      </c>
      <c r="K1455" s="35" t="str">
        <f aca="false">IF(A1455="","",DATE(YEAR(A1455),MONTH(A1455),1))</f>
        <v/>
      </c>
      <c r="L1455" s="28" t="str">
        <f aca="false">IF(E1455="","",IFERROR(INDEX(Settings!$K$8:$K$38,MATCH(E1455,Settings!$H$8:$H$38,0))&amp;"",""))</f>
        <v/>
      </c>
    </row>
    <row r="1456" customFormat="false" ht="15" hidden="false" customHeight="false" outlineLevel="0" collapsed="false">
      <c r="A1456" s="33"/>
      <c r="B1456" s="27"/>
      <c r="C1456" s="27"/>
      <c r="D1456" s="27"/>
      <c r="E1456" s="27"/>
      <c r="F1456" s="34"/>
      <c r="G1456" s="27"/>
      <c r="H1456" s="27"/>
      <c r="I1456" s="28" t="str">
        <f aca="false">IF(C1456="","",IFERROR(INDEX(Settings!$C$8:$C$19,MATCH(C1456,Settings!$B$8:$B$19,0)),"?"))</f>
        <v/>
      </c>
      <c r="J1456" s="28" t="str">
        <f aca="false">IF(G1456="","",IFERROR(INDEX(Settings!$C$8:$C$19,MATCH(G1456,Settings!$B$8:$B$19,0)),"?"))</f>
        <v/>
      </c>
      <c r="K1456" s="35" t="str">
        <f aca="false">IF(A1456="","",DATE(YEAR(A1456),MONTH(A1456),1))</f>
        <v/>
      </c>
      <c r="L1456" s="28" t="str">
        <f aca="false">IF(E1456="","",IFERROR(INDEX(Settings!$K$8:$K$38,MATCH(E1456,Settings!$H$8:$H$38,0))&amp;"",""))</f>
        <v/>
      </c>
    </row>
    <row r="1457" customFormat="false" ht="15" hidden="false" customHeight="false" outlineLevel="0" collapsed="false">
      <c r="A1457" s="33"/>
      <c r="B1457" s="27"/>
      <c r="C1457" s="27"/>
      <c r="D1457" s="27"/>
      <c r="E1457" s="27"/>
      <c r="F1457" s="34"/>
      <c r="G1457" s="27"/>
      <c r="H1457" s="27"/>
      <c r="I1457" s="28" t="str">
        <f aca="false">IF(C1457="","",IFERROR(INDEX(Settings!$C$8:$C$19,MATCH(C1457,Settings!$B$8:$B$19,0)),"?"))</f>
        <v/>
      </c>
      <c r="J1457" s="28" t="str">
        <f aca="false">IF(G1457="","",IFERROR(INDEX(Settings!$C$8:$C$19,MATCH(G1457,Settings!$B$8:$B$19,0)),"?"))</f>
        <v/>
      </c>
      <c r="K1457" s="35" t="str">
        <f aca="false">IF(A1457="","",DATE(YEAR(A1457),MONTH(A1457),1))</f>
        <v/>
      </c>
      <c r="L1457" s="28" t="str">
        <f aca="false">IF(E1457="","",IFERROR(INDEX(Settings!$K$8:$K$38,MATCH(E1457,Settings!$H$8:$H$38,0))&amp;"",""))</f>
        <v/>
      </c>
    </row>
    <row r="1458" customFormat="false" ht="15" hidden="false" customHeight="false" outlineLevel="0" collapsed="false">
      <c r="A1458" s="33"/>
      <c r="B1458" s="27"/>
      <c r="C1458" s="27"/>
      <c r="D1458" s="27"/>
      <c r="E1458" s="27"/>
      <c r="F1458" s="34"/>
      <c r="G1458" s="27"/>
      <c r="H1458" s="27"/>
      <c r="I1458" s="28" t="str">
        <f aca="false">IF(C1458="","",IFERROR(INDEX(Settings!$C$8:$C$19,MATCH(C1458,Settings!$B$8:$B$19,0)),"?"))</f>
        <v/>
      </c>
      <c r="J1458" s="28" t="str">
        <f aca="false">IF(G1458="","",IFERROR(INDEX(Settings!$C$8:$C$19,MATCH(G1458,Settings!$B$8:$B$19,0)),"?"))</f>
        <v/>
      </c>
      <c r="K1458" s="35" t="str">
        <f aca="false">IF(A1458="","",DATE(YEAR(A1458),MONTH(A1458),1))</f>
        <v/>
      </c>
      <c r="L1458" s="28" t="str">
        <f aca="false">IF(E1458="","",IFERROR(INDEX(Settings!$K$8:$K$38,MATCH(E1458,Settings!$H$8:$H$38,0))&amp;"",""))</f>
        <v/>
      </c>
    </row>
    <row r="1459" customFormat="false" ht="15" hidden="false" customHeight="false" outlineLevel="0" collapsed="false">
      <c r="A1459" s="33"/>
      <c r="B1459" s="27"/>
      <c r="C1459" s="27"/>
      <c r="D1459" s="27"/>
      <c r="E1459" s="27"/>
      <c r="F1459" s="34"/>
      <c r="G1459" s="27"/>
      <c r="H1459" s="27"/>
      <c r="I1459" s="28" t="str">
        <f aca="false">IF(C1459="","",IFERROR(INDEX(Settings!$C$8:$C$19,MATCH(C1459,Settings!$B$8:$B$19,0)),"?"))</f>
        <v/>
      </c>
      <c r="J1459" s="28" t="str">
        <f aca="false">IF(G1459="","",IFERROR(INDEX(Settings!$C$8:$C$19,MATCH(G1459,Settings!$B$8:$B$19,0)),"?"))</f>
        <v/>
      </c>
      <c r="K1459" s="35" t="str">
        <f aca="false">IF(A1459="","",DATE(YEAR(A1459),MONTH(A1459),1))</f>
        <v/>
      </c>
      <c r="L1459" s="28" t="str">
        <f aca="false">IF(E1459="","",IFERROR(INDEX(Settings!$K$8:$K$38,MATCH(E1459,Settings!$H$8:$H$38,0))&amp;"",""))</f>
        <v/>
      </c>
    </row>
    <row r="1460" customFormat="false" ht="15" hidden="false" customHeight="false" outlineLevel="0" collapsed="false">
      <c r="A1460" s="33"/>
      <c r="B1460" s="27"/>
      <c r="C1460" s="27"/>
      <c r="D1460" s="27"/>
      <c r="E1460" s="27"/>
      <c r="F1460" s="34"/>
      <c r="G1460" s="27"/>
      <c r="H1460" s="27"/>
      <c r="I1460" s="28" t="str">
        <f aca="false">IF(C1460="","",IFERROR(INDEX(Settings!$C$8:$C$19,MATCH(C1460,Settings!$B$8:$B$19,0)),"?"))</f>
        <v/>
      </c>
      <c r="J1460" s="28" t="str">
        <f aca="false">IF(G1460="","",IFERROR(INDEX(Settings!$C$8:$C$19,MATCH(G1460,Settings!$B$8:$B$19,0)),"?"))</f>
        <v/>
      </c>
      <c r="K1460" s="35" t="str">
        <f aca="false">IF(A1460="","",DATE(YEAR(A1460),MONTH(A1460),1))</f>
        <v/>
      </c>
      <c r="L1460" s="28" t="str">
        <f aca="false">IF(E1460="","",IFERROR(INDEX(Settings!$K$8:$K$38,MATCH(E1460,Settings!$H$8:$H$38,0))&amp;"",""))</f>
        <v/>
      </c>
    </row>
    <row r="1461" customFormat="false" ht="15" hidden="false" customHeight="false" outlineLevel="0" collapsed="false">
      <c r="A1461" s="33"/>
      <c r="B1461" s="27"/>
      <c r="C1461" s="27"/>
      <c r="D1461" s="27"/>
      <c r="E1461" s="27"/>
      <c r="F1461" s="34"/>
      <c r="G1461" s="27"/>
      <c r="H1461" s="27"/>
      <c r="I1461" s="28" t="str">
        <f aca="false">IF(C1461="","",IFERROR(INDEX(Settings!$C$8:$C$19,MATCH(C1461,Settings!$B$8:$B$19,0)),"?"))</f>
        <v/>
      </c>
      <c r="J1461" s="28" t="str">
        <f aca="false">IF(G1461="","",IFERROR(INDEX(Settings!$C$8:$C$19,MATCH(G1461,Settings!$B$8:$B$19,0)),"?"))</f>
        <v/>
      </c>
      <c r="K1461" s="35" t="str">
        <f aca="false">IF(A1461="","",DATE(YEAR(A1461),MONTH(A1461),1))</f>
        <v/>
      </c>
      <c r="L1461" s="28" t="str">
        <f aca="false">IF(E1461="","",IFERROR(INDEX(Settings!$K$8:$K$38,MATCH(E1461,Settings!$H$8:$H$38,0))&amp;"",""))</f>
        <v/>
      </c>
    </row>
    <row r="1462" customFormat="false" ht="15" hidden="false" customHeight="false" outlineLevel="0" collapsed="false">
      <c r="A1462" s="33"/>
      <c r="B1462" s="27"/>
      <c r="C1462" s="27"/>
      <c r="D1462" s="27"/>
      <c r="E1462" s="27"/>
      <c r="F1462" s="34"/>
      <c r="G1462" s="27"/>
      <c r="H1462" s="27"/>
      <c r="I1462" s="28" t="str">
        <f aca="false">IF(C1462="","",IFERROR(INDEX(Settings!$C$8:$C$19,MATCH(C1462,Settings!$B$8:$B$19,0)),"?"))</f>
        <v/>
      </c>
      <c r="J1462" s="28" t="str">
        <f aca="false">IF(G1462="","",IFERROR(INDEX(Settings!$C$8:$C$19,MATCH(G1462,Settings!$B$8:$B$19,0)),"?"))</f>
        <v/>
      </c>
      <c r="K1462" s="35" t="str">
        <f aca="false">IF(A1462="","",DATE(YEAR(A1462),MONTH(A1462),1))</f>
        <v/>
      </c>
      <c r="L1462" s="28" t="str">
        <f aca="false">IF(E1462="","",IFERROR(INDEX(Settings!$K$8:$K$38,MATCH(E1462,Settings!$H$8:$H$38,0))&amp;"",""))</f>
        <v/>
      </c>
    </row>
    <row r="1463" customFormat="false" ht="15" hidden="false" customHeight="false" outlineLevel="0" collapsed="false">
      <c r="A1463" s="33"/>
      <c r="B1463" s="27"/>
      <c r="C1463" s="27"/>
      <c r="D1463" s="27"/>
      <c r="E1463" s="27"/>
      <c r="F1463" s="34"/>
      <c r="G1463" s="27"/>
      <c r="H1463" s="27"/>
      <c r="I1463" s="28" t="str">
        <f aca="false">IF(C1463="","",IFERROR(INDEX(Settings!$C$8:$C$19,MATCH(C1463,Settings!$B$8:$B$19,0)),"?"))</f>
        <v/>
      </c>
      <c r="J1463" s="28" t="str">
        <f aca="false">IF(G1463="","",IFERROR(INDEX(Settings!$C$8:$C$19,MATCH(G1463,Settings!$B$8:$B$19,0)),"?"))</f>
        <v/>
      </c>
      <c r="K1463" s="35" t="str">
        <f aca="false">IF(A1463="","",DATE(YEAR(A1463),MONTH(A1463),1))</f>
        <v/>
      </c>
      <c r="L1463" s="28" t="str">
        <f aca="false">IF(E1463="","",IFERROR(INDEX(Settings!$K$8:$K$38,MATCH(E1463,Settings!$H$8:$H$38,0))&amp;"",""))</f>
        <v/>
      </c>
    </row>
    <row r="1464" customFormat="false" ht="15" hidden="false" customHeight="false" outlineLevel="0" collapsed="false">
      <c r="A1464" s="33"/>
      <c r="B1464" s="27"/>
      <c r="C1464" s="27"/>
      <c r="D1464" s="27"/>
      <c r="E1464" s="27"/>
      <c r="F1464" s="34"/>
      <c r="G1464" s="27"/>
      <c r="H1464" s="27"/>
      <c r="I1464" s="28" t="str">
        <f aca="false">IF(C1464="","",IFERROR(INDEX(Settings!$C$8:$C$19,MATCH(C1464,Settings!$B$8:$B$19,0)),"?"))</f>
        <v/>
      </c>
      <c r="J1464" s="28" t="str">
        <f aca="false">IF(G1464="","",IFERROR(INDEX(Settings!$C$8:$C$19,MATCH(G1464,Settings!$B$8:$B$19,0)),"?"))</f>
        <v/>
      </c>
      <c r="K1464" s="35" t="str">
        <f aca="false">IF(A1464="","",DATE(YEAR(A1464),MONTH(A1464),1))</f>
        <v/>
      </c>
      <c r="L1464" s="28" t="str">
        <f aca="false">IF(E1464="","",IFERROR(INDEX(Settings!$K$8:$K$38,MATCH(E1464,Settings!$H$8:$H$38,0))&amp;"",""))</f>
        <v/>
      </c>
    </row>
    <row r="1465" customFormat="false" ht="15" hidden="false" customHeight="false" outlineLevel="0" collapsed="false">
      <c r="A1465" s="33"/>
      <c r="B1465" s="27"/>
      <c r="C1465" s="27"/>
      <c r="D1465" s="27"/>
      <c r="E1465" s="27"/>
      <c r="F1465" s="34"/>
      <c r="G1465" s="27"/>
      <c r="H1465" s="27"/>
      <c r="I1465" s="28" t="str">
        <f aca="false">IF(C1465="","",IFERROR(INDEX(Settings!$C$8:$C$19,MATCH(C1465,Settings!$B$8:$B$19,0)),"?"))</f>
        <v/>
      </c>
      <c r="J1465" s="28" t="str">
        <f aca="false">IF(G1465="","",IFERROR(INDEX(Settings!$C$8:$C$19,MATCH(G1465,Settings!$B$8:$B$19,0)),"?"))</f>
        <v/>
      </c>
      <c r="K1465" s="35" t="str">
        <f aca="false">IF(A1465="","",DATE(YEAR(A1465),MONTH(A1465),1))</f>
        <v/>
      </c>
      <c r="L1465" s="28" t="str">
        <f aca="false">IF(E1465="","",IFERROR(INDEX(Settings!$K$8:$K$38,MATCH(E1465,Settings!$H$8:$H$38,0))&amp;"",""))</f>
        <v/>
      </c>
    </row>
    <row r="1466" customFormat="false" ht="15" hidden="false" customHeight="false" outlineLevel="0" collapsed="false">
      <c r="A1466" s="33"/>
      <c r="B1466" s="27"/>
      <c r="C1466" s="27"/>
      <c r="D1466" s="27"/>
      <c r="E1466" s="27"/>
      <c r="F1466" s="34"/>
      <c r="G1466" s="27"/>
      <c r="H1466" s="27"/>
      <c r="I1466" s="28" t="str">
        <f aca="false">IF(C1466="","",IFERROR(INDEX(Settings!$C$8:$C$19,MATCH(C1466,Settings!$B$8:$B$19,0)),"?"))</f>
        <v/>
      </c>
      <c r="J1466" s="28" t="str">
        <f aca="false">IF(G1466="","",IFERROR(INDEX(Settings!$C$8:$C$19,MATCH(G1466,Settings!$B$8:$B$19,0)),"?"))</f>
        <v/>
      </c>
      <c r="K1466" s="35" t="str">
        <f aca="false">IF(A1466="","",DATE(YEAR(A1466),MONTH(A1466),1))</f>
        <v/>
      </c>
      <c r="L1466" s="28" t="str">
        <f aca="false">IF(E1466="","",IFERROR(INDEX(Settings!$K$8:$K$38,MATCH(E1466,Settings!$H$8:$H$38,0))&amp;"",""))</f>
        <v/>
      </c>
    </row>
    <row r="1467" customFormat="false" ht="15" hidden="false" customHeight="false" outlineLevel="0" collapsed="false">
      <c r="A1467" s="33"/>
      <c r="B1467" s="27"/>
      <c r="C1467" s="27"/>
      <c r="D1467" s="27"/>
      <c r="E1467" s="27"/>
      <c r="F1467" s="34"/>
      <c r="G1467" s="27"/>
      <c r="H1467" s="27"/>
      <c r="I1467" s="28" t="str">
        <f aca="false">IF(C1467="","",IFERROR(INDEX(Settings!$C$8:$C$19,MATCH(C1467,Settings!$B$8:$B$19,0)),"?"))</f>
        <v/>
      </c>
      <c r="J1467" s="28" t="str">
        <f aca="false">IF(G1467="","",IFERROR(INDEX(Settings!$C$8:$C$19,MATCH(G1467,Settings!$B$8:$B$19,0)),"?"))</f>
        <v/>
      </c>
      <c r="K1467" s="35" t="str">
        <f aca="false">IF(A1467="","",DATE(YEAR(A1467),MONTH(A1467),1))</f>
        <v/>
      </c>
      <c r="L1467" s="28" t="str">
        <f aca="false">IF(E1467="","",IFERROR(INDEX(Settings!$K$8:$K$38,MATCH(E1467,Settings!$H$8:$H$38,0))&amp;"",""))</f>
        <v/>
      </c>
    </row>
    <row r="1468" customFormat="false" ht="15" hidden="false" customHeight="false" outlineLevel="0" collapsed="false">
      <c r="A1468" s="33"/>
      <c r="B1468" s="27"/>
      <c r="C1468" s="27"/>
      <c r="D1468" s="27"/>
      <c r="E1468" s="27"/>
      <c r="F1468" s="34"/>
      <c r="G1468" s="27"/>
      <c r="H1468" s="27"/>
      <c r="I1468" s="28" t="str">
        <f aca="false">IF(C1468="","",IFERROR(INDEX(Settings!$C$8:$C$19,MATCH(C1468,Settings!$B$8:$B$19,0)),"?"))</f>
        <v/>
      </c>
      <c r="J1468" s="28" t="str">
        <f aca="false">IF(G1468="","",IFERROR(INDEX(Settings!$C$8:$C$19,MATCH(G1468,Settings!$B$8:$B$19,0)),"?"))</f>
        <v/>
      </c>
      <c r="K1468" s="35" t="str">
        <f aca="false">IF(A1468="","",DATE(YEAR(A1468),MONTH(A1468),1))</f>
        <v/>
      </c>
      <c r="L1468" s="28" t="str">
        <f aca="false">IF(E1468="","",IFERROR(INDEX(Settings!$K$8:$K$38,MATCH(E1468,Settings!$H$8:$H$38,0))&amp;"",""))</f>
        <v/>
      </c>
    </row>
    <row r="1469" customFormat="false" ht="15" hidden="false" customHeight="false" outlineLevel="0" collapsed="false">
      <c r="A1469" s="33"/>
      <c r="B1469" s="27"/>
      <c r="C1469" s="27"/>
      <c r="D1469" s="27"/>
      <c r="E1469" s="27"/>
      <c r="F1469" s="34"/>
      <c r="G1469" s="27"/>
      <c r="H1469" s="27"/>
      <c r="I1469" s="28" t="str">
        <f aca="false">IF(C1469="","",IFERROR(INDEX(Settings!$C$8:$C$19,MATCH(C1469,Settings!$B$8:$B$19,0)),"?"))</f>
        <v/>
      </c>
      <c r="J1469" s="28" t="str">
        <f aca="false">IF(G1469="","",IFERROR(INDEX(Settings!$C$8:$C$19,MATCH(G1469,Settings!$B$8:$B$19,0)),"?"))</f>
        <v/>
      </c>
      <c r="K1469" s="35" t="str">
        <f aca="false">IF(A1469="","",DATE(YEAR(A1469),MONTH(A1469),1))</f>
        <v/>
      </c>
      <c r="L1469" s="28" t="str">
        <f aca="false">IF(E1469="","",IFERROR(INDEX(Settings!$K$8:$K$38,MATCH(E1469,Settings!$H$8:$H$38,0))&amp;"",""))</f>
        <v/>
      </c>
    </row>
    <row r="1470" customFormat="false" ht="15" hidden="false" customHeight="false" outlineLevel="0" collapsed="false">
      <c r="A1470" s="33"/>
      <c r="B1470" s="27"/>
      <c r="C1470" s="27"/>
      <c r="D1470" s="27"/>
      <c r="E1470" s="27"/>
      <c r="F1470" s="34"/>
      <c r="G1470" s="27"/>
      <c r="H1470" s="27"/>
      <c r="I1470" s="28" t="str">
        <f aca="false">IF(C1470="","",IFERROR(INDEX(Settings!$C$8:$C$19,MATCH(C1470,Settings!$B$8:$B$19,0)),"?"))</f>
        <v/>
      </c>
      <c r="J1470" s="28" t="str">
        <f aca="false">IF(G1470="","",IFERROR(INDEX(Settings!$C$8:$C$19,MATCH(G1470,Settings!$B$8:$B$19,0)),"?"))</f>
        <v/>
      </c>
      <c r="K1470" s="35" t="str">
        <f aca="false">IF(A1470="","",DATE(YEAR(A1470),MONTH(A1470),1))</f>
        <v/>
      </c>
      <c r="L1470" s="28" t="str">
        <f aca="false">IF(E1470="","",IFERROR(INDEX(Settings!$K$8:$K$38,MATCH(E1470,Settings!$H$8:$H$38,0))&amp;"",""))</f>
        <v/>
      </c>
    </row>
    <row r="1471" customFormat="false" ht="15" hidden="false" customHeight="false" outlineLevel="0" collapsed="false">
      <c r="A1471" s="33"/>
      <c r="B1471" s="27"/>
      <c r="C1471" s="27"/>
      <c r="D1471" s="27"/>
      <c r="E1471" s="27"/>
      <c r="F1471" s="34"/>
      <c r="G1471" s="27"/>
      <c r="H1471" s="27"/>
      <c r="I1471" s="28" t="str">
        <f aca="false">IF(C1471="","",IFERROR(INDEX(Settings!$C$8:$C$19,MATCH(C1471,Settings!$B$8:$B$19,0)),"?"))</f>
        <v/>
      </c>
      <c r="J1471" s="28" t="str">
        <f aca="false">IF(G1471="","",IFERROR(INDEX(Settings!$C$8:$C$19,MATCH(G1471,Settings!$B$8:$B$19,0)),"?"))</f>
        <v/>
      </c>
      <c r="K1471" s="35" t="str">
        <f aca="false">IF(A1471="","",DATE(YEAR(A1471),MONTH(A1471),1))</f>
        <v/>
      </c>
      <c r="L1471" s="28" t="str">
        <f aca="false">IF(E1471="","",IFERROR(INDEX(Settings!$K$8:$K$38,MATCH(E1471,Settings!$H$8:$H$38,0))&amp;"",""))</f>
        <v/>
      </c>
    </row>
    <row r="1472" customFormat="false" ht="15" hidden="false" customHeight="false" outlineLevel="0" collapsed="false">
      <c r="A1472" s="33"/>
      <c r="B1472" s="27"/>
      <c r="C1472" s="27"/>
      <c r="D1472" s="27"/>
      <c r="E1472" s="27"/>
      <c r="F1472" s="34"/>
      <c r="G1472" s="27"/>
      <c r="H1472" s="27"/>
      <c r="I1472" s="28" t="str">
        <f aca="false">IF(C1472="","",IFERROR(INDEX(Settings!$C$8:$C$19,MATCH(C1472,Settings!$B$8:$B$19,0)),"?"))</f>
        <v/>
      </c>
      <c r="J1472" s="28" t="str">
        <f aca="false">IF(G1472="","",IFERROR(INDEX(Settings!$C$8:$C$19,MATCH(G1472,Settings!$B$8:$B$19,0)),"?"))</f>
        <v/>
      </c>
      <c r="K1472" s="35" t="str">
        <f aca="false">IF(A1472="","",DATE(YEAR(A1472),MONTH(A1472),1))</f>
        <v/>
      </c>
      <c r="L1472" s="28" t="str">
        <f aca="false">IF(E1472="","",IFERROR(INDEX(Settings!$K$8:$K$38,MATCH(E1472,Settings!$H$8:$H$38,0))&amp;"",""))</f>
        <v/>
      </c>
    </row>
    <row r="1473" customFormat="false" ht="15" hidden="false" customHeight="false" outlineLevel="0" collapsed="false">
      <c r="A1473" s="33"/>
      <c r="B1473" s="27"/>
      <c r="C1473" s="27"/>
      <c r="D1473" s="27"/>
      <c r="E1473" s="27"/>
      <c r="F1473" s="34"/>
      <c r="G1473" s="27"/>
      <c r="H1473" s="27"/>
      <c r="I1473" s="28" t="str">
        <f aca="false">IF(C1473="","",IFERROR(INDEX(Settings!$C$8:$C$19,MATCH(C1473,Settings!$B$8:$B$19,0)),"?"))</f>
        <v/>
      </c>
      <c r="J1473" s="28" t="str">
        <f aca="false">IF(G1473="","",IFERROR(INDEX(Settings!$C$8:$C$19,MATCH(G1473,Settings!$B$8:$B$19,0)),"?"))</f>
        <v/>
      </c>
      <c r="K1473" s="35" t="str">
        <f aca="false">IF(A1473="","",DATE(YEAR(A1473),MONTH(A1473),1))</f>
        <v/>
      </c>
      <c r="L1473" s="28" t="str">
        <f aca="false">IF(E1473="","",IFERROR(INDEX(Settings!$K$8:$K$38,MATCH(E1473,Settings!$H$8:$H$38,0))&amp;"",""))</f>
        <v/>
      </c>
    </row>
    <row r="1474" customFormat="false" ht="15" hidden="false" customHeight="false" outlineLevel="0" collapsed="false">
      <c r="A1474" s="33"/>
      <c r="B1474" s="27"/>
      <c r="C1474" s="27"/>
      <c r="D1474" s="27"/>
      <c r="E1474" s="27"/>
      <c r="F1474" s="34"/>
      <c r="G1474" s="27"/>
      <c r="H1474" s="27"/>
      <c r="I1474" s="28" t="str">
        <f aca="false">IF(C1474="","",IFERROR(INDEX(Settings!$C$8:$C$19,MATCH(C1474,Settings!$B$8:$B$19,0)),"?"))</f>
        <v/>
      </c>
      <c r="J1474" s="28" t="str">
        <f aca="false">IF(G1474="","",IFERROR(INDEX(Settings!$C$8:$C$19,MATCH(G1474,Settings!$B$8:$B$19,0)),"?"))</f>
        <v/>
      </c>
      <c r="K1474" s="35" t="str">
        <f aca="false">IF(A1474="","",DATE(YEAR(A1474),MONTH(A1474),1))</f>
        <v/>
      </c>
      <c r="L1474" s="28" t="str">
        <f aca="false">IF(E1474="","",IFERROR(INDEX(Settings!$K$8:$K$38,MATCH(E1474,Settings!$H$8:$H$38,0))&amp;"",""))</f>
        <v/>
      </c>
    </row>
    <row r="1475" customFormat="false" ht="15" hidden="false" customHeight="false" outlineLevel="0" collapsed="false">
      <c r="A1475" s="33"/>
      <c r="B1475" s="27"/>
      <c r="C1475" s="27"/>
      <c r="D1475" s="27"/>
      <c r="E1475" s="27"/>
      <c r="F1475" s="34"/>
      <c r="G1475" s="27"/>
      <c r="H1475" s="27"/>
      <c r="I1475" s="28" t="str">
        <f aca="false">IF(C1475="","",IFERROR(INDEX(Settings!$C$8:$C$19,MATCH(C1475,Settings!$B$8:$B$19,0)),"?"))</f>
        <v/>
      </c>
      <c r="J1475" s="28" t="str">
        <f aca="false">IF(G1475="","",IFERROR(INDEX(Settings!$C$8:$C$19,MATCH(G1475,Settings!$B$8:$B$19,0)),"?"))</f>
        <v/>
      </c>
      <c r="K1475" s="35" t="str">
        <f aca="false">IF(A1475="","",DATE(YEAR(A1475),MONTH(A1475),1))</f>
        <v/>
      </c>
      <c r="L1475" s="28" t="str">
        <f aca="false">IF(E1475="","",IFERROR(INDEX(Settings!$K$8:$K$38,MATCH(E1475,Settings!$H$8:$H$38,0))&amp;"",""))</f>
        <v/>
      </c>
    </row>
    <row r="1476" customFormat="false" ht="15" hidden="false" customHeight="false" outlineLevel="0" collapsed="false">
      <c r="A1476" s="33"/>
      <c r="B1476" s="27"/>
      <c r="C1476" s="27"/>
      <c r="D1476" s="27"/>
      <c r="E1476" s="27"/>
      <c r="F1476" s="34"/>
      <c r="G1476" s="27"/>
      <c r="H1476" s="27"/>
      <c r="I1476" s="28" t="str">
        <f aca="false">IF(C1476="","",IFERROR(INDEX(Settings!$C$8:$C$19,MATCH(C1476,Settings!$B$8:$B$19,0)),"?"))</f>
        <v/>
      </c>
      <c r="J1476" s="28" t="str">
        <f aca="false">IF(G1476="","",IFERROR(INDEX(Settings!$C$8:$C$19,MATCH(G1476,Settings!$B$8:$B$19,0)),"?"))</f>
        <v/>
      </c>
      <c r="K1476" s="35" t="str">
        <f aca="false">IF(A1476="","",DATE(YEAR(A1476),MONTH(A1476),1))</f>
        <v/>
      </c>
      <c r="L1476" s="28" t="str">
        <f aca="false">IF(E1476="","",IFERROR(INDEX(Settings!$K$8:$K$38,MATCH(E1476,Settings!$H$8:$H$38,0))&amp;"",""))</f>
        <v/>
      </c>
    </row>
    <row r="1477" customFormat="false" ht="15" hidden="false" customHeight="false" outlineLevel="0" collapsed="false">
      <c r="A1477" s="33"/>
      <c r="B1477" s="27"/>
      <c r="C1477" s="27"/>
      <c r="D1477" s="27"/>
      <c r="E1477" s="27"/>
      <c r="F1477" s="34"/>
      <c r="G1477" s="27"/>
      <c r="H1477" s="27"/>
      <c r="I1477" s="28" t="str">
        <f aca="false">IF(C1477="","",IFERROR(INDEX(Settings!$C$8:$C$19,MATCH(C1477,Settings!$B$8:$B$19,0)),"?"))</f>
        <v/>
      </c>
      <c r="J1477" s="28" t="str">
        <f aca="false">IF(G1477="","",IFERROR(INDEX(Settings!$C$8:$C$19,MATCH(G1477,Settings!$B$8:$B$19,0)),"?"))</f>
        <v/>
      </c>
      <c r="K1477" s="35" t="str">
        <f aca="false">IF(A1477="","",DATE(YEAR(A1477),MONTH(A1477),1))</f>
        <v/>
      </c>
      <c r="L1477" s="28" t="str">
        <f aca="false">IF(E1477="","",IFERROR(INDEX(Settings!$K$8:$K$38,MATCH(E1477,Settings!$H$8:$H$38,0))&amp;"",""))</f>
        <v/>
      </c>
    </row>
    <row r="1478" customFormat="false" ht="15" hidden="false" customHeight="false" outlineLevel="0" collapsed="false">
      <c r="A1478" s="33"/>
      <c r="B1478" s="27"/>
      <c r="C1478" s="27"/>
      <c r="D1478" s="27"/>
      <c r="E1478" s="27"/>
      <c r="F1478" s="34"/>
      <c r="G1478" s="27"/>
      <c r="H1478" s="27"/>
      <c r="I1478" s="28" t="str">
        <f aca="false">IF(C1478="","",IFERROR(INDEX(Settings!$C$8:$C$19,MATCH(C1478,Settings!$B$8:$B$19,0)),"?"))</f>
        <v/>
      </c>
      <c r="J1478" s="28" t="str">
        <f aca="false">IF(G1478="","",IFERROR(INDEX(Settings!$C$8:$C$19,MATCH(G1478,Settings!$B$8:$B$19,0)),"?"))</f>
        <v/>
      </c>
      <c r="K1478" s="35" t="str">
        <f aca="false">IF(A1478="","",DATE(YEAR(A1478),MONTH(A1478),1))</f>
        <v/>
      </c>
      <c r="L1478" s="28" t="str">
        <f aca="false">IF(E1478="","",IFERROR(INDEX(Settings!$K$8:$K$38,MATCH(E1478,Settings!$H$8:$H$38,0))&amp;"",""))</f>
        <v/>
      </c>
    </row>
    <row r="1479" customFormat="false" ht="15" hidden="false" customHeight="false" outlineLevel="0" collapsed="false">
      <c r="A1479" s="33"/>
      <c r="B1479" s="27"/>
      <c r="C1479" s="27"/>
      <c r="D1479" s="27"/>
      <c r="E1479" s="27"/>
      <c r="F1479" s="34"/>
      <c r="G1479" s="27"/>
      <c r="H1479" s="27"/>
      <c r="I1479" s="28" t="str">
        <f aca="false">IF(C1479="","",IFERROR(INDEX(Settings!$C$8:$C$19,MATCH(C1479,Settings!$B$8:$B$19,0)),"?"))</f>
        <v/>
      </c>
      <c r="J1479" s="28" t="str">
        <f aca="false">IF(G1479="","",IFERROR(INDEX(Settings!$C$8:$C$19,MATCH(G1479,Settings!$B$8:$B$19,0)),"?"))</f>
        <v/>
      </c>
      <c r="K1479" s="35" t="str">
        <f aca="false">IF(A1479="","",DATE(YEAR(A1479),MONTH(A1479),1))</f>
        <v/>
      </c>
      <c r="L1479" s="28" t="str">
        <f aca="false">IF(E1479="","",IFERROR(INDEX(Settings!$K$8:$K$38,MATCH(E1479,Settings!$H$8:$H$38,0))&amp;"",""))</f>
        <v/>
      </c>
    </row>
    <row r="1480" customFormat="false" ht="15" hidden="false" customHeight="false" outlineLevel="0" collapsed="false">
      <c r="A1480" s="33"/>
      <c r="B1480" s="27"/>
      <c r="C1480" s="27"/>
      <c r="D1480" s="27"/>
      <c r="E1480" s="27"/>
      <c r="F1480" s="34"/>
      <c r="G1480" s="27"/>
      <c r="H1480" s="27"/>
      <c r="I1480" s="28" t="str">
        <f aca="false">IF(C1480="","",IFERROR(INDEX(Settings!$C$8:$C$19,MATCH(C1480,Settings!$B$8:$B$19,0)),"?"))</f>
        <v/>
      </c>
      <c r="J1480" s="28" t="str">
        <f aca="false">IF(G1480="","",IFERROR(INDEX(Settings!$C$8:$C$19,MATCH(G1480,Settings!$B$8:$B$19,0)),"?"))</f>
        <v/>
      </c>
      <c r="K1480" s="35" t="str">
        <f aca="false">IF(A1480="","",DATE(YEAR(A1480),MONTH(A1480),1))</f>
        <v/>
      </c>
      <c r="L1480" s="28" t="str">
        <f aca="false">IF(E1480="","",IFERROR(INDEX(Settings!$K$8:$K$38,MATCH(E1480,Settings!$H$8:$H$38,0))&amp;"",""))</f>
        <v/>
      </c>
    </row>
    <row r="1481" customFormat="false" ht="15" hidden="false" customHeight="false" outlineLevel="0" collapsed="false">
      <c r="A1481" s="33"/>
      <c r="B1481" s="27"/>
      <c r="C1481" s="27"/>
      <c r="D1481" s="27"/>
      <c r="E1481" s="27"/>
      <c r="F1481" s="34"/>
      <c r="G1481" s="27"/>
      <c r="H1481" s="27"/>
      <c r="I1481" s="28" t="str">
        <f aca="false">IF(C1481="","",IFERROR(INDEX(Settings!$C$8:$C$19,MATCH(C1481,Settings!$B$8:$B$19,0)),"?"))</f>
        <v/>
      </c>
      <c r="J1481" s="28" t="str">
        <f aca="false">IF(G1481="","",IFERROR(INDEX(Settings!$C$8:$C$19,MATCH(G1481,Settings!$B$8:$B$19,0)),"?"))</f>
        <v/>
      </c>
      <c r="K1481" s="35" t="str">
        <f aca="false">IF(A1481="","",DATE(YEAR(A1481),MONTH(A1481),1))</f>
        <v/>
      </c>
      <c r="L1481" s="28" t="str">
        <f aca="false">IF(E1481="","",IFERROR(INDEX(Settings!$K$8:$K$38,MATCH(E1481,Settings!$H$8:$H$38,0))&amp;"",""))</f>
        <v/>
      </c>
    </row>
    <row r="1482" customFormat="false" ht="15" hidden="false" customHeight="false" outlineLevel="0" collapsed="false">
      <c r="A1482" s="33"/>
      <c r="B1482" s="27"/>
      <c r="C1482" s="27"/>
      <c r="D1482" s="27"/>
      <c r="E1482" s="27"/>
      <c r="F1482" s="34"/>
      <c r="G1482" s="27"/>
      <c r="H1482" s="27"/>
      <c r="I1482" s="28" t="str">
        <f aca="false">IF(C1482="","",IFERROR(INDEX(Settings!$C$8:$C$19,MATCH(C1482,Settings!$B$8:$B$19,0)),"?"))</f>
        <v/>
      </c>
      <c r="J1482" s="28" t="str">
        <f aca="false">IF(G1482="","",IFERROR(INDEX(Settings!$C$8:$C$19,MATCH(G1482,Settings!$B$8:$B$19,0)),"?"))</f>
        <v/>
      </c>
      <c r="K1482" s="35" t="str">
        <f aca="false">IF(A1482="","",DATE(YEAR(A1482),MONTH(A1482),1))</f>
        <v/>
      </c>
      <c r="L1482" s="28" t="str">
        <f aca="false">IF(E1482="","",IFERROR(INDEX(Settings!$K$8:$K$38,MATCH(E1482,Settings!$H$8:$H$38,0))&amp;"",""))</f>
        <v/>
      </c>
    </row>
    <row r="1483" customFormat="false" ht="15" hidden="false" customHeight="false" outlineLevel="0" collapsed="false">
      <c r="A1483" s="33"/>
      <c r="B1483" s="27"/>
      <c r="C1483" s="27"/>
      <c r="D1483" s="27"/>
      <c r="E1483" s="27"/>
      <c r="F1483" s="34"/>
      <c r="G1483" s="27"/>
      <c r="H1483" s="27"/>
      <c r="I1483" s="28" t="str">
        <f aca="false">IF(C1483="","",IFERROR(INDEX(Settings!$C$8:$C$19,MATCH(C1483,Settings!$B$8:$B$19,0)),"?"))</f>
        <v/>
      </c>
      <c r="J1483" s="28" t="str">
        <f aca="false">IF(G1483="","",IFERROR(INDEX(Settings!$C$8:$C$19,MATCH(G1483,Settings!$B$8:$B$19,0)),"?"))</f>
        <v/>
      </c>
      <c r="K1483" s="35" t="str">
        <f aca="false">IF(A1483="","",DATE(YEAR(A1483),MONTH(A1483),1))</f>
        <v/>
      </c>
      <c r="L1483" s="28" t="str">
        <f aca="false">IF(E1483="","",IFERROR(INDEX(Settings!$K$8:$K$38,MATCH(E1483,Settings!$H$8:$H$38,0))&amp;"",""))</f>
        <v/>
      </c>
    </row>
    <row r="1484" customFormat="false" ht="15" hidden="false" customHeight="false" outlineLevel="0" collapsed="false">
      <c r="A1484" s="33"/>
      <c r="B1484" s="27"/>
      <c r="C1484" s="27"/>
      <c r="D1484" s="27"/>
      <c r="E1484" s="27"/>
      <c r="F1484" s="34"/>
      <c r="G1484" s="27"/>
      <c r="H1484" s="27"/>
      <c r="I1484" s="28" t="str">
        <f aca="false">IF(C1484="","",IFERROR(INDEX(Settings!$C$8:$C$19,MATCH(C1484,Settings!$B$8:$B$19,0)),"?"))</f>
        <v/>
      </c>
      <c r="J1484" s="28" t="str">
        <f aca="false">IF(G1484="","",IFERROR(INDEX(Settings!$C$8:$C$19,MATCH(G1484,Settings!$B$8:$B$19,0)),"?"))</f>
        <v/>
      </c>
      <c r="K1484" s="35" t="str">
        <f aca="false">IF(A1484="","",DATE(YEAR(A1484),MONTH(A1484),1))</f>
        <v/>
      </c>
      <c r="L1484" s="28" t="str">
        <f aca="false">IF(E1484="","",IFERROR(INDEX(Settings!$K$8:$K$38,MATCH(E1484,Settings!$H$8:$H$38,0))&amp;"",""))</f>
        <v/>
      </c>
    </row>
    <row r="1485" customFormat="false" ht="15" hidden="false" customHeight="false" outlineLevel="0" collapsed="false">
      <c r="A1485" s="33"/>
      <c r="B1485" s="27"/>
      <c r="C1485" s="27"/>
      <c r="D1485" s="27"/>
      <c r="E1485" s="27"/>
      <c r="F1485" s="34"/>
      <c r="G1485" s="27"/>
      <c r="H1485" s="27"/>
      <c r="I1485" s="28" t="str">
        <f aca="false">IF(C1485="","",IFERROR(INDEX(Settings!$C$8:$C$19,MATCH(C1485,Settings!$B$8:$B$19,0)),"?"))</f>
        <v/>
      </c>
      <c r="J1485" s="28" t="str">
        <f aca="false">IF(G1485="","",IFERROR(INDEX(Settings!$C$8:$C$19,MATCH(G1485,Settings!$B$8:$B$19,0)),"?"))</f>
        <v/>
      </c>
      <c r="K1485" s="35" t="str">
        <f aca="false">IF(A1485="","",DATE(YEAR(A1485),MONTH(A1485),1))</f>
        <v/>
      </c>
      <c r="L1485" s="28" t="str">
        <f aca="false">IF(E1485="","",IFERROR(INDEX(Settings!$K$8:$K$38,MATCH(E1485,Settings!$H$8:$H$38,0))&amp;"",""))</f>
        <v/>
      </c>
    </row>
    <row r="1486" customFormat="false" ht="15" hidden="false" customHeight="false" outlineLevel="0" collapsed="false">
      <c r="A1486" s="33"/>
      <c r="B1486" s="27"/>
      <c r="C1486" s="27"/>
      <c r="D1486" s="27"/>
      <c r="E1486" s="27"/>
      <c r="F1486" s="34"/>
      <c r="G1486" s="27"/>
      <c r="H1486" s="27"/>
      <c r="I1486" s="28" t="str">
        <f aca="false">IF(C1486="","",IFERROR(INDEX(Settings!$C$8:$C$19,MATCH(C1486,Settings!$B$8:$B$19,0)),"?"))</f>
        <v/>
      </c>
      <c r="J1486" s="28" t="str">
        <f aca="false">IF(G1486="","",IFERROR(INDEX(Settings!$C$8:$C$19,MATCH(G1486,Settings!$B$8:$B$19,0)),"?"))</f>
        <v/>
      </c>
      <c r="K1486" s="35" t="str">
        <f aca="false">IF(A1486="","",DATE(YEAR(A1486),MONTH(A1486),1))</f>
        <v/>
      </c>
      <c r="L1486" s="28" t="str">
        <f aca="false">IF(E1486="","",IFERROR(INDEX(Settings!$K$8:$K$38,MATCH(E1486,Settings!$H$8:$H$38,0))&amp;"",""))</f>
        <v/>
      </c>
    </row>
    <row r="1487" customFormat="false" ht="15" hidden="false" customHeight="false" outlineLevel="0" collapsed="false">
      <c r="A1487" s="33"/>
      <c r="B1487" s="27"/>
      <c r="C1487" s="27"/>
      <c r="D1487" s="27"/>
      <c r="E1487" s="27"/>
      <c r="F1487" s="34"/>
      <c r="G1487" s="27"/>
      <c r="H1487" s="27"/>
      <c r="I1487" s="28" t="str">
        <f aca="false">IF(C1487="","",IFERROR(INDEX(Settings!$C$8:$C$19,MATCH(C1487,Settings!$B$8:$B$19,0)),"?"))</f>
        <v/>
      </c>
      <c r="J1487" s="28" t="str">
        <f aca="false">IF(G1487="","",IFERROR(INDEX(Settings!$C$8:$C$19,MATCH(G1487,Settings!$B$8:$B$19,0)),"?"))</f>
        <v/>
      </c>
      <c r="K1487" s="35" t="str">
        <f aca="false">IF(A1487="","",DATE(YEAR(A1487),MONTH(A1487),1))</f>
        <v/>
      </c>
      <c r="L1487" s="28" t="str">
        <f aca="false">IF(E1487="","",IFERROR(INDEX(Settings!$K$8:$K$38,MATCH(E1487,Settings!$H$8:$H$38,0))&amp;"",""))</f>
        <v/>
      </c>
    </row>
    <row r="1488" customFormat="false" ht="15" hidden="false" customHeight="false" outlineLevel="0" collapsed="false">
      <c r="A1488" s="33"/>
      <c r="B1488" s="27"/>
      <c r="C1488" s="27"/>
      <c r="D1488" s="27"/>
      <c r="E1488" s="27"/>
      <c r="F1488" s="34"/>
      <c r="G1488" s="27"/>
      <c r="H1488" s="27"/>
      <c r="I1488" s="28" t="str">
        <f aca="false">IF(C1488="","",IFERROR(INDEX(Settings!$C$8:$C$19,MATCH(C1488,Settings!$B$8:$B$19,0)),"?"))</f>
        <v/>
      </c>
      <c r="J1488" s="28" t="str">
        <f aca="false">IF(G1488="","",IFERROR(INDEX(Settings!$C$8:$C$19,MATCH(G1488,Settings!$B$8:$B$19,0)),"?"))</f>
        <v/>
      </c>
      <c r="K1488" s="35" t="str">
        <f aca="false">IF(A1488="","",DATE(YEAR(A1488),MONTH(A1488),1))</f>
        <v/>
      </c>
      <c r="L1488" s="28" t="str">
        <f aca="false">IF(E1488="","",IFERROR(INDEX(Settings!$K$8:$K$38,MATCH(E1488,Settings!$H$8:$H$38,0))&amp;"",""))</f>
        <v/>
      </c>
    </row>
    <row r="1489" customFormat="false" ht="15" hidden="false" customHeight="false" outlineLevel="0" collapsed="false">
      <c r="A1489" s="33"/>
      <c r="B1489" s="27"/>
      <c r="C1489" s="27"/>
      <c r="D1489" s="27"/>
      <c r="E1489" s="27"/>
      <c r="F1489" s="34"/>
      <c r="G1489" s="27"/>
      <c r="H1489" s="27"/>
      <c r="I1489" s="28" t="str">
        <f aca="false">IF(C1489="","",IFERROR(INDEX(Settings!$C$8:$C$19,MATCH(C1489,Settings!$B$8:$B$19,0)),"?"))</f>
        <v/>
      </c>
      <c r="J1489" s="28" t="str">
        <f aca="false">IF(G1489="","",IFERROR(INDEX(Settings!$C$8:$C$19,MATCH(G1489,Settings!$B$8:$B$19,0)),"?"))</f>
        <v/>
      </c>
      <c r="K1489" s="35" t="str">
        <f aca="false">IF(A1489="","",DATE(YEAR(A1489),MONTH(A1489),1))</f>
        <v/>
      </c>
      <c r="L1489" s="28" t="str">
        <f aca="false">IF(E1489="","",IFERROR(INDEX(Settings!$K$8:$K$38,MATCH(E1489,Settings!$H$8:$H$38,0))&amp;"",""))</f>
        <v/>
      </c>
    </row>
    <row r="1490" customFormat="false" ht="15" hidden="false" customHeight="false" outlineLevel="0" collapsed="false">
      <c r="A1490" s="33"/>
      <c r="B1490" s="27"/>
      <c r="C1490" s="27"/>
      <c r="D1490" s="27"/>
      <c r="E1490" s="27"/>
      <c r="F1490" s="34"/>
      <c r="G1490" s="27"/>
      <c r="H1490" s="27"/>
      <c r="I1490" s="28" t="str">
        <f aca="false">IF(C1490="","",IFERROR(INDEX(Settings!$C$8:$C$19,MATCH(C1490,Settings!$B$8:$B$19,0)),"?"))</f>
        <v/>
      </c>
      <c r="J1490" s="28" t="str">
        <f aca="false">IF(G1490="","",IFERROR(INDEX(Settings!$C$8:$C$19,MATCH(G1490,Settings!$B$8:$B$19,0)),"?"))</f>
        <v/>
      </c>
      <c r="K1490" s="35" t="str">
        <f aca="false">IF(A1490="","",DATE(YEAR(A1490),MONTH(A1490),1))</f>
        <v/>
      </c>
      <c r="L1490" s="28" t="str">
        <f aca="false">IF(E1490="","",IFERROR(INDEX(Settings!$K$8:$K$38,MATCH(E1490,Settings!$H$8:$H$38,0))&amp;"",""))</f>
        <v/>
      </c>
    </row>
    <row r="1491" customFormat="false" ht="15" hidden="false" customHeight="false" outlineLevel="0" collapsed="false">
      <c r="A1491" s="33"/>
      <c r="B1491" s="27"/>
      <c r="C1491" s="27"/>
      <c r="D1491" s="27"/>
      <c r="E1491" s="27"/>
      <c r="F1491" s="34"/>
      <c r="G1491" s="27"/>
      <c r="H1491" s="27"/>
      <c r="I1491" s="28" t="str">
        <f aca="false">IF(C1491="","",IFERROR(INDEX(Settings!$C$8:$C$19,MATCH(C1491,Settings!$B$8:$B$19,0)),"?"))</f>
        <v/>
      </c>
      <c r="J1491" s="28" t="str">
        <f aca="false">IF(G1491="","",IFERROR(INDEX(Settings!$C$8:$C$19,MATCH(G1491,Settings!$B$8:$B$19,0)),"?"))</f>
        <v/>
      </c>
      <c r="K1491" s="35" t="str">
        <f aca="false">IF(A1491="","",DATE(YEAR(A1491),MONTH(A1491),1))</f>
        <v/>
      </c>
      <c r="L1491" s="28" t="str">
        <f aca="false">IF(E1491="","",IFERROR(INDEX(Settings!$K$8:$K$38,MATCH(E1491,Settings!$H$8:$H$38,0))&amp;"",""))</f>
        <v/>
      </c>
    </row>
    <row r="1492" customFormat="false" ht="15" hidden="false" customHeight="false" outlineLevel="0" collapsed="false">
      <c r="A1492" s="33"/>
      <c r="B1492" s="27"/>
      <c r="C1492" s="27"/>
      <c r="D1492" s="27"/>
      <c r="E1492" s="27"/>
      <c r="F1492" s="34"/>
      <c r="G1492" s="27"/>
      <c r="H1492" s="27"/>
      <c r="I1492" s="28" t="str">
        <f aca="false">IF(C1492="","",IFERROR(INDEX(Settings!$C$8:$C$19,MATCH(C1492,Settings!$B$8:$B$19,0)),"?"))</f>
        <v/>
      </c>
      <c r="J1492" s="28" t="str">
        <f aca="false">IF(G1492="","",IFERROR(INDEX(Settings!$C$8:$C$19,MATCH(G1492,Settings!$B$8:$B$19,0)),"?"))</f>
        <v/>
      </c>
      <c r="K1492" s="35" t="str">
        <f aca="false">IF(A1492="","",DATE(YEAR(A1492),MONTH(A1492),1))</f>
        <v/>
      </c>
      <c r="L1492" s="28" t="str">
        <f aca="false">IF(E1492="","",IFERROR(INDEX(Settings!$K$8:$K$38,MATCH(E1492,Settings!$H$8:$H$38,0))&amp;"",""))</f>
        <v/>
      </c>
    </row>
    <row r="1493" customFormat="false" ht="15" hidden="false" customHeight="false" outlineLevel="0" collapsed="false">
      <c r="A1493" s="33"/>
      <c r="B1493" s="27"/>
      <c r="C1493" s="27"/>
      <c r="D1493" s="27"/>
      <c r="E1493" s="27"/>
      <c r="F1493" s="34"/>
      <c r="G1493" s="27"/>
      <c r="H1493" s="27"/>
      <c r="I1493" s="28" t="str">
        <f aca="false">IF(C1493="","",IFERROR(INDEX(Settings!$C$8:$C$19,MATCH(C1493,Settings!$B$8:$B$19,0)),"?"))</f>
        <v/>
      </c>
      <c r="J1493" s="28" t="str">
        <f aca="false">IF(G1493="","",IFERROR(INDEX(Settings!$C$8:$C$19,MATCH(G1493,Settings!$B$8:$B$19,0)),"?"))</f>
        <v/>
      </c>
      <c r="K1493" s="35" t="str">
        <f aca="false">IF(A1493="","",DATE(YEAR(A1493),MONTH(A1493),1))</f>
        <v/>
      </c>
      <c r="L1493" s="28" t="str">
        <f aca="false">IF(E1493="","",IFERROR(INDEX(Settings!$K$8:$K$38,MATCH(E1493,Settings!$H$8:$H$38,0))&amp;"",""))</f>
        <v/>
      </c>
    </row>
    <row r="1494" customFormat="false" ht="15" hidden="false" customHeight="false" outlineLevel="0" collapsed="false">
      <c r="A1494" s="33"/>
      <c r="B1494" s="27"/>
      <c r="C1494" s="27"/>
      <c r="D1494" s="27"/>
      <c r="E1494" s="27"/>
      <c r="F1494" s="34"/>
      <c r="G1494" s="27"/>
      <c r="H1494" s="27"/>
      <c r="I1494" s="28" t="str">
        <f aca="false">IF(C1494="","",IFERROR(INDEX(Settings!$C$8:$C$19,MATCH(C1494,Settings!$B$8:$B$19,0)),"?"))</f>
        <v/>
      </c>
      <c r="J1494" s="28" t="str">
        <f aca="false">IF(G1494="","",IFERROR(INDEX(Settings!$C$8:$C$19,MATCH(G1494,Settings!$B$8:$B$19,0)),"?"))</f>
        <v/>
      </c>
      <c r="K1494" s="35" t="str">
        <f aca="false">IF(A1494="","",DATE(YEAR(A1494),MONTH(A1494),1))</f>
        <v/>
      </c>
      <c r="L1494" s="28" t="str">
        <f aca="false">IF(E1494="","",IFERROR(INDEX(Settings!$K$8:$K$38,MATCH(E1494,Settings!$H$8:$H$38,0))&amp;"",""))</f>
        <v/>
      </c>
    </row>
    <row r="1495" customFormat="false" ht="15" hidden="false" customHeight="false" outlineLevel="0" collapsed="false">
      <c r="A1495" s="33"/>
      <c r="B1495" s="27"/>
      <c r="C1495" s="27"/>
      <c r="D1495" s="27"/>
      <c r="E1495" s="27"/>
      <c r="F1495" s="34"/>
      <c r="G1495" s="27"/>
      <c r="H1495" s="27"/>
      <c r="I1495" s="28" t="str">
        <f aca="false">IF(C1495="","",IFERROR(INDEX(Settings!$C$8:$C$19,MATCH(C1495,Settings!$B$8:$B$19,0)),"?"))</f>
        <v/>
      </c>
      <c r="J1495" s="28" t="str">
        <f aca="false">IF(G1495="","",IFERROR(INDEX(Settings!$C$8:$C$19,MATCH(G1495,Settings!$B$8:$B$19,0)),"?"))</f>
        <v/>
      </c>
      <c r="K1495" s="35" t="str">
        <f aca="false">IF(A1495="","",DATE(YEAR(A1495),MONTH(A1495),1))</f>
        <v/>
      </c>
      <c r="L1495" s="28" t="str">
        <f aca="false">IF(E1495="","",IFERROR(INDEX(Settings!$K$8:$K$38,MATCH(E1495,Settings!$H$8:$H$38,0))&amp;"",""))</f>
        <v/>
      </c>
    </row>
    <row r="1496" customFormat="false" ht="15" hidden="false" customHeight="false" outlineLevel="0" collapsed="false">
      <c r="A1496" s="33"/>
      <c r="B1496" s="27"/>
      <c r="C1496" s="27"/>
      <c r="D1496" s="27"/>
      <c r="E1496" s="27"/>
      <c r="F1496" s="34"/>
      <c r="G1496" s="27"/>
      <c r="H1496" s="27"/>
      <c r="I1496" s="28" t="str">
        <f aca="false">IF(C1496="","",IFERROR(INDEX(Settings!$C$8:$C$19,MATCH(C1496,Settings!$B$8:$B$19,0)),"?"))</f>
        <v/>
      </c>
      <c r="J1496" s="28" t="str">
        <f aca="false">IF(G1496="","",IFERROR(INDEX(Settings!$C$8:$C$19,MATCH(G1496,Settings!$B$8:$B$19,0)),"?"))</f>
        <v/>
      </c>
      <c r="K1496" s="35" t="str">
        <f aca="false">IF(A1496="","",DATE(YEAR(A1496),MONTH(A1496),1))</f>
        <v/>
      </c>
      <c r="L1496" s="28" t="str">
        <f aca="false">IF(E1496="","",IFERROR(INDEX(Settings!$K$8:$K$38,MATCH(E1496,Settings!$H$8:$H$38,0))&amp;"",""))</f>
        <v/>
      </c>
    </row>
    <row r="1497" customFormat="false" ht="15" hidden="false" customHeight="false" outlineLevel="0" collapsed="false">
      <c r="A1497" s="33"/>
      <c r="B1497" s="27"/>
      <c r="C1497" s="27"/>
      <c r="D1497" s="27"/>
      <c r="E1497" s="27"/>
      <c r="F1497" s="34"/>
      <c r="G1497" s="27"/>
      <c r="H1497" s="27"/>
      <c r="I1497" s="28" t="str">
        <f aca="false">IF(C1497="","",IFERROR(INDEX(Settings!$C$8:$C$19,MATCH(C1497,Settings!$B$8:$B$19,0)),"?"))</f>
        <v/>
      </c>
      <c r="J1497" s="28" t="str">
        <f aca="false">IF(G1497="","",IFERROR(INDEX(Settings!$C$8:$C$19,MATCH(G1497,Settings!$B$8:$B$19,0)),"?"))</f>
        <v/>
      </c>
      <c r="K1497" s="35" t="str">
        <f aca="false">IF(A1497="","",DATE(YEAR(A1497),MONTH(A1497),1))</f>
        <v/>
      </c>
      <c r="L1497" s="28" t="str">
        <f aca="false">IF(E1497="","",IFERROR(INDEX(Settings!$K$8:$K$38,MATCH(E1497,Settings!$H$8:$H$38,0))&amp;"",""))</f>
        <v/>
      </c>
    </row>
    <row r="1498" customFormat="false" ht="15" hidden="false" customHeight="false" outlineLevel="0" collapsed="false">
      <c r="A1498" s="33"/>
      <c r="B1498" s="27"/>
      <c r="C1498" s="27"/>
      <c r="D1498" s="27"/>
      <c r="E1498" s="27"/>
      <c r="F1498" s="34"/>
      <c r="G1498" s="27"/>
      <c r="H1498" s="27"/>
      <c r="I1498" s="28" t="str">
        <f aca="false">IF(C1498="","",IFERROR(INDEX(Settings!$C$8:$C$19,MATCH(C1498,Settings!$B$8:$B$19,0)),"?"))</f>
        <v/>
      </c>
      <c r="J1498" s="28" t="str">
        <f aca="false">IF(G1498="","",IFERROR(INDEX(Settings!$C$8:$C$19,MATCH(G1498,Settings!$B$8:$B$19,0)),"?"))</f>
        <v/>
      </c>
      <c r="K1498" s="35" t="str">
        <f aca="false">IF(A1498="","",DATE(YEAR(A1498),MONTH(A1498),1))</f>
        <v/>
      </c>
      <c r="L1498" s="28" t="str">
        <f aca="false">IF(E1498="","",IFERROR(INDEX(Settings!$K$8:$K$38,MATCH(E1498,Settings!$H$8:$H$38,0))&amp;"",""))</f>
        <v/>
      </c>
    </row>
    <row r="1499" customFormat="false" ht="15" hidden="false" customHeight="false" outlineLevel="0" collapsed="false">
      <c r="A1499" s="33"/>
      <c r="B1499" s="27"/>
      <c r="C1499" s="27"/>
      <c r="D1499" s="27"/>
      <c r="E1499" s="27"/>
      <c r="F1499" s="34"/>
      <c r="G1499" s="27"/>
      <c r="H1499" s="27"/>
      <c r="I1499" s="28" t="str">
        <f aca="false">IF(C1499="","",IFERROR(INDEX(Settings!$C$8:$C$19,MATCH(C1499,Settings!$B$8:$B$19,0)),"?"))</f>
        <v/>
      </c>
      <c r="J1499" s="28" t="str">
        <f aca="false">IF(G1499="","",IFERROR(INDEX(Settings!$C$8:$C$19,MATCH(G1499,Settings!$B$8:$B$19,0)),"?"))</f>
        <v/>
      </c>
      <c r="K1499" s="35" t="str">
        <f aca="false">IF(A1499="","",DATE(YEAR(A1499),MONTH(A1499),1))</f>
        <v/>
      </c>
      <c r="L1499" s="28" t="str">
        <f aca="false">IF(E1499="","",IFERROR(INDEX(Settings!$K$8:$K$38,MATCH(E1499,Settings!$H$8:$H$38,0))&amp;"",""))</f>
        <v/>
      </c>
    </row>
    <row r="1500" customFormat="false" ht="15" hidden="false" customHeight="false" outlineLevel="0" collapsed="false">
      <c r="A1500" s="33"/>
      <c r="B1500" s="27"/>
      <c r="C1500" s="27"/>
      <c r="D1500" s="27"/>
      <c r="E1500" s="27"/>
      <c r="F1500" s="34"/>
      <c r="G1500" s="27"/>
      <c r="H1500" s="27"/>
      <c r="I1500" s="28" t="str">
        <f aca="false">IF(C1500="","",IFERROR(INDEX(Settings!$C$8:$C$19,MATCH(C1500,Settings!$B$8:$B$19,0)),"?"))</f>
        <v/>
      </c>
      <c r="J1500" s="28" t="str">
        <f aca="false">IF(G1500="","",IFERROR(INDEX(Settings!$C$8:$C$19,MATCH(G1500,Settings!$B$8:$B$19,0)),"?"))</f>
        <v/>
      </c>
      <c r="K1500" s="35" t="str">
        <f aca="false">IF(A1500="","",DATE(YEAR(A1500),MONTH(A1500),1))</f>
        <v/>
      </c>
      <c r="L1500" s="28" t="str">
        <f aca="false">IF(E1500="","",IFERROR(INDEX(Settings!$K$8:$K$38,MATCH(E1500,Settings!$H$8:$H$38,0))&amp;"",""))</f>
        <v/>
      </c>
    </row>
    <row r="1501" customFormat="false" ht="15" hidden="false" customHeight="false" outlineLevel="0" collapsed="false">
      <c r="A1501" s="33"/>
      <c r="B1501" s="27"/>
      <c r="C1501" s="27"/>
      <c r="D1501" s="27"/>
      <c r="E1501" s="27"/>
      <c r="F1501" s="34"/>
      <c r="G1501" s="27"/>
      <c r="H1501" s="27"/>
      <c r="I1501" s="28" t="str">
        <f aca="false">IF(C1501="","",IFERROR(INDEX(Settings!$C$8:$C$19,MATCH(C1501,Settings!$B$8:$B$19,0)),"?"))</f>
        <v/>
      </c>
      <c r="J1501" s="28" t="str">
        <f aca="false">IF(G1501="","",IFERROR(INDEX(Settings!$C$8:$C$19,MATCH(G1501,Settings!$B$8:$B$19,0)),"?"))</f>
        <v/>
      </c>
      <c r="K1501" s="35" t="str">
        <f aca="false">IF(A1501="","",DATE(YEAR(A1501),MONTH(A1501),1))</f>
        <v/>
      </c>
      <c r="L1501" s="28" t="str">
        <f aca="false">IF(E1501="","",IFERROR(INDEX(Settings!$K$8:$K$38,MATCH(E1501,Settings!$H$8:$H$38,0))&amp;"",""))</f>
        <v/>
      </c>
    </row>
    <row r="1502" customFormat="false" ht="15" hidden="false" customHeight="false" outlineLevel="0" collapsed="false">
      <c r="A1502" s="33"/>
      <c r="B1502" s="27"/>
      <c r="C1502" s="27"/>
      <c r="D1502" s="27"/>
      <c r="E1502" s="27"/>
      <c r="F1502" s="34"/>
      <c r="G1502" s="27"/>
      <c r="H1502" s="27"/>
      <c r="I1502" s="28" t="str">
        <f aca="false">IF(C1502="","",IFERROR(INDEX(Settings!$C$8:$C$19,MATCH(C1502,Settings!$B$8:$B$19,0)),"?"))</f>
        <v/>
      </c>
      <c r="J1502" s="28" t="str">
        <f aca="false">IF(G1502="","",IFERROR(INDEX(Settings!$C$8:$C$19,MATCH(G1502,Settings!$B$8:$B$19,0)),"?"))</f>
        <v/>
      </c>
      <c r="K1502" s="35" t="str">
        <f aca="false">IF(A1502="","",DATE(YEAR(A1502),MONTH(A1502),1))</f>
        <v/>
      </c>
      <c r="L1502" s="28" t="str">
        <f aca="false">IF(E1502="","",IFERROR(INDEX(Settings!$K$8:$K$38,MATCH(E1502,Settings!$H$8:$H$38,0))&amp;"",""))</f>
        <v/>
      </c>
    </row>
    <row r="1503" customFormat="false" ht="15" hidden="false" customHeight="false" outlineLevel="0" collapsed="false">
      <c r="A1503" s="33"/>
      <c r="B1503" s="27"/>
      <c r="C1503" s="27"/>
      <c r="D1503" s="27"/>
      <c r="E1503" s="27"/>
      <c r="F1503" s="34"/>
      <c r="G1503" s="27"/>
      <c r="H1503" s="27"/>
      <c r="I1503" s="28" t="str">
        <f aca="false">IF(C1503="","",IFERROR(INDEX(Settings!$C$8:$C$19,MATCH(C1503,Settings!$B$8:$B$19,0)),"?"))</f>
        <v/>
      </c>
      <c r="J1503" s="28" t="str">
        <f aca="false">IF(G1503="","",IFERROR(INDEX(Settings!$C$8:$C$19,MATCH(G1503,Settings!$B$8:$B$19,0)),"?"))</f>
        <v/>
      </c>
      <c r="K1503" s="35" t="str">
        <f aca="false">IF(A1503="","",DATE(YEAR(A1503),MONTH(A1503),1))</f>
        <v/>
      </c>
      <c r="L1503" s="28" t="str">
        <f aca="false">IF(E1503="","",IFERROR(INDEX(Settings!$K$8:$K$38,MATCH(E1503,Settings!$H$8:$H$38,0))&amp;"",""))</f>
        <v/>
      </c>
    </row>
    <row r="1504" customFormat="false" ht="15" hidden="false" customHeight="false" outlineLevel="0" collapsed="false">
      <c r="A1504" s="33"/>
      <c r="B1504" s="27"/>
      <c r="C1504" s="27"/>
      <c r="D1504" s="27"/>
      <c r="E1504" s="27"/>
      <c r="F1504" s="34"/>
      <c r="G1504" s="27"/>
      <c r="H1504" s="27"/>
      <c r="I1504" s="28" t="str">
        <f aca="false">IF(C1504="","",IFERROR(INDEX(Settings!$C$8:$C$19,MATCH(C1504,Settings!$B$8:$B$19,0)),"?"))</f>
        <v/>
      </c>
      <c r="J1504" s="28" t="str">
        <f aca="false">IF(G1504="","",IFERROR(INDEX(Settings!$C$8:$C$19,MATCH(G1504,Settings!$B$8:$B$19,0)),"?"))</f>
        <v/>
      </c>
      <c r="K1504" s="35" t="str">
        <f aca="false">IF(A1504="","",DATE(YEAR(A1504),MONTH(A1504),1))</f>
        <v/>
      </c>
      <c r="L1504" s="28" t="str">
        <f aca="false">IF(E1504="","",IFERROR(INDEX(Settings!$K$8:$K$38,MATCH(E1504,Settings!$H$8:$H$38,0))&amp;"",""))</f>
        <v/>
      </c>
    </row>
    <row r="1505" customFormat="false" ht="15" hidden="false" customHeight="false" outlineLevel="0" collapsed="false">
      <c r="A1505" s="33"/>
      <c r="B1505" s="27"/>
      <c r="C1505" s="27"/>
      <c r="D1505" s="27"/>
      <c r="E1505" s="27"/>
      <c r="F1505" s="34"/>
      <c r="G1505" s="27"/>
      <c r="H1505" s="27"/>
      <c r="I1505" s="28" t="str">
        <f aca="false">IF(C1505="","",IFERROR(INDEX(Settings!$C$8:$C$19,MATCH(C1505,Settings!$B$8:$B$19,0)),"?"))</f>
        <v/>
      </c>
      <c r="J1505" s="28" t="str">
        <f aca="false">IF(G1505="","",IFERROR(INDEX(Settings!$C$8:$C$19,MATCH(G1505,Settings!$B$8:$B$19,0)),"?"))</f>
        <v/>
      </c>
      <c r="K1505" s="35" t="str">
        <f aca="false">IF(A1505="","",DATE(YEAR(A1505),MONTH(A1505),1))</f>
        <v/>
      </c>
      <c r="L1505" s="28" t="str">
        <f aca="false">IF(E1505="","",IFERROR(INDEX(Settings!$K$8:$K$38,MATCH(E1505,Settings!$H$8:$H$38,0))&amp;"",""))</f>
        <v/>
      </c>
    </row>
    <row r="1506" customFormat="false" ht="15" hidden="false" customHeight="false" outlineLevel="0" collapsed="false">
      <c r="A1506" s="33"/>
      <c r="B1506" s="27"/>
      <c r="C1506" s="27"/>
      <c r="D1506" s="27"/>
      <c r="E1506" s="27"/>
      <c r="F1506" s="34"/>
      <c r="G1506" s="27"/>
      <c r="H1506" s="27"/>
      <c r="I1506" s="28" t="str">
        <f aca="false">IF(C1506="","",IFERROR(INDEX(Settings!$C$8:$C$19,MATCH(C1506,Settings!$B$8:$B$19,0)),"?"))</f>
        <v/>
      </c>
      <c r="J1506" s="28" t="str">
        <f aca="false">IF(G1506="","",IFERROR(INDEX(Settings!$C$8:$C$19,MATCH(G1506,Settings!$B$8:$B$19,0)),"?"))</f>
        <v/>
      </c>
      <c r="K1506" s="35" t="str">
        <f aca="false">IF(A1506="","",DATE(YEAR(A1506),MONTH(A1506),1))</f>
        <v/>
      </c>
      <c r="L1506" s="28" t="str">
        <f aca="false">IF(E1506="","",IFERROR(INDEX(Settings!$K$8:$K$38,MATCH(E1506,Settings!$H$8:$H$38,0))&amp;"",""))</f>
        <v/>
      </c>
    </row>
    <row r="1507" customFormat="false" ht="15" hidden="false" customHeight="false" outlineLevel="0" collapsed="false">
      <c r="A1507" s="33"/>
      <c r="B1507" s="27"/>
      <c r="C1507" s="27"/>
      <c r="D1507" s="27"/>
      <c r="E1507" s="27"/>
      <c r="F1507" s="34"/>
      <c r="G1507" s="27"/>
      <c r="H1507" s="27"/>
      <c r="I1507" s="28" t="str">
        <f aca="false">IF(C1507="","",IFERROR(INDEX(Settings!$C$8:$C$19,MATCH(C1507,Settings!$B$8:$B$19,0)),"?"))</f>
        <v/>
      </c>
      <c r="J1507" s="28" t="str">
        <f aca="false">IF(G1507="","",IFERROR(INDEX(Settings!$C$8:$C$19,MATCH(G1507,Settings!$B$8:$B$19,0)),"?"))</f>
        <v/>
      </c>
      <c r="K1507" s="35" t="str">
        <f aca="false">IF(A1507="","",DATE(YEAR(A1507),MONTH(A1507),1))</f>
        <v/>
      </c>
      <c r="L1507" s="28" t="str">
        <f aca="false">IF(E1507="","",IFERROR(INDEX(Settings!$K$8:$K$38,MATCH(E1507,Settings!$H$8:$H$38,0))&amp;"",""))</f>
        <v/>
      </c>
    </row>
    <row r="1508" customFormat="false" ht="15" hidden="false" customHeight="false" outlineLevel="0" collapsed="false">
      <c r="A1508" s="33"/>
      <c r="B1508" s="27"/>
      <c r="C1508" s="27"/>
      <c r="D1508" s="27"/>
      <c r="E1508" s="27"/>
      <c r="F1508" s="34"/>
      <c r="G1508" s="27"/>
      <c r="H1508" s="27"/>
      <c r="I1508" s="28" t="str">
        <f aca="false">IF(C1508="","",IFERROR(INDEX(Settings!$C$8:$C$19,MATCH(C1508,Settings!$B$8:$B$19,0)),"?"))</f>
        <v/>
      </c>
      <c r="J1508" s="28" t="str">
        <f aca="false">IF(G1508="","",IFERROR(INDEX(Settings!$C$8:$C$19,MATCH(G1508,Settings!$B$8:$B$19,0)),"?"))</f>
        <v/>
      </c>
      <c r="K1508" s="35" t="str">
        <f aca="false">IF(A1508="","",DATE(YEAR(A1508),MONTH(A1508),1))</f>
        <v/>
      </c>
      <c r="L1508" s="28" t="str">
        <f aca="false">IF(E1508="","",IFERROR(INDEX(Settings!$K$8:$K$38,MATCH(E1508,Settings!$H$8:$H$38,0))&amp;"",""))</f>
        <v/>
      </c>
    </row>
    <row r="1509" customFormat="false" ht="15" hidden="false" customHeight="false" outlineLevel="0" collapsed="false">
      <c r="A1509" s="33"/>
      <c r="B1509" s="27"/>
      <c r="C1509" s="27"/>
      <c r="D1509" s="27"/>
      <c r="E1509" s="27"/>
      <c r="F1509" s="34"/>
      <c r="G1509" s="27"/>
      <c r="H1509" s="27"/>
      <c r="I1509" s="28" t="str">
        <f aca="false">IF(C1509="","",IFERROR(INDEX(Settings!$C$8:$C$19,MATCH(C1509,Settings!$B$8:$B$19,0)),"?"))</f>
        <v/>
      </c>
      <c r="J1509" s="28" t="str">
        <f aca="false">IF(G1509="","",IFERROR(INDEX(Settings!$C$8:$C$19,MATCH(G1509,Settings!$B$8:$B$19,0)),"?"))</f>
        <v/>
      </c>
      <c r="K1509" s="35" t="str">
        <f aca="false">IF(A1509="","",DATE(YEAR(A1509),MONTH(A1509),1))</f>
        <v/>
      </c>
      <c r="L1509" s="28" t="str">
        <f aca="false">IF(E1509="","",IFERROR(INDEX(Settings!$K$8:$K$38,MATCH(E1509,Settings!$H$8:$H$38,0))&amp;"",""))</f>
        <v/>
      </c>
    </row>
    <row r="1510" customFormat="false" ht="15" hidden="false" customHeight="false" outlineLevel="0" collapsed="false">
      <c r="A1510" s="33"/>
      <c r="B1510" s="27"/>
      <c r="C1510" s="27"/>
      <c r="D1510" s="27"/>
      <c r="E1510" s="27"/>
      <c r="F1510" s="34"/>
      <c r="G1510" s="27"/>
      <c r="H1510" s="27"/>
      <c r="I1510" s="28" t="str">
        <f aca="false">IF(C1510="","",IFERROR(INDEX(Settings!$C$8:$C$19,MATCH(C1510,Settings!$B$8:$B$19,0)),"?"))</f>
        <v/>
      </c>
      <c r="J1510" s="28" t="str">
        <f aca="false">IF(G1510="","",IFERROR(INDEX(Settings!$C$8:$C$19,MATCH(G1510,Settings!$B$8:$B$19,0)),"?"))</f>
        <v/>
      </c>
      <c r="K1510" s="35" t="str">
        <f aca="false">IF(A1510="","",DATE(YEAR(A1510),MONTH(A1510),1))</f>
        <v/>
      </c>
      <c r="L1510" s="28" t="str">
        <f aca="false">IF(E1510="","",IFERROR(INDEX(Settings!$K$8:$K$38,MATCH(E1510,Settings!$H$8:$H$38,0))&amp;"",""))</f>
        <v/>
      </c>
    </row>
    <row r="1511" customFormat="false" ht="15" hidden="false" customHeight="false" outlineLevel="0" collapsed="false">
      <c r="A1511" s="33"/>
      <c r="B1511" s="27"/>
      <c r="C1511" s="27"/>
      <c r="D1511" s="27"/>
      <c r="E1511" s="27"/>
      <c r="F1511" s="34"/>
      <c r="G1511" s="27"/>
      <c r="H1511" s="27"/>
      <c r="I1511" s="28" t="str">
        <f aca="false">IF(C1511="","",IFERROR(INDEX(Settings!$C$8:$C$19,MATCH(C1511,Settings!$B$8:$B$19,0)),"?"))</f>
        <v/>
      </c>
      <c r="J1511" s="28" t="str">
        <f aca="false">IF(G1511="","",IFERROR(INDEX(Settings!$C$8:$C$19,MATCH(G1511,Settings!$B$8:$B$19,0)),"?"))</f>
        <v/>
      </c>
      <c r="K1511" s="35" t="str">
        <f aca="false">IF(A1511="","",DATE(YEAR(A1511),MONTH(A1511),1))</f>
        <v/>
      </c>
      <c r="L1511" s="28" t="str">
        <f aca="false">IF(E1511="","",IFERROR(INDEX(Settings!$K$8:$K$38,MATCH(E1511,Settings!$H$8:$H$38,0))&amp;"",""))</f>
        <v/>
      </c>
    </row>
    <row r="1512" customFormat="false" ht="15" hidden="false" customHeight="false" outlineLevel="0" collapsed="false">
      <c r="A1512" s="33"/>
      <c r="B1512" s="27"/>
      <c r="C1512" s="27"/>
      <c r="D1512" s="27"/>
      <c r="E1512" s="27"/>
      <c r="F1512" s="34"/>
      <c r="G1512" s="27"/>
      <c r="H1512" s="27"/>
      <c r="I1512" s="28" t="str">
        <f aca="false">IF(C1512="","",IFERROR(INDEX(Settings!$C$8:$C$19,MATCH(C1512,Settings!$B$8:$B$19,0)),"?"))</f>
        <v/>
      </c>
      <c r="J1512" s="28" t="str">
        <f aca="false">IF(G1512="","",IFERROR(INDEX(Settings!$C$8:$C$19,MATCH(G1512,Settings!$B$8:$B$19,0)),"?"))</f>
        <v/>
      </c>
      <c r="K1512" s="35" t="str">
        <f aca="false">IF(A1512="","",DATE(YEAR(A1512),MONTH(A1512),1))</f>
        <v/>
      </c>
      <c r="L1512" s="28" t="str">
        <f aca="false">IF(E1512="","",IFERROR(INDEX(Settings!$K$8:$K$38,MATCH(E1512,Settings!$H$8:$H$38,0))&amp;"",""))</f>
        <v/>
      </c>
    </row>
    <row r="1513" customFormat="false" ht="15" hidden="false" customHeight="false" outlineLevel="0" collapsed="false">
      <c r="A1513" s="33"/>
      <c r="B1513" s="27"/>
      <c r="C1513" s="27"/>
      <c r="D1513" s="27"/>
      <c r="E1513" s="27"/>
      <c r="F1513" s="34"/>
      <c r="G1513" s="27"/>
      <c r="H1513" s="27"/>
      <c r="I1513" s="28" t="str">
        <f aca="false">IF(C1513="","",IFERROR(INDEX(Settings!$C$8:$C$19,MATCH(C1513,Settings!$B$8:$B$19,0)),"?"))</f>
        <v/>
      </c>
      <c r="J1513" s="28" t="str">
        <f aca="false">IF(G1513="","",IFERROR(INDEX(Settings!$C$8:$C$19,MATCH(G1513,Settings!$B$8:$B$19,0)),"?"))</f>
        <v/>
      </c>
      <c r="K1513" s="35" t="str">
        <f aca="false">IF(A1513="","",DATE(YEAR(A1513),MONTH(A1513),1))</f>
        <v/>
      </c>
      <c r="L1513" s="28" t="str">
        <f aca="false">IF(E1513="","",IFERROR(INDEX(Settings!$K$8:$K$38,MATCH(E1513,Settings!$H$8:$H$38,0))&amp;"",""))</f>
        <v/>
      </c>
    </row>
    <row r="1514" customFormat="false" ht="15" hidden="false" customHeight="false" outlineLevel="0" collapsed="false">
      <c r="A1514" s="33"/>
      <c r="B1514" s="27"/>
      <c r="C1514" s="27"/>
      <c r="D1514" s="27"/>
      <c r="E1514" s="27"/>
      <c r="F1514" s="34"/>
      <c r="G1514" s="27"/>
      <c r="H1514" s="27"/>
      <c r="I1514" s="28" t="str">
        <f aca="false">IF(C1514="","",IFERROR(INDEX(Settings!$C$8:$C$19,MATCH(C1514,Settings!$B$8:$B$19,0)),"?"))</f>
        <v/>
      </c>
      <c r="J1514" s="28" t="str">
        <f aca="false">IF(G1514="","",IFERROR(INDEX(Settings!$C$8:$C$19,MATCH(G1514,Settings!$B$8:$B$19,0)),"?"))</f>
        <v/>
      </c>
      <c r="K1514" s="35" t="str">
        <f aca="false">IF(A1514="","",DATE(YEAR(A1514),MONTH(A1514),1))</f>
        <v/>
      </c>
      <c r="L1514" s="28" t="str">
        <f aca="false">IF(E1514="","",IFERROR(INDEX(Settings!$K$8:$K$38,MATCH(E1514,Settings!$H$8:$H$38,0))&amp;"",""))</f>
        <v/>
      </c>
    </row>
    <row r="1515" customFormat="false" ht="15" hidden="false" customHeight="false" outlineLevel="0" collapsed="false">
      <c r="A1515" s="33"/>
      <c r="B1515" s="27"/>
      <c r="C1515" s="27"/>
      <c r="D1515" s="27"/>
      <c r="E1515" s="27"/>
      <c r="F1515" s="34"/>
      <c r="G1515" s="27"/>
      <c r="H1515" s="27"/>
      <c r="I1515" s="28" t="str">
        <f aca="false">IF(C1515="","",IFERROR(INDEX(Settings!$C$8:$C$19,MATCH(C1515,Settings!$B$8:$B$19,0)),"?"))</f>
        <v/>
      </c>
      <c r="J1515" s="28" t="str">
        <f aca="false">IF(G1515="","",IFERROR(INDEX(Settings!$C$8:$C$19,MATCH(G1515,Settings!$B$8:$B$19,0)),"?"))</f>
        <v/>
      </c>
      <c r="K1515" s="35" t="str">
        <f aca="false">IF(A1515="","",DATE(YEAR(A1515),MONTH(A1515),1))</f>
        <v/>
      </c>
      <c r="L1515" s="28" t="str">
        <f aca="false">IF(E1515="","",IFERROR(INDEX(Settings!$K$8:$K$38,MATCH(E1515,Settings!$H$8:$H$38,0))&amp;"",""))</f>
        <v/>
      </c>
    </row>
    <row r="1516" customFormat="false" ht="15" hidden="false" customHeight="false" outlineLevel="0" collapsed="false">
      <c r="A1516" s="33"/>
      <c r="B1516" s="27"/>
      <c r="C1516" s="27"/>
      <c r="D1516" s="27"/>
      <c r="E1516" s="27"/>
      <c r="F1516" s="34"/>
      <c r="G1516" s="27"/>
      <c r="H1516" s="27"/>
      <c r="I1516" s="28" t="str">
        <f aca="false">IF(C1516="","",IFERROR(INDEX(Settings!$C$8:$C$19,MATCH(C1516,Settings!$B$8:$B$19,0)),"?"))</f>
        <v/>
      </c>
      <c r="J1516" s="28" t="str">
        <f aca="false">IF(G1516="","",IFERROR(INDEX(Settings!$C$8:$C$19,MATCH(G1516,Settings!$B$8:$B$19,0)),"?"))</f>
        <v/>
      </c>
      <c r="K1516" s="35" t="str">
        <f aca="false">IF(A1516="","",DATE(YEAR(A1516),MONTH(A1516),1))</f>
        <v/>
      </c>
      <c r="L1516" s="28" t="str">
        <f aca="false">IF(E1516="","",IFERROR(INDEX(Settings!$K$8:$K$38,MATCH(E1516,Settings!$H$8:$H$38,0))&amp;"",""))</f>
        <v/>
      </c>
    </row>
    <row r="1517" customFormat="false" ht="15" hidden="false" customHeight="false" outlineLevel="0" collapsed="false">
      <c r="A1517" s="33"/>
      <c r="B1517" s="27"/>
      <c r="C1517" s="27"/>
      <c r="D1517" s="27"/>
      <c r="E1517" s="27"/>
      <c r="F1517" s="34"/>
      <c r="G1517" s="27"/>
      <c r="H1517" s="27"/>
      <c r="I1517" s="28" t="str">
        <f aca="false">IF(C1517="","",IFERROR(INDEX(Settings!$C$8:$C$19,MATCH(C1517,Settings!$B$8:$B$19,0)),"?"))</f>
        <v/>
      </c>
      <c r="J1517" s="28" t="str">
        <f aca="false">IF(G1517="","",IFERROR(INDEX(Settings!$C$8:$C$19,MATCH(G1517,Settings!$B$8:$B$19,0)),"?"))</f>
        <v/>
      </c>
      <c r="K1517" s="35" t="str">
        <f aca="false">IF(A1517="","",DATE(YEAR(A1517),MONTH(A1517),1))</f>
        <v/>
      </c>
      <c r="L1517" s="28" t="str">
        <f aca="false">IF(E1517="","",IFERROR(INDEX(Settings!$K$8:$K$38,MATCH(E1517,Settings!$H$8:$H$38,0))&amp;"",""))</f>
        <v/>
      </c>
    </row>
    <row r="1518" customFormat="false" ht="15" hidden="false" customHeight="false" outlineLevel="0" collapsed="false">
      <c r="A1518" s="33"/>
      <c r="B1518" s="27"/>
      <c r="C1518" s="27"/>
      <c r="D1518" s="27"/>
      <c r="E1518" s="27"/>
      <c r="F1518" s="34"/>
      <c r="G1518" s="27"/>
      <c r="H1518" s="27"/>
      <c r="I1518" s="28" t="str">
        <f aca="false">IF(C1518="","",IFERROR(INDEX(Settings!$C$8:$C$19,MATCH(C1518,Settings!$B$8:$B$19,0)),"?"))</f>
        <v/>
      </c>
      <c r="J1518" s="28" t="str">
        <f aca="false">IF(G1518="","",IFERROR(INDEX(Settings!$C$8:$C$19,MATCH(G1518,Settings!$B$8:$B$19,0)),"?"))</f>
        <v/>
      </c>
      <c r="K1518" s="35" t="str">
        <f aca="false">IF(A1518="","",DATE(YEAR(A1518),MONTH(A1518),1))</f>
        <v/>
      </c>
      <c r="L1518" s="28" t="str">
        <f aca="false">IF(E1518="","",IFERROR(INDEX(Settings!$K$8:$K$38,MATCH(E1518,Settings!$H$8:$H$38,0))&amp;"",""))</f>
        <v/>
      </c>
    </row>
    <row r="1519" customFormat="false" ht="15" hidden="false" customHeight="false" outlineLevel="0" collapsed="false">
      <c r="A1519" s="33"/>
      <c r="B1519" s="27"/>
      <c r="C1519" s="27"/>
      <c r="D1519" s="27"/>
      <c r="E1519" s="27"/>
      <c r="F1519" s="34"/>
      <c r="G1519" s="27"/>
      <c r="H1519" s="27"/>
      <c r="I1519" s="28" t="str">
        <f aca="false">IF(C1519="","",IFERROR(INDEX(Settings!$C$8:$C$19,MATCH(C1519,Settings!$B$8:$B$19,0)),"?"))</f>
        <v/>
      </c>
      <c r="J1519" s="28" t="str">
        <f aca="false">IF(G1519="","",IFERROR(INDEX(Settings!$C$8:$C$19,MATCH(G1519,Settings!$B$8:$B$19,0)),"?"))</f>
        <v/>
      </c>
      <c r="K1519" s="35" t="str">
        <f aca="false">IF(A1519="","",DATE(YEAR(A1519),MONTH(A1519),1))</f>
        <v/>
      </c>
      <c r="L1519" s="28" t="str">
        <f aca="false">IF(E1519="","",IFERROR(INDEX(Settings!$K$8:$K$38,MATCH(E1519,Settings!$H$8:$H$38,0))&amp;"",""))</f>
        <v/>
      </c>
    </row>
    <row r="1520" customFormat="false" ht="15" hidden="false" customHeight="false" outlineLevel="0" collapsed="false">
      <c r="A1520" s="33"/>
      <c r="B1520" s="27"/>
      <c r="C1520" s="27"/>
      <c r="D1520" s="27"/>
      <c r="E1520" s="27"/>
      <c r="F1520" s="34"/>
      <c r="G1520" s="27"/>
      <c r="H1520" s="27"/>
      <c r="I1520" s="28" t="str">
        <f aca="false">IF(C1520="","",IFERROR(INDEX(Settings!$C$8:$C$19,MATCH(C1520,Settings!$B$8:$B$19,0)),"?"))</f>
        <v/>
      </c>
      <c r="J1520" s="28" t="str">
        <f aca="false">IF(G1520="","",IFERROR(INDEX(Settings!$C$8:$C$19,MATCH(G1520,Settings!$B$8:$B$19,0)),"?"))</f>
        <v/>
      </c>
      <c r="K1520" s="35" t="str">
        <f aca="false">IF(A1520="","",DATE(YEAR(A1520),MONTH(A1520),1))</f>
        <v/>
      </c>
      <c r="L1520" s="28" t="str">
        <f aca="false">IF(E1520="","",IFERROR(INDEX(Settings!$K$8:$K$38,MATCH(E1520,Settings!$H$8:$H$38,0))&amp;"",""))</f>
        <v/>
      </c>
    </row>
    <row r="1521" customFormat="false" ht="15" hidden="false" customHeight="false" outlineLevel="0" collapsed="false">
      <c r="A1521" s="33"/>
      <c r="B1521" s="27"/>
      <c r="C1521" s="27"/>
      <c r="D1521" s="27"/>
      <c r="E1521" s="27"/>
      <c r="F1521" s="34"/>
      <c r="G1521" s="27"/>
      <c r="H1521" s="27"/>
      <c r="I1521" s="28" t="str">
        <f aca="false">IF(C1521="","",IFERROR(INDEX(Settings!$C$8:$C$19,MATCH(C1521,Settings!$B$8:$B$19,0)),"?"))</f>
        <v/>
      </c>
      <c r="J1521" s="28" t="str">
        <f aca="false">IF(G1521="","",IFERROR(INDEX(Settings!$C$8:$C$19,MATCH(G1521,Settings!$B$8:$B$19,0)),"?"))</f>
        <v/>
      </c>
      <c r="K1521" s="35" t="str">
        <f aca="false">IF(A1521="","",DATE(YEAR(A1521),MONTH(A1521),1))</f>
        <v/>
      </c>
      <c r="L1521" s="28" t="str">
        <f aca="false">IF(E1521="","",IFERROR(INDEX(Settings!$K$8:$K$38,MATCH(E1521,Settings!$H$8:$H$38,0))&amp;"",""))</f>
        <v/>
      </c>
    </row>
    <row r="1522" customFormat="false" ht="15" hidden="false" customHeight="false" outlineLevel="0" collapsed="false">
      <c r="A1522" s="33"/>
      <c r="B1522" s="27"/>
      <c r="C1522" s="27"/>
      <c r="D1522" s="27"/>
      <c r="E1522" s="27"/>
      <c r="F1522" s="34"/>
      <c r="G1522" s="27"/>
      <c r="H1522" s="27"/>
      <c r="I1522" s="28" t="str">
        <f aca="false">IF(C1522="","",IFERROR(INDEX(Settings!$C$8:$C$19,MATCH(C1522,Settings!$B$8:$B$19,0)),"?"))</f>
        <v/>
      </c>
      <c r="J1522" s="28" t="str">
        <f aca="false">IF(G1522="","",IFERROR(INDEX(Settings!$C$8:$C$19,MATCH(G1522,Settings!$B$8:$B$19,0)),"?"))</f>
        <v/>
      </c>
      <c r="K1522" s="35" t="str">
        <f aca="false">IF(A1522="","",DATE(YEAR(A1522),MONTH(A1522),1))</f>
        <v/>
      </c>
      <c r="L1522" s="28" t="str">
        <f aca="false">IF(E1522="","",IFERROR(INDEX(Settings!$K$8:$K$38,MATCH(E1522,Settings!$H$8:$H$38,0))&amp;"",""))</f>
        <v/>
      </c>
    </row>
    <row r="1523" customFormat="false" ht="15" hidden="false" customHeight="false" outlineLevel="0" collapsed="false">
      <c r="A1523" s="33"/>
      <c r="B1523" s="27"/>
      <c r="C1523" s="27"/>
      <c r="D1523" s="27"/>
      <c r="E1523" s="27"/>
      <c r="F1523" s="34"/>
      <c r="G1523" s="27"/>
      <c r="H1523" s="27"/>
      <c r="I1523" s="28" t="str">
        <f aca="false">IF(C1523="","",IFERROR(INDEX(Settings!$C$8:$C$19,MATCH(C1523,Settings!$B$8:$B$19,0)),"?"))</f>
        <v/>
      </c>
      <c r="J1523" s="28" t="str">
        <f aca="false">IF(G1523="","",IFERROR(INDEX(Settings!$C$8:$C$19,MATCH(G1523,Settings!$B$8:$B$19,0)),"?"))</f>
        <v/>
      </c>
      <c r="K1523" s="35" t="str">
        <f aca="false">IF(A1523="","",DATE(YEAR(A1523),MONTH(A1523),1))</f>
        <v/>
      </c>
      <c r="L1523" s="28" t="str">
        <f aca="false">IF(E1523="","",IFERROR(INDEX(Settings!$K$8:$K$38,MATCH(E1523,Settings!$H$8:$H$38,0))&amp;"",""))</f>
        <v/>
      </c>
    </row>
    <row r="1524" customFormat="false" ht="15" hidden="false" customHeight="false" outlineLevel="0" collapsed="false">
      <c r="A1524" s="33"/>
      <c r="B1524" s="27"/>
      <c r="C1524" s="27"/>
      <c r="D1524" s="27"/>
      <c r="E1524" s="27"/>
      <c r="F1524" s="34"/>
      <c r="G1524" s="27"/>
      <c r="H1524" s="27"/>
      <c r="I1524" s="28" t="str">
        <f aca="false">IF(C1524="","",IFERROR(INDEX(Settings!$C$8:$C$19,MATCH(C1524,Settings!$B$8:$B$19,0)),"?"))</f>
        <v/>
      </c>
      <c r="J1524" s="28" t="str">
        <f aca="false">IF(G1524="","",IFERROR(INDEX(Settings!$C$8:$C$19,MATCH(G1524,Settings!$B$8:$B$19,0)),"?"))</f>
        <v/>
      </c>
      <c r="K1524" s="35" t="str">
        <f aca="false">IF(A1524="","",DATE(YEAR(A1524),MONTH(A1524),1))</f>
        <v/>
      </c>
      <c r="L1524" s="28" t="str">
        <f aca="false">IF(E1524="","",IFERROR(INDEX(Settings!$K$8:$K$38,MATCH(E1524,Settings!$H$8:$H$38,0))&amp;"",""))</f>
        <v/>
      </c>
    </row>
    <row r="1525" customFormat="false" ht="15" hidden="false" customHeight="false" outlineLevel="0" collapsed="false">
      <c r="A1525" s="33"/>
      <c r="B1525" s="27"/>
      <c r="C1525" s="27"/>
      <c r="D1525" s="27"/>
      <c r="E1525" s="27"/>
      <c r="F1525" s="34"/>
      <c r="G1525" s="27"/>
      <c r="H1525" s="27"/>
      <c r="I1525" s="28" t="str">
        <f aca="false">IF(C1525="","",IFERROR(INDEX(Settings!$C$8:$C$19,MATCH(C1525,Settings!$B$8:$B$19,0)),"?"))</f>
        <v/>
      </c>
      <c r="J1525" s="28" t="str">
        <f aca="false">IF(G1525="","",IFERROR(INDEX(Settings!$C$8:$C$19,MATCH(G1525,Settings!$B$8:$B$19,0)),"?"))</f>
        <v/>
      </c>
      <c r="K1525" s="35" t="str">
        <f aca="false">IF(A1525="","",DATE(YEAR(A1525),MONTH(A1525),1))</f>
        <v/>
      </c>
      <c r="L1525" s="28" t="str">
        <f aca="false">IF(E1525="","",IFERROR(INDEX(Settings!$K$8:$K$38,MATCH(E1525,Settings!$H$8:$H$38,0))&amp;"",""))</f>
        <v/>
      </c>
    </row>
    <row r="1526" customFormat="false" ht="15" hidden="false" customHeight="false" outlineLevel="0" collapsed="false">
      <c r="A1526" s="33"/>
      <c r="B1526" s="27"/>
      <c r="C1526" s="27"/>
      <c r="D1526" s="27"/>
      <c r="E1526" s="27"/>
      <c r="F1526" s="34"/>
      <c r="G1526" s="27"/>
      <c r="H1526" s="27"/>
      <c r="I1526" s="28" t="str">
        <f aca="false">IF(C1526="","",IFERROR(INDEX(Settings!$C$8:$C$19,MATCH(C1526,Settings!$B$8:$B$19,0)),"?"))</f>
        <v/>
      </c>
      <c r="J1526" s="28" t="str">
        <f aca="false">IF(G1526="","",IFERROR(INDEX(Settings!$C$8:$C$19,MATCH(G1526,Settings!$B$8:$B$19,0)),"?"))</f>
        <v/>
      </c>
      <c r="K1526" s="35" t="str">
        <f aca="false">IF(A1526="","",DATE(YEAR(A1526),MONTH(A1526),1))</f>
        <v/>
      </c>
      <c r="L1526" s="28" t="str">
        <f aca="false">IF(E1526="","",IFERROR(INDEX(Settings!$K$8:$K$38,MATCH(E1526,Settings!$H$8:$H$38,0))&amp;"",""))</f>
        <v/>
      </c>
    </row>
    <row r="1527" customFormat="false" ht="15" hidden="false" customHeight="false" outlineLevel="0" collapsed="false">
      <c r="A1527" s="33"/>
      <c r="B1527" s="27"/>
      <c r="C1527" s="27"/>
      <c r="D1527" s="27"/>
      <c r="E1527" s="27"/>
      <c r="F1527" s="34"/>
      <c r="G1527" s="27"/>
      <c r="H1527" s="27"/>
      <c r="I1527" s="28" t="str">
        <f aca="false">IF(C1527="","",IFERROR(INDEX(Settings!$C$8:$C$19,MATCH(C1527,Settings!$B$8:$B$19,0)),"?"))</f>
        <v/>
      </c>
      <c r="J1527" s="28" t="str">
        <f aca="false">IF(G1527="","",IFERROR(INDEX(Settings!$C$8:$C$19,MATCH(G1527,Settings!$B$8:$B$19,0)),"?"))</f>
        <v/>
      </c>
      <c r="K1527" s="35" t="str">
        <f aca="false">IF(A1527="","",DATE(YEAR(A1527),MONTH(A1527),1))</f>
        <v/>
      </c>
      <c r="L1527" s="28" t="str">
        <f aca="false">IF(E1527="","",IFERROR(INDEX(Settings!$K$8:$K$38,MATCH(E1527,Settings!$H$8:$H$38,0))&amp;"",""))</f>
        <v/>
      </c>
    </row>
    <row r="1528" customFormat="false" ht="15" hidden="false" customHeight="false" outlineLevel="0" collapsed="false">
      <c r="A1528" s="33"/>
      <c r="B1528" s="27"/>
      <c r="C1528" s="27"/>
      <c r="D1528" s="27"/>
      <c r="E1528" s="27"/>
      <c r="F1528" s="34"/>
      <c r="G1528" s="27"/>
      <c r="H1528" s="27"/>
      <c r="I1528" s="28" t="str">
        <f aca="false">IF(C1528="","",IFERROR(INDEX(Settings!$C$8:$C$19,MATCH(C1528,Settings!$B$8:$B$19,0)),"?"))</f>
        <v/>
      </c>
      <c r="J1528" s="28" t="str">
        <f aca="false">IF(G1528="","",IFERROR(INDEX(Settings!$C$8:$C$19,MATCH(G1528,Settings!$B$8:$B$19,0)),"?"))</f>
        <v/>
      </c>
      <c r="K1528" s="35" t="str">
        <f aca="false">IF(A1528="","",DATE(YEAR(A1528),MONTH(A1528),1))</f>
        <v/>
      </c>
      <c r="L1528" s="28" t="str">
        <f aca="false">IF(E1528="","",IFERROR(INDEX(Settings!$K$8:$K$38,MATCH(E1528,Settings!$H$8:$H$38,0))&amp;"",""))</f>
        <v/>
      </c>
    </row>
    <row r="1529" customFormat="false" ht="15" hidden="false" customHeight="false" outlineLevel="0" collapsed="false">
      <c r="A1529" s="33"/>
      <c r="B1529" s="27"/>
      <c r="C1529" s="27"/>
      <c r="D1529" s="27"/>
      <c r="E1529" s="27"/>
      <c r="F1529" s="34"/>
      <c r="G1529" s="27"/>
      <c r="H1529" s="27"/>
      <c r="I1529" s="28" t="str">
        <f aca="false">IF(C1529="","",IFERROR(INDEX(Settings!$C$8:$C$19,MATCH(C1529,Settings!$B$8:$B$19,0)),"?"))</f>
        <v/>
      </c>
      <c r="J1529" s="28" t="str">
        <f aca="false">IF(G1529="","",IFERROR(INDEX(Settings!$C$8:$C$19,MATCH(G1529,Settings!$B$8:$B$19,0)),"?"))</f>
        <v/>
      </c>
      <c r="K1529" s="35" t="str">
        <f aca="false">IF(A1529="","",DATE(YEAR(A1529),MONTH(A1529),1))</f>
        <v/>
      </c>
      <c r="L1529" s="28" t="str">
        <f aca="false">IF(E1529="","",IFERROR(INDEX(Settings!$K$8:$K$38,MATCH(E1529,Settings!$H$8:$H$38,0))&amp;"",""))</f>
        <v/>
      </c>
    </row>
    <row r="1530" customFormat="false" ht="15" hidden="false" customHeight="false" outlineLevel="0" collapsed="false">
      <c r="A1530" s="33"/>
      <c r="B1530" s="27"/>
      <c r="C1530" s="27"/>
      <c r="D1530" s="27"/>
      <c r="E1530" s="27"/>
      <c r="F1530" s="34"/>
      <c r="G1530" s="27"/>
      <c r="H1530" s="27"/>
      <c r="I1530" s="28" t="str">
        <f aca="false">IF(C1530="","",IFERROR(INDEX(Settings!$C$8:$C$19,MATCH(C1530,Settings!$B$8:$B$19,0)),"?"))</f>
        <v/>
      </c>
      <c r="J1530" s="28" t="str">
        <f aca="false">IF(G1530="","",IFERROR(INDEX(Settings!$C$8:$C$19,MATCH(G1530,Settings!$B$8:$B$19,0)),"?"))</f>
        <v/>
      </c>
      <c r="K1530" s="35" t="str">
        <f aca="false">IF(A1530="","",DATE(YEAR(A1530),MONTH(A1530),1))</f>
        <v/>
      </c>
      <c r="L1530" s="28" t="str">
        <f aca="false">IF(E1530="","",IFERROR(INDEX(Settings!$K$8:$K$38,MATCH(E1530,Settings!$H$8:$H$38,0))&amp;"",""))</f>
        <v/>
      </c>
    </row>
    <row r="1531" customFormat="false" ht="15" hidden="false" customHeight="false" outlineLevel="0" collapsed="false">
      <c r="A1531" s="33"/>
      <c r="B1531" s="27"/>
      <c r="C1531" s="27"/>
      <c r="D1531" s="27"/>
      <c r="E1531" s="27"/>
      <c r="F1531" s="34"/>
      <c r="G1531" s="27"/>
      <c r="H1531" s="27"/>
      <c r="I1531" s="28" t="str">
        <f aca="false">IF(C1531="","",IFERROR(INDEX(Settings!$C$8:$C$19,MATCH(C1531,Settings!$B$8:$B$19,0)),"?"))</f>
        <v/>
      </c>
      <c r="J1531" s="28" t="str">
        <f aca="false">IF(G1531="","",IFERROR(INDEX(Settings!$C$8:$C$19,MATCH(G1531,Settings!$B$8:$B$19,0)),"?"))</f>
        <v/>
      </c>
      <c r="K1531" s="35" t="str">
        <f aca="false">IF(A1531="","",DATE(YEAR(A1531),MONTH(A1531),1))</f>
        <v/>
      </c>
      <c r="L1531" s="28" t="str">
        <f aca="false">IF(E1531="","",IFERROR(INDEX(Settings!$K$8:$K$38,MATCH(E1531,Settings!$H$8:$H$38,0))&amp;"",""))</f>
        <v/>
      </c>
    </row>
    <row r="1532" customFormat="false" ht="15" hidden="false" customHeight="false" outlineLevel="0" collapsed="false">
      <c r="A1532" s="33"/>
      <c r="B1532" s="27"/>
      <c r="C1532" s="27"/>
      <c r="D1532" s="27"/>
      <c r="E1532" s="27"/>
      <c r="F1532" s="34"/>
      <c r="G1532" s="27"/>
      <c r="H1532" s="27"/>
      <c r="I1532" s="28" t="str">
        <f aca="false">IF(C1532="","",IFERROR(INDEX(Settings!$C$8:$C$19,MATCH(C1532,Settings!$B$8:$B$19,0)),"?"))</f>
        <v/>
      </c>
      <c r="J1532" s="28" t="str">
        <f aca="false">IF(G1532="","",IFERROR(INDEX(Settings!$C$8:$C$19,MATCH(G1532,Settings!$B$8:$B$19,0)),"?"))</f>
        <v/>
      </c>
      <c r="K1532" s="35" t="str">
        <f aca="false">IF(A1532="","",DATE(YEAR(A1532),MONTH(A1532),1))</f>
        <v/>
      </c>
      <c r="L1532" s="28" t="str">
        <f aca="false">IF(E1532="","",IFERROR(INDEX(Settings!$K$8:$K$38,MATCH(E1532,Settings!$H$8:$H$38,0))&amp;"",""))</f>
        <v/>
      </c>
    </row>
    <row r="1533" customFormat="false" ht="15" hidden="false" customHeight="false" outlineLevel="0" collapsed="false">
      <c r="A1533" s="33"/>
      <c r="B1533" s="27"/>
      <c r="C1533" s="27"/>
      <c r="D1533" s="27"/>
      <c r="E1533" s="27"/>
      <c r="F1533" s="34"/>
      <c r="G1533" s="27"/>
      <c r="H1533" s="27"/>
      <c r="I1533" s="28" t="str">
        <f aca="false">IF(C1533="","",IFERROR(INDEX(Settings!$C$8:$C$19,MATCH(C1533,Settings!$B$8:$B$19,0)),"?"))</f>
        <v/>
      </c>
      <c r="J1533" s="28" t="str">
        <f aca="false">IF(G1533="","",IFERROR(INDEX(Settings!$C$8:$C$19,MATCH(G1533,Settings!$B$8:$B$19,0)),"?"))</f>
        <v/>
      </c>
      <c r="K1533" s="35" t="str">
        <f aca="false">IF(A1533="","",DATE(YEAR(A1533),MONTH(A1533),1))</f>
        <v/>
      </c>
      <c r="L1533" s="28" t="str">
        <f aca="false">IF(E1533="","",IFERROR(INDEX(Settings!$K$8:$K$38,MATCH(E1533,Settings!$H$8:$H$38,0))&amp;"",""))</f>
        <v/>
      </c>
    </row>
    <row r="1534" customFormat="false" ht="15" hidden="false" customHeight="false" outlineLevel="0" collapsed="false">
      <c r="A1534" s="33"/>
      <c r="B1534" s="27"/>
      <c r="C1534" s="27"/>
      <c r="D1534" s="27"/>
      <c r="E1534" s="27"/>
      <c r="F1534" s="34"/>
      <c r="G1534" s="27"/>
      <c r="H1534" s="27"/>
      <c r="I1534" s="28" t="str">
        <f aca="false">IF(C1534="","",IFERROR(INDEX(Settings!$C$8:$C$19,MATCH(C1534,Settings!$B$8:$B$19,0)),"?"))</f>
        <v/>
      </c>
      <c r="J1534" s="28" t="str">
        <f aca="false">IF(G1534="","",IFERROR(INDEX(Settings!$C$8:$C$19,MATCH(G1534,Settings!$B$8:$B$19,0)),"?"))</f>
        <v/>
      </c>
      <c r="K1534" s="35" t="str">
        <f aca="false">IF(A1534="","",DATE(YEAR(A1534),MONTH(A1534),1))</f>
        <v/>
      </c>
      <c r="L1534" s="28" t="str">
        <f aca="false">IF(E1534="","",IFERROR(INDEX(Settings!$K$8:$K$38,MATCH(E1534,Settings!$H$8:$H$38,0))&amp;"",""))</f>
        <v/>
      </c>
    </row>
    <row r="1535" customFormat="false" ht="15" hidden="false" customHeight="false" outlineLevel="0" collapsed="false">
      <c r="A1535" s="33"/>
      <c r="B1535" s="27"/>
      <c r="C1535" s="27"/>
      <c r="D1535" s="27"/>
      <c r="E1535" s="27"/>
      <c r="F1535" s="34"/>
      <c r="G1535" s="27"/>
      <c r="H1535" s="27"/>
      <c r="I1535" s="28" t="str">
        <f aca="false">IF(C1535="","",IFERROR(INDEX(Settings!$C$8:$C$19,MATCH(C1535,Settings!$B$8:$B$19,0)),"?"))</f>
        <v/>
      </c>
      <c r="J1535" s="28" t="str">
        <f aca="false">IF(G1535="","",IFERROR(INDEX(Settings!$C$8:$C$19,MATCH(G1535,Settings!$B$8:$B$19,0)),"?"))</f>
        <v/>
      </c>
      <c r="K1535" s="35" t="str">
        <f aca="false">IF(A1535="","",DATE(YEAR(A1535),MONTH(A1535),1))</f>
        <v/>
      </c>
      <c r="L1535" s="28" t="str">
        <f aca="false">IF(E1535="","",IFERROR(INDEX(Settings!$K$8:$K$38,MATCH(E1535,Settings!$H$8:$H$38,0))&amp;"",""))</f>
        <v/>
      </c>
    </row>
    <row r="1536" customFormat="false" ht="15" hidden="false" customHeight="false" outlineLevel="0" collapsed="false">
      <c r="A1536" s="33"/>
      <c r="B1536" s="27"/>
      <c r="C1536" s="27"/>
      <c r="D1536" s="27"/>
      <c r="E1536" s="27"/>
      <c r="F1536" s="34"/>
      <c r="G1536" s="27"/>
      <c r="H1536" s="27"/>
      <c r="I1536" s="28" t="str">
        <f aca="false">IF(C1536="","",IFERROR(INDEX(Settings!$C$8:$C$19,MATCH(C1536,Settings!$B$8:$B$19,0)),"?"))</f>
        <v/>
      </c>
      <c r="J1536" s="28" t="str">
        <f aca="false">IF(G1536="","",IFERROR(INDEX(Settings!$C$8:$C$19,MATCH(G1536,Settings!$B$8:$B$19,0)),"?"))</f>
        <v/>
      </c>
      <c r="K1536" s="35" t="str">
        <f aca="false">IF(A1536="","",DATE(YEAR(A1536),MONTH(A1536),1))</f>
        <v/>
      </c>
      <c r="L1536" s="28" t="str">
        <f aca="false">IF(E1536="","",IFERROR(INDEX(Settings!$K$8:$K$38,MATCH(E1536,Settings!$H$8:$H$38,0))&amp;"",""))</f>
        <v/>
      </c>
    </row>
    <row r="1537" customFormat="false" ht="15" hidden="false" customHeight="false" outlineLevel="0" collapsed="false">
      <c r="A1537" s="33"/>
      <c r="B1537" s="27"/>
      <c r="C1537" s="27"/>
      <c r="D1537" s="27"/>
      <c r="E1537" s="27"/>
      <c r="F1537" s="34"/>
      <c r="G1537" s="27"/>
      <c r="H1537" s="27"/>
      <c r="I1537" s="28" t="str">
        <f aca="false">IF(C1537="","",IFERROR(INDEX(Settings!$C$8:$C$19,MATCH(C1537,Settings!$B$8:$B$19,0)),"?"))</f>
        <v/>
      </c>
      <c r="J1537" s="28" t="str">
        <f aca="false">IF(G1537="","",IFERROR(INDEX(Settings!$C$8:$C$19,MATCH(G1537,Settings!$B$8:$B$19,0)),"?"))</f>
        <v/>
      </c>
      <c r="K1537" s="35" t="str">
        <f aca="false">IF(A1537="","",DATE(YEAR(A1537),MONTH(A1537),1))</f>
        <v/>
      </c>
      <c r="L1537" s="28" t="str">
        <f aca="false">IF(E1537="","",IFERROR(INDEX(Settings!$K$8:$K$38,MATCH(E1537,Settings!$H$8:$H$38,0))&amp;"",""))</f>
        <v/>
      </c>
    </row>
    <row r="1538" customFormat="false" ht="15" hidden="false" customHeight="false" outlineLevel="0" collapsed="false">
      <c r="A1538" s="33"/>
      <c r="B1538" s="27"/>
      <c r="C1538" s="27"/>
      <c r="D1538" s="27"/>
      <c r="E1538" s="27"/>
      <c r="F1538" s="34"/>
      <c r="G1538" s="27"/>
      <c r="H1538" s="27"/>
      <c r="I1538" s="28" t="str">
        <f aca="false">IF(C1538="","",IFERROR(INDEX(Settings!$C$8:$C$19,MATCH(C1538,Settings!$B$8:$B$19,0)),"?"))</f>
        <v/>
      </c>
      <c r="J1538" s="28" t="str">
        <f aca="false">IF(G1538="","",IFERROR(INDEX(Settings!$C$8:$C$19,MATCH(G1538,Settings!$B$8:$B$19,0)),"?"))</f>
        <v/>
      </c>
      <c r="K1538" s="35" t="str">
        <f aca="false">IF(A1538="","",DATE(YEAR(A1538),MONTH(A1538),1))</f>
        <v/>
      </c>
      <c r="L1538" s="28" t="str">
        <f aca="false">IF(E1538="","",IFERROR(INDEX(Settings!$K$8:$K$38,MATCH(E1538,Settings!$H$8:$H$38,0))&amp;"",""))</f>
        <v/>
      </c>
    </row>
    <row r="1539" customFormat="false" ht="15" hidden="false" customHeight="false" outlineLevel="0" collapsed="false">
      <c r="A1539" s="33"/>
      <c r="B1539" s="27"/>
      <c r="C1539" s="27"/>
      <c r="D1539" s="27"/>
      <c r="E1539" s="27"/>
      <c r="F1539" s="34"/>
      <c r="G1539" s="27"/>
      <c r="H1539" s="27"/>
      <c r="I1539" s="28" t="str">
        <f aca="false">IF(C1539="","",IFERROR(INDEX(Settings!$C$8:$C$19,MATCH(C1539,Settings!$B$8:$B$19,0)),"?"))</f>
        <v/>
      </c>
      <c r="J1539" s="28" t="str">
        <f aca="false">IF(G1539="","",IFERROR(INDEX(Settings!$C$8:$C$19,MATCH(G1539,Settings!$B$8:$B$19,0)),"?"))</f>
        <v/>
      </c>
      <c r="K1539" s="35" t="str">
        <f aca="false">IF(A1539="","",DATE(YEAR(A1539),MONTH(A1539),1))</f>
        <v/>
      </c>
      <c r="L1539" s="28" t="str">
        <f aca="false">IF(E1539="","",IFERROR(INDEX(Settings!$K$8:$K$38,MATCH(E1539,Settings!$H$8:$H$38,0))&amp;"",""))</f>
        <v/>
      </c>
    </row>
    <row r="1540" customFormat="false" ht="15" hidden="false" customHeight="false" outlineLevel="0" collapsed="false">
      <c r="A1540" s="33"/>
      <c r="B1540" s="27"/>
      <c r="C1540" s="27"/>
      <c r="D1540" s="27"/>
      <c r="E1540" s="27"/>
      <c r="F1540" s="34"/>
      <c r="G1540" s="27"/>
      <c r="H1540" s="27"/>
      <c r="I1540" s="28" t="str">
        <f aca="false">IF(C1540="","",IFERROR(INDEX(Settings!$C$8:$C$19,MATCH(C1540,Settings!$B$8:$B$19,0)),"?"))</f>
        <v/>
      </c>
      <c r="J1540" s="28" t="str">
        <f aca="false">IF(G1540="","",IFERROR(INDEX(Settings!$C$8:$C$19,MATCH(G1540,Settings!$B$8:$B$19,0)),"?"))</f>
        <v/>
      </c>
      <c r="K1540" s="35" t="str">
        <f aca="false">IF(A1540="","",DATE(YEAR(A1540),MONTH(A1540),1))</f>
        <v/>
      </c>
      <c r="L1540" s="28" t="str">
        <f aca="false">IF(E1540="","",IFERROR(INDEX(Settings!$K$8:$K$38,MATCH(E1540,Settings!$H$8:$H$38,0))&amp;"",""))</f>
        <v/>
      </c>
    </row>
    <row r="1541" customFormat="false" ht="15" hidden="false" customHeight="false" outlineLevel="0" collapsed="false">
      <c r="A1541" s="33"/>
      <c r="B1541" s="27"/>
      <c r="C1541" s="27"/>
      <c r="D1541" s="27"/>
      <c r="E1541" s="27"/>
      <c r="F1541" s="34"/>
      <c r="G1541" s="27"/>
      <c r="H1541" s="27"/>
      <c r="I1541" s="28" t="str">
        <f aca="false">IF(C1541="","",IFERROR(INDEX(Settings!$C$8:$C$19,MATCH(C1541,Settings!$B$8:$B$19,0)),"?"))</f>
        <v/>
      </c>
      <c r="J1541" s="28" t="str">
        <f aca="false">IF(G1541="","",IFERROR(INDEX(Settings!$C$8:$C$19,MATCH(G1541,Settings!$B$8:$B$19,0)),"?"))</f>
        <v/>
      </c>
      <c r="K1541" s="35" t="str">
        <f aca="false">IF(A1541="","",DATE(YEAR(A1541),MONTH(A1541),1))</f>
        <v/>
      </c>
      <c r="L1541" s="28" t="str">
        <f aca="false">IF(E1541="","",IFERROR(INDEX(Settings!$K$8:$K$38,MATCH(E1541,Settings!$H$8:$H$38,0))&amp;"",""))</f>
        <v/>
      </c>
    </row>
    <row r="1542" customFormat="false" ht="15" hidden="false" customHeight="false" outlineLevel="0" collapsed="false">
      <c r="A1542" s="33"/>
      <c r="B1542" s="27"/>
      <c r="C1542" s="27"/>
      <c r="D1542" s="27"/>
      <c r="E1542" s="27"/>
      <c r="F1542" s="34"/>
      <c r="G1542" s="27"/>
      <c r="H1542" s="27"/>
      <c r="I1542" s="28" t="str">
        <f aca="false">IF(C1542="","",IFERROR(INDEX(Settings!$C$8:$C$19,MATCH(C1542,Settings!$B$8:$B$19,0)),"?"))</f>
        <v/>
      </c>
      <c r="J1542" s="28" t="str">
        <f aca="false">IF(G1542="","",IFERROR(INDEX(Settings!$C$8:$C$19,MATCH(G1542,Settings!$B$8:$B$19,0)),"?"))</f>
        <v/>
      </c>
      <c r="K1542" s="35" t="str">
        <f aca="false">IF(A1542="","",DATE(YEAR(A1542),MONTH(A1542),1))</f>
        <v/>
      </c>
      <c r="L1542" s="28" t="str">
        <f aca="false">IF(E1542="","",IFERROR(INDEX(Settings!$K$8:$K$38,MATCH(E1542,Settings!$H$8:$H$38,0))&amp;"",""))</f>
        <v/>
      </c>
    </row>
    <row r="1543" customFormat="false" ht="15" hidden="false" customHeight="false" outlineLevel="0" collapsed="false">
      <c r="A1543" s="33"/>
      <c r="B1543" s="27"/>
      <c r="C1543" s="27"/>
      <c r="D1543" s="27"/>
      <c r="E1543" s="27"/>
      <c r="F1543" s="34"/>
      <c r="G1543" s="27"/>
      <c r="H1543" s="27"/>
      <c r="I1543" s="28" t="str">
        <f aca="false">IF(C1543="","",IFERROR(INDEX(Settings!$C$8:$C$19,MATCH(C1543,Settings!$B$8:$B$19,0)),"?"))</f>
        <v/>
      </c>
      <c r="J1543" s="28" t="str">
        <f aca="false">IF(G1543="","",IFERROR(INDEX(Settings!$C$8:$C$19,MATCH(G1543,Settings!$B$8:$B$19,0)),"?"))</f>
        <v/>
      </c>
      <c r="K1543" s="35" t="str">
        <f aca="false">IF(A1543="","",DATE(YEAR(A1543),MONTH(A1543),1))</f>
        <v/>
      </c>
      <c r="L1543" s="28" t="str">
        <f aca="false">IF(E1543="","",IFERROR(INDEX(Settings!$K$8:$K$38,MATCH(E1543,Settings!$H$8:$H$38,0))&amp;"",""))</f>
        <v/>
      </c>
    </row>
    <row r="1544" customFormat="false" ht="15" hidden="false" customHeight="false" outlineLevel="0" collapsed="false">
      <c r="A1544" s="33"/>
      <c r="B1544" s="27"/>
      <c r="C1544" s="27"/>
      <c r="D1544" s="27"/>
      <c r="E1544" s="27"/>
      <c r="F1544" s="34"/>
      <c r="G1544" s="27"/>
      <c r="H1544" s="27"/>
      <c r="I1544" s="28" t="str">
        <f aca="false">IF(C1544="","",IFERROR(INDEX(Settings!$C$8:$C$19,MATCH(C1544,Settings!$B$8:$B$19,0)),"?"))</f>
        <v/>
      </c>
      <c r="J1544" s="28" t="str">
        <f aca="false">IF(G1544="","",IFERROR(INDEX(Settings!$C$8:$C$19,MATCH(G1544,Settings!$B$8:$B$19,0)),"?"))</f>
        <v/>
      </c>
      <c r="K1544" s="35" t="str">
        <f aca="false">IF(A1544="","",DATE(YEAR(A1544),MONTH(A1544),1))</f>
        <v/>
      </c>
      <c r="L1544" s="28" t="str">
        <f aca="false">IF(E1544="","",IFERROR(INDEX(Settings!$K$8:$K$38,MATCH(E1544,Settings!$H$8:$H$38,0))&amp;"",""))</f>
        <v/>
      </c>
    </row>
    <row r="1545" customFormat="false" ht="15" hidden="false" customHeight="false" outlineLevel="0" collapsed="false">
      <c r="A1545" s="33"/>
      <c r="B1545" s="27"/>
      <c r="C1545" s="27"/>
      <c r="D1545" s="27"/>
      <c r="E1545" s="27"/>
      <c r="F1545" s="34"/>
      <c r="G1545" s="27"/>
      <c r="H1545" s="27"/>
      <c r="I1545" s="28" t="str">
        <f aca="false">IF(C1545="","",IFERROR(INDEX(Settings!$C$8:$C$19,MATCH(C1545,Settings!$B$8:$B$19,0)),"?"))</f>
        <v/>
      </c>
      <c r="J1545" s="28" t="str">
        <f aca="false">IF(G1545="","",IFERROR(INDEX(Settings!$C$8:$C$19,MATCH(G1545,Settings!$B$8:$B$19,0)),"?"))</f>
        <v/>
      </c>
      <c r="K1545" s="35" t="str">
        <f aca="false">IF(A1545="","",DATE(YEAR(A1545),MONTH(A1545),1))</f>
        <v/>
      </c>
      <c r="L1545" s="28" t="str">
        <f aca="false">IF(E1545="","",IFERROR(INDEX(Settings!$K$8:$K$38,MATCH(E1545,Settings!$H$8:$H$38,0))&amp;"",""))</f>
        <v/>
      </c>
    </row>
    <row r="1546" customFormat="false" ht="15" hidden="false" customHeight="false" outlineLevel="0" collapsed="false">
      <c r="A1546" s="33"/>
      <c r="B1546" s="27"/>
      <c r="C1546" s="27"/>
      <c r="D1546" s="27"/>
      <c r="E1546" s="27"/>
      <c r="F1546" s="34"/>
      <c r="G1546" s="27"/>
      <c r="H1546" s="27"/>
      <c r="I1546" s="28" t="str">
        <f aca="false">IF(C1546="","",IFERROR(INDEX(Settings!$C$8:$C$19,MATCH(C1546,Settings!$B$8:$B$19,0)),"?"))</f>
        <v/>
      </c>
      <c r="J1546" s="28" t="str">
        <f aca="false">IF(G1546="","",IFERROR(INDEX(Settings!$C$8:$C$19,MATCH(G1546,Settings!$B$8:$B$19,0)),"?"))</f>
        <v/>
      </c>
      <c r="K1546" s="35" t="str">
        <f aca="false">IF(A1546="","",DATE(YEAR(A1546),MONTH(A1546),1))</f>
        <v/>
      </c>
      <c r="L1546" s="28" t="str">
        <f aca="false">IF(E1546="","",IFERROR(INDEX(Settings!$K$8:$K$38,MATCH(E1546,Settings!$H$8:$H$38,0))&amp;"",""))</f>
        <v/>
      </c>
    </row>
    <row r="1547" customFormat="false" ht="15" hidden="false" customHeight="false" outlineLevel="0" collapsed="false">
      <c r="A1547" s="33"/>
      <c r="B1547" s="27"/>
      <c r="C1547" s="27"/>
      <c r="D1547" s="27"/>
      <c r="E1547" s="27"/>
      <c r="F1547" s="34"/>
      <c r="G1547" s="27"/>
      <c r="H1547" s="27"/>
      <c r="I1547" s="28" t="str">
        <f aca="false">IF(C1547="","",IFERROR(INDEX(Settings!$C$8:$C$19,MATCH(C1547,Settings!$B$8:$B$19,0)),"?"))</f>
        <v/>
      </c>
      <c r="J1547" s="28" t="str">
        <f aca="false">IF(G1547="","",IFERROR(INDEX(Settings!$C$8:$C$19,MATCH(G1547,Settings!$B$8:$B$19,0)),"?"))</f>
        <v/>
      </c>
      <c r="K1547" s="35" t="str">
        <f aca="false">IF(A1547="","",DATE(YEAR(A1547),MONTH(A1547),1))</f>
        <v/>
      </c>
      <c r="L1547" s="28" t="str">
        <f aca="false">IF(E1547="","",IFERROR(INDEX(Settings!$K$8:$K$38,MATCH(E1547,Settings!$H$8:$H$38,0))&amp;"",""))</f>
        <v/>
      </c>
    </row>
    <row r="1548" customFormat="false" ht="15" hidden="false" customHeight="false" outlineLevel="0" collapsed="false">
      <c r="A1548" s="33"/>
      <c r="B1548" s="27"/>
      <c r="C1548" s="27"/>
      <c r="D1548" s="27"/>
      <c r="E1548" s="27"/>
      <c r="F1548" s="34"/>
      <c r="G1548" s="27"/>
      <c r="H1548" s="27"/>
      <c r="I1548" s="28" t="str">
        <f aca="false">IF(C1548="","",IFERROR(INDEX(Settings!$C$8:$C$19,MATCH(C1548,Settings!$B$8:$B$19,0)),"?"))</f>
        <v/>
      </c>
      <c r="J1548" s="28" t="str">
        <f aca="false">IF(G1548="","",IFERROR(INDEX(Settings!$C$8:$C$19,MATCH(G1548,Settings!$B$8:$B$19,0)),"?"))</f>
        <v/>
      </c>
      <c r="K1548" s="35" t="str">
        <f aca="false">IF(A1548="","",DATE(YEAR(A1548),MONTH(A1548),1))</f>
        <v/>
      </c>
      <c r="L1548" s="28" t="str">
        <f aca="false">IF(E1548="","",IFERROR(INDEX(Settings!$K$8:$K$38,MATCH(E1548,Settings!$H$8:$H$38,0))&amp;"",""))</f>
        <v/>
      </c>
    </row>
    <row r="1549" customFormat="false" ht="15" hidden="false" customHeight="false" outlineLevel="0" collapsed="false">
      <c r="A1549" s="33"/>
      <c r="B1549" s="27"/>
      <c r="C1549" s="27"/>
      <c r="D1549" s="27"/>
      <c r="E1549" s="27"/>
      <c r="F1549" s="34"/>
      <c r="G1549" s="27"/>
      <c r="H1549" s="27"/>
      <c r="I1549" s="28" t="str">
        <f aca="false">IF(C1549="","",IFERROR(INDEX(Settings!$C$8:$C$19,MATCH(C1549,Settings!$B$8:$B$19,0)),"?"))</f>
        <v/>
      </c>
      <c r="J1549" s="28" t="str">
        <f aca="false">IF(G1549="","",IFERROR(INDEX(Settings!$C$8:$C$19,MATCH(G1549,Settings!$B$8:$B$19,0)),"?"))</f>
        <v/>
      </c>
      <c r="K1549" s="35" t="str">
        <f aca="false">IF(A1549="","",DATE(YEAR(A1549),MONTH(A1549),1))</f>
        <v/>
      </c>
      <c r="L1549" s="28" t="str">
        <f aca="false">IF(E1549="","",IFERROR(INDEX(Settings!$K$8:$K$38,MATCH(E1549,Settings!$H$8:$H$38,0))&amp;"",""))</f>
        <v/>
      </c>
    </row>
    <row r="1550" customFormat="false" ht="15" hidden="false" customHeight="false" outlineLevel="0" collapsed="false">
      <c r="A1550" s="33"/>
      <c r="B1550" s="27"/>
      <c r="C1550" s="27"/>
      <c r="D1550" s="27"/>
      <c r="E1550" s="27"/>
      <c r="F1550" s="34"/>
      <c r="G1550" s="27"/>
      <c r="H1550" s="27"/>
      <c r="I1550" s="28" t="str">
        <f aca="false">IF(C1550="","",IFERROR(INDEX(Settings!$C$8:$C$19,MATCH(C1550,Settings!$B$8:$B$19,0)),"?"))</f>
        <v/>
      </c>
      <c r="J1550" s="28" t="str">
        <f aca="false">IF(G1550="","",IFERROR(INDEX(Settings!$C$8:$C$19,MATCH(G1550,Settings!$B$8:$B$19,0)),"?"))</f>
        <v/>
      </c>
      <c r="K1550" s="35" t="str">
        <f aca="false">IF(A1550="","",DATE(YEAR(A1550),MONTH(A1550),1))</f>
        <v/>
      </c>
      <c r="L1550" s="28" t="str">
        <f aca="false">IF(E1550="","",IFERROR(INDEX(Settings!$K$8:$K$38,MATCH(E1550,Settings!$H$8:$H$38,0))&amp;"",""))</f>
        <v/>
      </c>
    </row>
    <row r="1551" customFormat="false" ht="15" hidden="false" customHeight="false" outlineLevel="0" collapsed="false">
      <c r="A1551" s="33"/>
      <c r="B1551" s="27"/>
      <c r="C1551" s="27"/>
      <c r="D1551" s="27"/>
      <c r="E1551" s="27"/>
      <c r="F1551" s="34"/>
      <c r="G1551" s="27"/>
      <c r="H1551" s="27"/>
      <c r="I1551" s="28" t="str">
        <f aca="false">IF(C1551="","",IFERROR(INDEX(Settings!$C$8:$C$19,MATCH(C1551,Settings!$B$8:$B$19,0)),"?"))</f>
        <v/>
      </c>
      <c r="J1551" s="28" t="str">
        <f aca="false">IF(G1551="","",IFERROR(INDEX(Settings!$C$8:$C$19,MATCH(G1551,Settings!$B$8:$B$19,0)),"?"))</f>
        <v/>
      </c>
      <c r="K1551" s="35" t="str">
        <f aca="false">IF(A1551="","",DATE(YEAR(A1551),MONTH(A1551),1))</f>
        <v/>
      </c>
      <c r="L1551" s="28" t="str">
        <f aca="false">IF(E1551="","",IFERROR(INDEX(Settings!$K$8:$K$38,MATCH(E1551,Settings!$H$8:$H$38,0))&amp;"",""))</f>
        <v/>
      </c>
    </row>
    <row r="1552" customFormat="false" ht="15" hidden="false" customHeight="false" outlineLevel="0" collapsed="false">
      <c r="A1552" s="33"/>
      <c r="B1552" s="27"/>
      <c r="C1552" s="27"/>
      <c r="D1552" s="27"/>
      <c r="E1552" s="27"/>
      <c r="F1552" s="34"/>
      <c r="G1552" s="27"/>
      <c r="H1552" s="27"/>
      <c r="I1552" s="28" t="str">
        <f aca="false">IF(C1552="","",IFERROR(INDEX(Settings!$C$8:$C$19,MATCH(C1552,Settings!$B$8:$B$19,0)),"?"))</f>
        <v/>
      </c>
      <c r="J1552" s="28" t="str">
        <f aca="false">IF(G1552="","",IFERROR(INDEX(Settings!$C$8:$C$19,MATCH(G1552,Settings!$B$8:$B$19,0)),"?"))</f>
        <v/>
      </c>
      <c r="K1552" s="35" t="str">
        <f aca="false">IF(A1552="","",DATE(YEAR(A1552),MONTH(A1552),1))</f>
        <v/>
      </c>
      <c r="L1552" s="28" t="str">
        <f aca="false">IF(E1552="","",IFERROR(INDEX(Settings!$K$8:$K$38,MATCH(E1552,Settings!$H$8:$H$38,0))&amp;"",""))</f>
        <v/>
      </c>
    </row>
    <row r="1553" customFormat="false" ht="15" hidden="false" customHeight="false" outlineLevel="0" collapsed="false">
      <c r="A1553" s="33"/>
      <c r="B1553" s="27"/>
      <c r="C1553" s="27"/>
      <c r="D1553" s="27"/>
      <c r="E1553" s="27"/>
      <c r="F1553" s="34"/>
      <c r="G1553" s="27"/>
      <c r="H1553" s="27"/>
      <c r="I1553" s="28" t="str">
        <f aca="false">IF(C1553="","",IFERROR(INDEX(Settings!$C$8:$C$19,MATCH(C1553,Settings!$B$8:$B$19,0)),"?"))</f>
        <v/>
      </c>
      <c r="J1553" s="28" t="str">
        <f aca="false">IF(G1553="","",IFERROR(INDEX(Settings!$C$8:$C$19,MATCH(G1553,Settings!$B$8:$B$19,0)),"?"))</f>
        <v/>
      </c>
      <c r="K1553" s="35" t="str">
        <f aca="false">IF(A1553="","",DATE(YEAR(A1553),MONTH(A1553),1))</f>
        <v/>
      </c>
      <c r="L1553" s="28" t="str">
        <f aca="false">IF(E1553="","",IFERROR(INDEX(Settings!$K$8:$K$38,MATCH(E1553,Settings!$H$8:$H$38,0))&amp;"",""))</f>
        <v/>
      </c>
    </row>
    <row r="1554" customFormat="false" ht="15" hidden="false" customHeight="false" outlineLevel="0" collapsed="false">
      <c r="A1554" s="33"/>
      <c r="B1554" s="27"/>
      <c r="C1554" s="27"/>
      <c r="D1554" s="27"/>
      <c r="E1554" s="27"/>
      <c r="F1554" s="34"/>
      <c r="G1554" s="27"/>
      <c r="H1554" s="27"/>
      <c r="I1554" s="28" t="str">
        <f aca="false">IF(C1554="","",IFERROR(INDEX(Settings!$C$8:$C$19,MATCH(C1554,Settings!$B$8:$B$19,0)),"?"))</f>
        <v/>
      </c>
      <c r="J1554" s="28" t="str">
        <f aca="false">IF(G1554="","",IFERROR(INDEX(Settings!$C$8:$C$19,MATCH(G1554,Settings!$B$8:$B$19,0)),"?"))</f>
        <v/>
      </c>
      <c r="K1554" s="35" t="str">
        <f aca="false">IF(A1554="","",DATE(YEAR(A1554),MONTH(A1554),1))</f>
        <v/>
      </c>
      <c r="L1554" s="28" t="str">
        <f aca="false">IF(E1554="","",IFERROR(INDEX(Settings!$K$8:$K$38,MATCH(E1554,Settings!$H$8:$H$38,0))&amp;"",""))</f>
        <v/>
      </c>
    </row>
    <row r="1555" customFormat="false" ht="15" hidden="false" customHeight="false" outlineLevel="0" collapsed="false">
      <c r="A1555" s="33"/>
      <c r="B1555" s="27"/>
      <c r="C1555" s="27"/>
      <c r="D1555" s="27"/>
      <c r="E1555" s="27"/>
      <c r="F1555" s="34"/>
      <c r="G1555" s="27"/>
      <c r="H1555" s="27"/>
      <c r="I1555" s="28" t="str">
        <f aca="false">IF(C1555="","",IFERROR(INDEX(Settings!$C$8:$C$19,MATCH(C1555,Settings!$B$8:$B$19,0)),"?"))</f>
        <v/>
      </c>
      <c r="J1555" s="28" t="str">
        <f aca="false">IF(G1555="","",IFERROR(INDEX(Settings!$C$8:$C$19,MATCH(G1555,Settings!$B$8:$B$19,0)),"?"))</f>
        <v/>
      </c>
      <c r="K1555" s="35" t="str">
        <f aca="false">IF(A1555="","",DATE(YEAR(A1555),MONTH(A1555),1))</f>
        <v/>
      </c>
      <c r="L1555" s="28" t="str">
        <f aca="false">IF(E1555="","",IFERROR(INDEX(Settings!$K$8:$K$38,MATCH(E1555,Settings!$H$8:$H$38,0))&amp;"",""))</f>
        <v/>
      </c>
    </row>
    <row r="1556" customFormat="false" ht="15" hidden="false" customHeight="false" outlineLevel="0" collapsed="false">
      <c r="A1556" s="33"/>
      <c r="B1556" s="27"/>
      <c r="C1556" s="27"/>
      <c r="D1556" s="27"/>
      <c r="E1556" s="27"/>
      <c r="F1556" s="34"/>
      <c r="G1556" s="27"/>
      <c r="H1556" s="27"/>
      <c r="I1556" s="28" t="str">
        <f aca="false">IF(C1556="","",IFERROR(INDEX(Settings!$C$8:$C$19,MATCH(C1556,Settings!$B$8:$B$19,0)),"?"))</f>
        <v/>
      </c>
      <c r="J1556" s="28" t="str">
        <f aca="false">IF(G1556="","",IFERROR(INDEX(Settings!$C$8:$C$19,MATCH(G1556,Settings!$B$8:$B$19,0)),"?"))</f>
        <v/>
      </c>
      <c r="K1556" s="35" t="str">
        <f aca="false">IF(A1556="","",DATE(YEAR(A1556),MONTH(A1556),1))</f>
        <v/>
      </c>
      <c r="L1556" s="28" t="str">
        <f aca="false">IF(E1556="","",IFERROR(INDEX(Settings!$K$8:$K$38,MATCH(E1556,Settings!$H$8:$H$38,0))&amp;"",""))</f>
        <v/>
      </c>
    </row>
    <row r="1557" customFormat="false" ht="15" hidden="false" customHeight="false" outlineLevel="0" collapsed="false">
      <c r="A1557" s="33"/>
      <c r="B1557" s="27"/>
      <c r="C1557" s="27"/>
      <c r="D1557" s="27"/>
      <c r="E1557" s="27"/>
      <c r="F1557" s="34"/>
      <c r="G1557" s="27"/>
      <c r="H1557" s="27"/>
      <c r="I1557" s="28" t="str">
        <f aca="false">IF(C1557="","",IFERROR(INDEX(Settings!$C$8:$C$19,MATCH(C1557,Settings!$B$8:$B$19,0)),"?"))</f>
        <v/>
      </c>
      <c r="J1557" s="28" t="str">
        <f aca="false">IF(G1557="","",IFERROR(INDEX(Settings!$C$8:$C$19,MATCH(G1557,Settings!$B$8:$B$19,0)),"?"))</f>
        <v/>
      </c>
      <c r="K1557" s="35" t="str">
        <f aca="false">IF(A1557="","",DATE(YEAR(A1557),MONTH(A1557),1))</f>
        <v/>
      </c>
      <c r="L1557" s="28" t="str">
        <f aca="false">IF(E1557="","",IFERROR(INDEX(Settings!$K$8:$K$38,MATCH(E1557,Settings!$H$8:$H$38,0))&amp;"",""))</f>
        <v/>
      </c>
    </row>
    <row r="1558" customFormat="false" ht="15" hidden="false" customHeight="false" outlineLevel="0" collapsed="false">
      <c r="A1558" s="33"/>
      <c r="B1558" s="27"/>
      <c r="C1558" s="27"/>
      <c r="D1558" s="27"/>
      <c r="E1558" s="27"/>
      <c r="F1558" s="34"/>
      <c r="G1558" s="27"/>
      <c r="H1558" s="27"/>
      <c r="I1558" s="28" t="str">
        <f aca="false">IF(C1558="","",IFERROR(INDEX(Settings!$C$8:$C$19,MATCH(C1558,Settings!$B$8:$B$19,0)),"?"))</f>
        <v/>
      </c>
      <c r="J1558" s="28" t="str">
        <f aca="false">IF(G1558="","",IFERROR(INDEX(Settings!$C$8:$C$19,MATCH(G1558,Settings!$B$8:$B$19,0)),"?"))</f>
        <v/>
      </c>
      <c r="K1558" s="35" t="str">
        <f aca="false">IF(A1558="","",DATE(YEAR(A1558),MONTH(A1558),1))</f>
        <v/>
      </c>
      <c r="L1558" s="28" t="str">
        <f aca="false">IF(E1558="","",IFERROR(INDEX(Settings!$K$8:$K$38,MATCH(E1558,Settings!$H$8:$H$38,0))&amp;"",""))</f>
        <v/>
      </c>
    </row>
    <row r="1559" customFormat="false" ht="15" hidden="false" customHeight="false" outlineLevel="0" collapsed="false">
      <c r="A1559" s="33"/>
      <c r="B1559" s="27"/>
      <c r="C1559" s="27"/>
      <c r="D1559" s="27"/>
      <c r="E1559" s="27"/>
      <c r="F1559" s="34"/>
      <c r="G1559" s="27"/>
      <c r="H1559" s="27"/>
      <c r="I1559" s="28" t="str">
        <f aca="false">IF(C1559="","",IFERROR(INDEX(Settings!$C$8:$C$19,MATCH(C1559,Settings!$B$8:$B$19,0)),"?"))</f>
        <v/>
      </c>
      <c r="J1559" s="28" t="str">
        <f aca="false">IF(G1559="","",IFERROR(INDEX(Settings!$C$8:$C$19,MATCH(G1559,Settings!$B$8:$B$19,0)),"?"))</f>
        <v/>
      </c>
      <c r="K1559" s="35" t="str">
        <f aca="false">IF(A1559="","",DATE(YEAR(A1559),MONTH(A1559),1))</f>
        <v/>
      </c>
      <c r="L1559" s="28" t="str">
        <f aca="false">IF(E1559="","",IFERROR(INDEX(Settings!$K$8:$K$38,MATCH(E1559,Settings!$H$8:$H$38,0))&amp;"",""))</f>
        <v/>
      </c>
    </row>
    <row r="1560" customFormat="false" ht="15" hidden="false" customHeight="false" outlineLevel="0" collapsed="false">
      <c r="A1560" s="33"/>
      <c r="B1560" s="27"/>
      <c r="C1560" s="27"/>
      <c r="D1560" s="27"/>
      <c r="E1560" s="27"/>
      <c r="F1560" s="34"/>
      <c r="G1560" s="27"/>
      <c r="H1560" s="27"/>
      <c r="I1560" s="28" t="str">
        <f aca="false">IF(C1560="","",IFERROR(INDEX(Settings!$C$8:$C$19,MATCH(C1560,Settings!$B$8:$B$19,0)),"?"))</f>
        <v/>
      </c>
      <c r="J1560" s="28" t="str">
        <f aca="false">IF(G1560="","",IFERROR(INDEX(Settings!$C$8:$C$19,MATCH(G1560,Settings!$B$8:$B$19,0)),"?"))</f>
        <v/>
      </c>
      <c r="K1560" s="35" t="str">
        <f aca="false">IF(A1560="","",DATE(YEAR(A1560),MONTH(A1560),1))</f>
        <v/>
      </c>
      <c r="L1560" s="28" t="str">
        <f aca="false">IF(E1560="","",IFERROR(INDEX(Settings!$K$8:$K$38,MATCH(E1560,Settings!$H$8:$H$38,0))&amp;"",""))</f>
        <v/>
      </c>
    </row>
    <row r="1561" customFormat="false" ht="15" hidden="false" customHeight="false" outlineLevel="0" collapsed="false">
      <c r="A1561" s="33"/>
      <c r="B1561" s="27"/>
      <c r="C1561" s="27"/>
      <c r="D1561" s="27"/>
      <c r="E1561" s="27"/>
      <c r="F1561" s="34"/>
      <c r="G1561" s="27"/>
      <c r="H1561" s="27"/>
      <c r="I1561" s="28" t="str">
        <f aca="false">IF(C1561="","",IFERROR(INDEX(Settings!$C$8:$C$19,MATCH(C1561,Settings!$B$8:$B$19,0)),"?"))</f>
        <v/>
      </c>
      <c r="J1561" s="28" t="str">
        <f aca="false">IF(G1561="","",IFERROR(INDEX(Settings!$C$8:$C$19,MATCH(G1561,Settings!$B$8:$B$19,0)),"?"))</f>
        <v/>
      </c>
      <c r="K1561" s="35" t="str">
        <f aca="false">IF(A1561="","",DATE(YEAR(A1561),MONTH(A1561),1))</f>
        <v/>
      </c>
      <c r="L1561" s="28" t="str">
        <f aca="false">IF(E1561="","",IFERROR(INDEX(Settings!$K$8:$K$38,MATCH(E1561,Settings!$H$8:$H$38,0))&amp;"",""))</f>
        <v/>
      </c>
    </row>
    <row r="1562" customFormat="false" ht="15" hidden="false" customHeight="false" outlineLevel="0" collapsed="false">
      <c r="A1562" s="33"/>
      <c r="B1562" s="27"/>
      <c r="C1562" s="27"/>
      <c r="D1562" s="27"/>
      <c r="E1562" s="27"/>
      <c r="F1562" s="34"/>
      <c r="G1562" s="27"/>
      <c r="H1562" s="27"/>
      <c r="I1562" s="28" t="str">
        <f aca="false">IF(C1562="","",IFERROR(INDEX(Settings!$C$8:$C$19,MATCH(C1562,Settings!$B$8:$B$19,0)),"?"))</f>
        <v/>
      </c>
      <c r="J1562" s="28" t="str">
        <f aca="false">IF(G1562="","",IFERROR(INDEX(Settings!$C$8:$C$19,MATCH(G1562,Settings!$B$8:$B$19,0)),"?"))</f>
        <v/>
      </c>
      <c r="K1562" s="35" t="str">
        <f aca="false">IF(A1562="","",DATE(YEAR(A1562),MONTH(A1562),1))</f>
        <v/>
      </c>
      <c r="L1562" s="28" t="str">
        <f aca="false">IF(E1562="","",IFERROR(INDEX(Settings!$K$8:$K$38,MATCH(E1562,Settings!$H$8:$H$38,0))&amp;"",""))</f>
        <v/>
      </c>
    </row>
    <row r="1563" customFormat="false" ht="15" hidden="false" customHeight="false" outlineLevel="0" collapsed="false">
      <c r="A1563" s="33"/>
      <c r="B1563" s="27"/>
      <c r="C1563" s="27"/>
      <c r="D1563" s="27"/>
      <c r="E1563" s="27"/>
      <c r="F1563" s="34"/>
      <c r="G1563" s="27"/>
      <c r="H1563" s="27"/>
      <c r="I1563" s="28" t="str">
        <f aca="false">IF(C1563="","",IFERROR(INDEX(Settings!$C$8:$C$19,MATCH(C1563,Settings!$B$8:$B$19,0)),"?"))</f>
        <v/>
      </c>
      <c r="J1563" s="28" t="str">
        <f aca="false">IF(G1563="","",IFERROR(INDEX(Settings!$C$8:$C$19,MATCH(G1563,Settings!$B$8:$B$19,0)),"?"))</f>
        <v/>
      </c>
      <c r="K1563" s="35" t="str">
        <f aca="false">IF(A1563="","",DATE(YEAR(A1563),MONTH(A1563),1))</f>
        <v/>
      </c>
      <c r="L1563" s="28" t="str">
        <f aca="false">IF(E1563="","",IFERROR(INDEX(Settings!$K$8:$K$38,MATCH(E1563,Settings!$H$8:$H$38,0))&amp;"",""))</f>
        <v/>
      </c>
    </row>
    <row r="1564" customFormat="false" ht="15" hidden="false" customHeight="false" outlineLevel="0" collapsed="false">
      <c r="A1564" s="33"/>
      <c r="B1564" s="27"/>
      <c r="C1564" s="27"/>
      <c r="D1564" s="27"/>
      <c r="E1564" s="27"/>
      <c r="F1564" s="34"/>
      <c r="G1564" s="27"/>
      <c r="H1564" s="27"/>
      <c r="I1564" s="28" t="str">
        <f aca="false">IF(C1564="","",IFERROR(INDEX(Settings!$C$8:$C$19,MATCH(C1564,Settings!$B$8:$B$19,0)),"?"))</f>
        <v/>
      </c>
      <c r="J1564" s="28" t="str">
        <f aca="false">IF(G1564="","",IFERROR(INDEX(Settings!$C$8:$C$19,MATCH(G1564,Settings!$B$8:$B$19,0)),"?"))</f>
        <v/>
      </c>
      <c r="K1564" s="35" t="str">
        <f aca="false">IF(A1564="","",DATE(YEAR(A1564),MONTH(A1564),1))</f>
        <v/>
      </c>
      <c r="L1564" s="28" t="str">
        <f aca="false">IF(E1564="","",IFERROR(INDEX(Settings!$K$8:$K$38,MATCH(E1564,Settings!$H$8:$H$38,0))&amp;"",""))</f>
        <v/>
      </c>
    </row>
    <row r="1565" customFormat="false" ht="15" hidden="false" customHeight="false" outlineLevel="0" collapsed="false">
      <c r="A1565" s="33"/>
      <c r="B1565" s="27"/>
      <c r="C1565" s="27"/>
      <c r="D1565" s="27"/>
      <c r="E1565" s="27"/>
      <c r="F1565" s="34"/>
      <c r="G1565" s="27"/>
      <c r="H1565" s="27"/>
      <c r="I1565" s="28" t="str">
        <f aca="false">IF(C1565="","",IFERROR(INDEX(Settings!$C$8:$C$19,MATCH(C1565,Settings!$B$8:$B$19,0)),"?"))</f>
        <v/>
      </c>
      <c r="J1565" s="28" t="str">
        <f aca="false">IF(G1565="","",IFERROR(INDEX(Settings!$C$8:$C$19,MATCH(G1565,Settings!$B$8:$B$19,0)),"?"))</f>
        <v/>
      </c>
      <c r="K1565" s="35" t="str">
        <f aca="false">IF(A1565="","",DATE(YEAR(A1565),MONTH(A1565),1))</f>
        <v/>
      </c>
      <c r="L1565" s="28" t="str">
        <f aca="false">IF(E1565="","",IFERROR(INDEX(Settings!$K$8:$K$38,MATCH(E1565,Settings!$H$8:$H$38,0))&amp;"",""))</f>
        <v/>
      </c>
    </row>
    <row r="1566" customFormat="false" ht="15" hidden="false" customHeight="false" outlineLevel="0" collapsed="false">
      <c r="A1566" s="33"/>
      <c r="B1566" s="27"/>
      <c r="C1566" s="27"/>
      <c r="D1566" s="27"/>
      <c r="E1566" s="27"/>
      <c r="F1566" s="34"/>
      <c r="G1566" s="27"/>
      <c r="H1566" s="27"/>
      <c r="I1566" s="28" t="str">
        <f aca="false">IF(C1566="","",IFERROR(INDEX(Settings!$C$8:$C$19,MATCH(C1566,Settings!$B$8:$B$19,0)),"?"))</f>
        <v/>
      </c>
      <c r="J1566" s="28" t="str">
        <f aca="false">IF(G1566="","",IFERROR(INDEX(Settings!$C$8:$C$19,MATCH(G1566,Settings!$B$8:$B$19,0)),"?"))</f>
        <v/>
      </c>
      <c r="K1566" s="35" t="str">
        <f aca="false">IF(A1566="","",DATE(YEAR(A1566),MONTH(A1566),1))</f>
        <v/>
      </c>
      <c r="L1566" s="28" t="str">
        <f aca="false">IF(E1566="","",IFERROR(INDEX(Settings!$K$8:$K$38,MATCH(E1566,Settings!$H$8:$H$38,0))&amp;"",""))</f>
        <v/>
      </c>
    </row>
    <row r="1567" customFormat="false" ht="15" hidden="false" customHeight="false" outlineLevel="0" collapsed="false">
      <c r="A1567" s="33"/>
      <c r="B1567" s="27"/>
      <c r="C1567" s="27"/>
      <c r="D1567" s="27"/>
      <c r="E1567" s="27"/>
      <c r="F1567" s="34"/>
      <c r="G1567" s="27"/>
      <c r="H1567" s="27"/>
      <c r="I1567" s="28" t="str">
        <f aca="false">IF(C1567="","",IFERROR(INDEX(Settings!$C$8:$C$19,MATCH(C1567,Settings!$B$8:$B$19,0)),"?"))</f>
        <v/>
      </c>
      <c r="J1567" s="28" t="str">
        <f aca="false">IF(G1567="","",IFERROR(INDEX(Settings!$C$8:$C$19,MATCH(G1567,Settings!$B$8:$B$19,0)),"?"))</f>
        <v/>
      </c>
      <c r="K1567" s="35" t="str">
        <f aca="false">IF(A1567="","",DATE(YEAR(A1567),MONTH(A1567),1))</f>
        <v/>
      </c>
      <c r="L1567" s="28" t="str">
        <f aca="false">IF(E1567="","",IFERROR(INDEX(Settings!$K$8:$K$38,MATCH(E1567,Settings!$H$8:$H$38,0))&amp;"",""))</f>
        <v/>
      </c>
    </row>
    <row r="1568" customFormat="false" ht="15" hidden="false" customHeight="false" outlineLevel="0" collapsed="false">
      <c r="A1568" s="33"/>
      <c r="B1568" s="27"/>
      <c r="C1568" s="27"/>
      <c r="D1568" s="27"/>
      <c r="E1568" s="27"/>
      <c r="F1568" s="34"/>
      <c r="G1568" s="27"/>
      <c r="H1568" s="27"/>
      <c r="I1568" s="28" t="str">
        <f aca="false">IF(C1568="","",IFERROR(INDEX(Settings!$C$8:$C$19,MATCH(C1568,Settings!$B$8:$B$19,0)),"?"))</f>
        <v/>
      </c>
      <c r="J1568" s="28" t="str">
        <f aca="false">IF(G1568="","",IFERROR(INDEX(Settings!$C$8:$C$19,MATCH(G1568,Settings!$B$8:$B$19,0)),"?"))</f>
        <v/>
      </c>
      <c r="K1568" s="35" t="str">
        <f aca="false">IF(A1568="","",DATE(YEAR(A1568),MONTH(A1568),1))</f>
        <v/>
      </c>
      <c r="L1568" s="28" t="str">
        <f aca="false">IF(E1568="","",IFERROR(INDEX(Settings!$K$8:$K$38,MATCH(E1568,Settings!$H$8:$H$38,0))&amp;"",""))</f>
        <v/>
      </c>
    </row>
    <row r="1569" customFormat="false" ht="15" hidden="false" customHeight="false" outlineLevel="0" collapsed="false">
      <c r="A1569" s="33"/>
      <c r="B1569" s="27"/>
      <c r="C1569" s="27"/>
      <c r="D1569" s="27"/>
      <c r="E1569" s="27"/>
      <c r="F1569" s="34"/>
      <c r="G1569" s="27"/>
      <c r="H1569" s="27"/>
      <c r="I1569" s="28" t="str">
        <f aca="false">IF(C1569="","",IFERROR(INDEX(Settings!$C$8:$C$19,MATCH(C1569,Settings!$B$8:$B$19,0)),"?"))</f>
        <v/>
      </c>
      <c r="J1569" s="28" t="str">
        <f aca="false">IF(G1569="","",IFERROR(INDEX(Settings!$C$8:$C$19,MATCH(G1569,Settings!$B$8:$B$19,0)),"?"))</f>
        <v/>
      </c>
      <c r="K1569" s="35" t="str">
        <f aca="false">IF(A1569="","",DATE(YEAR(A1569),MONTH(A1569),1))</f>
        <v/>
      </c>
      <c r="L1569" s="28" t="str">
        <f aca="false">IF(E1569="","",IFERROR(INDEX(Settings!$K$8:$K$38,MATCH(E1569,Settings!$H$8:$H$38,0))&amp;"",""))</f>
        <v/>
      </c>
    </row>
    <row r="1570" customFormat="false" ht="15" hidden="false" customHeight="false" outlineLevel="0" collapsed="false">
      <c r="A1570" s="33"/>
      <c r="B1570" s="27"/>
      <c r="C1570" s="27"/>
      <c r="D1570" s="27"/>
      <c r="E1570" s="27"/>
      <c r="F1570" s="34"/>
      <c r="G1570" s="27"/>
      <c r="H1570" s="27"/>
      <c r="I1570" s="28" t="str">
        <f aca="false">IF(C1570="","",IFERROR(INDEX(Settings!$C$8:$C$19,MATCH(C1570,Settings!$B$8:$B$19,0)),"?"))</f>
        <v/>
      </c>
      <c r="J1570" s="28" t="str">
        <f aca="false">IF(G1570="","",IFERROR(INDEX(Settings!$C$8:$C$19,MATCH(G1570,Settings!$B$8:$B$19,0)),"?"))</f>
        <v/>
      </c>
      <c r="K1570" s="35" t="str">
        <f aca="false">IF(A1570="","",DATE(YEAR(A1570),MONTH(A1570),1))</f>
        <v/>
      </c>
      <c r="L1570" s="28" t="str">
        <f aca="false">IF(E1570="","",IFERROR(INDEX(Settings!$K$8:$K$38,MATCH(E1570,Settings!$H$8:$H$38,0))&amp;"",""))</f>
        <v/>
      </c>
    </row>
    <row r="1571" customFormat="false" ht="15" hidden="false" customHeight="false" outlineLevel="0" collapsed="false">
      <c r="A1571" s="33"/>
      <c r="B1571" s="27"/>
      <c r="C1571" s="27"/>
      <c r="D1571" s="27"/>
      <c r="E1571" s="27"/>
      <c r="F1571" s="34"/>
      <c r="G1571" s="27"/>
      <c r="H1571" s="27"/>
      <c r="I1571" s="28" t="str">
        <f aca="false">IF(C1571="","",IFERROR(INDEX(Settings!$C$8:$C$19,MATCH(C1571,Settings!$B$8:$B$19,0)),"?"))</f>
        <v/>
      </c>
      <c r="J1571" s="28" t="str">
        <f aca="false">IF(G1571="","",IFERROR(INDEX(Settings!$C$8:$C$19,MATCH(G1571,Settings!$B$8:$B$19,0)),"?"))</f>
        <v/>
      </c>
      <c r="K1571" s="35" t="str">
        <f aca="false">IF(A1571="","",DATE(YEAR(A1571),MONTH(A1571),1))</f>
        <v/>
      </c>
      <c r="L1571" s="28" t="str">
        <f aca="false">IF(E1571="","",IFERROR(INDEX(Settings!$K$8:$K$38,MATCH(E1571,Settings!$H$8:$H$38,0))&amp;"",""))</f>
        <v/>
      </c>
    </row>
    <row r="1572" customFormat="false" ht="15" hidden="false" customHeight="false" outlineLevel="0" collapsed="false">
      <c r="A1572" s="33"/>
      <c r="B1572" s="27"/>
      <c r="C1572" s="27"/>
      <c r="D1572" s="27"/>
      <c r="E1572" s="27"/>
      <c r="F1572" s="34"/>
      <c r="G1572" s="27"/>
      <c r="H1572" s="27"/>
      <c r="I1572" s="28" t="str">
        <f aca="false">IF(C1572="","",IFERROR(INDEX(Settings!$C$8:$C$19,MATCH(C1572,Settings!$B$8:$B$19,0)),"?"))</f>
        <v/>
      </c>
      <c r="J1572" s="28" t="str">
        <f aca="false">IF(G1572="","",IFERROR(INDEX(Settings!$C$8:$C$19,MATCH(G1572,Settings!$B$8:$B$19,0)),"?"))</f>
        <v/>
      </c>
      <c r="K1572" s="35" t="str">
        <f aca="false">IF(A1572="","",DATE(YEAR(A1572),MONTH(A1572),1))</f>
        <v/>
      </c>
      <c r="L1572" s="28" t="str">
        <f aca="false">IF(E1572="","",IFERROR(INDEX(Settings!$K$8:$K$38,MATCH(E1572,Settings!$H$8:$H$38,0))&amp;"",""))</f>
        <v/>
      </c>
    </row>
    <row r="1573" customFormat="false" ht="15" hidden="false" customHeight="false" outlineLevel="0" collapsed="false">
      <c r="A1573" s="33"/>
      <c r="B1573" s="27"/>
      <c r="C1573" s="27"/>
      <c r="D1573" s="27"/>
      <c r="E1573" s="27"/>
      <c r="F1573" s="34"/>
      <c r="G1573" s="27"/>
      <c r="H1573" s="27"/>
      <c r="I1573" s="28" t="str">
        <f aca="false">IF(C1573="","",IFERROR(INDEX(Settings!$C$8:$C$19,MATCH(C1573,Settings!$B$8:$B$19,0)),"?"))</f>
        <v/>
      </c>
      <c r="J1573" s="28" t="str">
        <f aca="false">IF(G1573="","",IFERROR(INDEX(Settings!$C$8:$C$19,MATCH(G1573,Settings!$B$8:$B$19,0)),"?"))</f>
        <v/>
      </c>
      <c r="K1573" s="35" t="str">
        <f aca="false">IF(A1573="","",DATE(YEAR(A1573),MONTH(A1573),1))</f>
        <v/>
      </c>
      <c r="L1573" s="28" t="str">
        <f aca="false">IF(E1573="","",IFERROR(INDEX(Settings!$K$8:$K$38,MATCH(E1573,Settings!$H$8:$H$38,0))&amp;"",""))</f>
        <v/>
      </c>
    </row>
    <row r="1574" customFormat="false" ht="15" hidden="false" customHeight="false" outlineLevel="0" collapsed="false">
      <c r="A1574" s="33"/>
      <c r="B1574" s="27"/>
      <c r="C1574" s="27"/>
      <c r="D1574" s="27"/>
      <c r="E1574" s="27"/>
      <c r="F1574" s="34"/>
      <c r="G1574" s="27"/>
      <c r="H1574" s="27"/>
      <c r="I1574" s="28" t="str">
        <f aca="false">IF(C1574="","",IFERROR(INDEX(Settings!$C$8:$C$19,MATCH(C1574,Settings!$B$8:$B$19,0)),"?"))</f>
        <v/>
      </c>
      <c r="J1574" s="28" t="str">
        <f aca="false">IF(G1574="","",IFERROR(INDEX(Settings!$C$8:$C$19,MATCH(G1574,Settings!$B$8:$B$19,0)),"?"))</f>
        <v/>
      </c>
      <c r="K1574" s="35" t="str">
        <f aca="false">IF(A1574="","",DATE(YEAR(A1574),MONTH(A1574),1))</f>
        <v/>
      </c>
      <c r="L1574" s="28" t="str">
        <f aca="false">IF(E1574="","",IFERROR(INDEX(Settings!$K$8:$K$38,MATCH(E1574,Settings!$H$8:$H$38,0))&amp;"",""))</f>
        <v/>
      </c>
    </row>
    <row r="1575" customFormat="false" ht="15" hidden="false" customHeight="false" outlineLevel="0" collapsed="false">
      <c r="A1575" s="33"/>
      <c r="B1575" s="27"/>
      <c r="C1575" s="27"/>
      <c r="D1575" s="27"/>
      <c r="E1575" s="27"/>
      <c r="F1575" s="34"/>
      <c r="G1575" s="27"/>
      <c r="H1575" s="27"/>
      <c r="I1575" s="28" t="str">
        <f aca="false">IF(C1575="","",IFERROR(INDEX(Settings!$C$8:$C$19,MATCH(C1575,Settings!$B$8:$B$19,0)),"?"))</f>
        <v/>
      </c>
      <c r="J1575" s="28" t="str">
        <f aca="false">IF(G1575="","",IFERROR(INDEX(Settings!$C$8:$C$19,MATCH(G1575,Settings!$B$8:$B$19,0)),"?"))</f>
        <v/>
      </c>
      <c r="K1575" s="35" t="str">
        <f aca="false">IF(A1575="","",DATE(YEAR(A1575),MONTH(A1575),1))</f>
        <v/>
      </c>
      <c r="L1575" s="28" t="str">
        <f aca="false">IF(E1575="","",IFERROR(INDEX(Settings!$K$8:$K$38,MATCH(E1575,Settings!$H$8:$H$38,0))&amp;"",""))</f>
        <v/>
      </c>
    </row>
    <row r="1576" customFormat="false" ht="15" hidden="false" customHeight="false" outlineLevel="0" collapsed="false">
      <c r="A1576" s="33"/>
      <c r="B1576" s="27"/>
      <c r="C1576" s="27"/>
      <c r="D1576" s="27"/>
      <c r="E1576" s="27"/>
      <c r="F1576" s="34"/>
      <c r="G1576" s="27"/>
      <c r="H1576" s="27"/>
      <c r="I1576" s="28" t="str">
        <f aca="false">IF(C1576="","",IFERROR(INDEX(Settings!$C$8:$C$19,MATCH(C1576,Settings!$B$8:$B$19,0)),"?"))</f>
        <v/>
      </c>
      <c r="J1576" s="28" t="str">
        <f aca="false">IF(G1576="","",IFERROR(INDEX(Settings!$C$8:$C$19,MATCH(G1576,Settings!$B$8:$B$19,0)),"?"))</f>
        <v/>
      </c>
      <c r="K1576" s="35" t="str">
        <f aca="false">IF(A1576="","",DATE(YEAR(A1576),MONTH(A1576),1))</f>
        <v/>
      </c>
      <c r="L1576" s="28" t="str">
        <f aca="false">IF(E1576="","",IFERROR(INDEX(Settings!$K$8:$K$38,MATCH(E1576,Settings!$H$8:$H$38,0))&amp;"",""))</f>
        <v/>
      </c>
    </row>
    <row r="1577" customFormat="false" ht="15" hidden="false" customHeight="false" outlineLevel="0" collapsed="false">
      <c r="A1577" s="33"/>
      <c r="B1577" s="27"/>
      <c r="C1577" s="27"/>
      <c r="D1577" s="27"/>
      <c r="E1577" s="27"/>
      <c r="F1577" s="34"/>
      <c r="G1577" s="27"/>
      <c r="H1577" s="27"/>
      <c r="I1577" s="28" t="str">
        <f aca="false">IF(C1577="","",IFERROR(INDEX(Settings!$C$8:$C$19,MATCH(C1577,Settings!$B$8:$B$19,0)),"?"))</f>
        <v/>
      </c>
      <c r="J1577" s="28" t="str">
        <f aca="false">IF(G1577="","",IFERROR(INDEX(Settings!$C$8:$C$19,MATCH(G1577,Settings!$B$8:$B$19,0)),"?"))</f>
        <v/>
      </c>
      <c r="K1577" s="35" t="str">
        <f aca="false">IF(A1577="","",DATE(YEAR(A1577),MONTH(A1577),1))</f>
        <v/>
      </c>
      <c r="L1577" s="28" t="str">
        <f aca="false">IF(E1577="","",IFERROR(INDEX(Settings!$K$8:$K$38,MATCH(E1577,Settings!$H$8:$H$38,0))&amp;"",""))</f>
        <v/>
      </c>
    </row>
    <row r="1578" customFormat="false" ht="15" hidden="false" customHeight="false" outlineLevel="0" collapsed="false">
      <c r="A1578" s="33"/>
      <c r="B1578" s="27"/>
      <c r="C1578" s="27"/>
      <c r="D1578" s="27"/>
      <c r="E1578" s="27"/>
      <c r="F1578" s="34"/>
      <c r="G1578" s="27"/>
      <c r="H1578" s="27"/>
      <c r="I1578" s="28" t="str">
        <f aca="false">IF(C1578="","",IFERROR(INDEX(Settings!$C$8:$C$19,MATCH(C1578,Settings!$B$8:$B$19,0)),"?"))</f>
        <v/>
      </c>
      <c r="J1578" s="28" t="str">
        <f aca="false">IF(G1578="","",IFERROR(INDEX(Settings!$C$8:$C$19,MATCH(G1578,Settings!$B$8:$B$19,0)),"?"))</f>
        <v/>
      </c>
      <c r="K1578" s="35" t="str">
        <f aca="false">IF(A1578="","",DATE(YEAR(A1578),MONTH(A1578),1))</f>
        <v/>
      </c>
      <c r="L1578" s="28" t="str">
        <f aca="false">IF(E1578="","",IFERROR(INDEX(Settings!$K$8:$K$38,MATCH(E1578,Settings!$H$8:$H$38,0))&amp;"",""))</f>
        <v/>
      </c>
    </row>
    <row r="1579" customFormat="false" ht="15" hidden="false" customHeight="false" outlineLevel="0" collapsed="false">
      <c r="A1579" s="33"/>
      <c r="B1579" s="27"/>
      <c r="C1579" s="27"/>
      <c r="D1579" s="27"/>
      <c r="E1579" s="27"/>
      <c r="F1579" s="34"/>
      <c r="G1579" s="27"/>
      <c r="H1579" s="27"/>
      <c r="I1579" s="28" t="str">
        <f aca="false">IF(C1579="","",IFERROR(INDEX(Settings!$C$8:$C$19,MATCH(C1579,Settings!$B$8:$B$19,0)),"?"))</f>
        <v/>
      </c>
      <c r="J1579" s="28" t="str">
        <f aca="false">IF(G1579="","",IFERROR(INDEX(Settings!$C$8:$C$19,MATCH(G1579,Settings!$B$8:$B$19,0)),"?"))</f>
        <v/>
      </c>
      <c r="K1579" s="35" t="str">
        <f aca="false">IF(A1579="","",DATE(YEAR(A1579),MONTH(A1579),1))</f>
        <v/>
      </c>
      <c r="L1579" s="28" t="str">
        <f aca="false">IF(E1579="","",IFERROR(INDEX(Settings!$K$8:$K$38,MATCH(E1579,Settings!$H$8:$H$38,0))&amp;"",""))</f>
        <v/>
      </c>
    </row>
    <row r="1580" customFormat="false" ht="15" hidden="false" customHeight="false" outlineLevel="0" collapsed="false">
      <c r="A1580" s="33"/>
      <c r="B1580" s="27"/>
      <c r="C1580" s="27"/>
      <c r="D1580" s="27"/>
      <c r="E1580" s="27"/>
      <c r="F1580" s="34"/>
      <c r="G1580" s="27"/>
      <c r="H1580" s="27"/>
      <c r="I1580" s="28" t="str">
        <f aca="false">IF(C1580="","",IFERROR(INDEX(Settings!$C$8:$C$19,MATCH(C1580,Settings!$B$8:$B$19,0)),"?"))</f>
        <v/>
      </c>
      <c r="J1580" s="28" t="str">
        <f aca="false">IF(G1580="","",IFERROR(INDEX(Settings!$C$8:$C$19,MATCH(G1580,Settings!$B$8:$B$19,0)),"?"))</f>
        <v/>
      </c>
      <c r="K1580" s="35" t="str">
        <f aca="false">IF(A1580="","",DATE(YEAR(A1580),MONTH(A1580),1))</f>
        <v/>
      </c>
      <c r="L1580" s="28" t="str">
        <f aca="false">IF(E1580="","",IFERROR(INDEX(Settings!$K$8:$K$38,MATCH(E1580,Settings!$H$8:$H$38,0))&amp;"",""))</f>
        <v/>
      </c>
    </row>
    <row r="1581" customFormat="false" ht="15" hidden="false" customHeight="false" outlineLevel="0" collapsed="false">
      <c r="A1581" s="33"/>
      <c r="B1581" s="27"/>
      <c r="C1581" s="27"/>
      <c r="D1581" s="27"/>
      <c r="E1581" s="27"/>
      <c r="F1581" s="34"/>
      <c r="G1581" s="27"/>
      <c r="H1581" s="27"/>
      <c r="I1581" s="28" t="str">
        <f aca="false">IF(C1581="","",IFERROR(INDEX(Settings!$C$8:$C$19,MATCH(C1581,Settings!$B$8:$B$19,0)),"?"))</f>
        <v/>
      </c>
      <c r="J1581" s="28" t="str">
        <f aca="false">IF(G1581="","",IFERROR(INDEX(Settings!$C$8:$C$19,MATCH(G1581,Settings!$B$8:$B$19,0)),"?"))</f>
        <v/>
      </c>
      <c r="K1581" s="35" t="str">
        <f aca="false">IF(A1581="","",DATE(YEAR(A1581),MONTH(A1581),1))</f>
        <v/>
      </c>
      <c r="L1581" s="28" t="str">
        <f aca="false">IF(E1581="","",IFERROR(INDEX(Settings!$K$8:$K$38,MATCH(E1581,Settings!$H$8:$H$38,0))&amp;"",""))</f>
        <v/>
      </c>
    </row>
    <row r="1582" customFormat="false" ht="15" hidden="false" customHeight="false" outlineLevel="0" collapsed="false">
      <c r="A1582" s="33"/>
      <c r="B1582" s="27"/>
      <c r="C1582" s="27"/>
      <c r="D1582" s="27"/>
      <c r="E1582" s="27"/>
      <c r="F1582" s="34"/>
      <c r="G1582" s="27"/>
      <c r="H1582" s="27"/>
      <c r="I1582" s="28" t="str">
        <f aca="false">IF(C1582="","",IFERROR(INDEX(Settings!$C$8:$C$19,MATCH(C1582,Settings!$B$8:$B$19,0)),"?"))</f>
        <v/>
      </c>
      <c r="J1582" s="28" t="str">
        <f aca="false">IF(G1582="","",IFERROR(INDEX(Settings!$C$8:$C$19,MATCH(G1582,Settings!$B$8:$B$19,0)),"?"))</f>
        <v/>
      </c>
      <c r="K1582" s="35" t="str">
        <f aca="false">IF(A1582="","",DATE(YEAR(A1582),MONTH(A1582),1))</f>
        <v/>
      </c>
      <c r="L1582" s="28" t="str">
        <f aca="false">IF(E1582="","",IFERROR(INDEX(Settings!$K$8:$K$38,MATCH(E1582,Settings!$H$8:$H$38,0))&amp;"",""))</f>
        <v/>
      </c>
    </row>
    <row r="1583" customFormat="false" ht="15" hidden="false" customHeight="false" outlineLevel="0" collapsed="false">
      <c r="A1583" s="33"/>
      <c r="B1583" s="27"/>
      <c r="C1583" s="27"/>
      <c r="D1583" s="27"/>
      <c r="E1583" s="27"/>
      <c r="F1583" s="34"/>
      <c r="G1583" s="27"/>
      <c r="H1583" s="27"/>
      <c r="I1583" s="28" t="str">
        <f aca="false">IF(C1583="","",IFERROR(INDEX(Settings!$C$8:$C$19,MATCH(C1583,Settings!$B$8:$B$19,0)),"?"))</f>
        <v/>
      </c>
      <c r="J1583" s="28" t="str">
        <f aca="false">IF(G1583="","",IFERROR(INDEX(Settings!$C$8:$C$19,MATCH(G1583,Settings!$B$8:$B$19,0)),"?"))</f>
        <v/>
      </c>
      <c r="K1583" s="35" t="str">
        <f aca="false">IF(A1583="","",DATE(YEAR(A1583),MONTH(A1583),1))</f>
        <v/>
      </c>
      <c r="L1583" s="28" t="str">
        <f aca="false">IF(E1583="","",IFERROR(INDEX(Settings!$K$8:$K$38,MATCH(E1583,Settings!$H$8:$H$38,0))&amp;"",""))</f>
        <v/>
      </c>
    </row>
    <row r="1584" customFormat="false" ht="15" hidden="false" customHeight="false" outlineLevel="0" collapsed="false">
      <c r="A1584" s="33"/>
      <c r="B1584" s="27"/>
      <c r="C1584" s="27"/>
      <c r="D1584" s="27"/>
      <c r="E1584" s="27"/>
      <c r="F1584" s="34"/>
      <c r="G1584" s="27"/>
      <c r="H1584" s="27"/>
      <c r="I1584" s="28" t="str">
        <f aca="false">IF(C1584="","",IFERROR(INDEX(Settings!$C$8:$C$19,MATCH(C1584,Settings!$B$8:$B$19,0)),"?"))</f>
        <v/>
      </c>
      <c r="J1584" s="28" t="str">
        <f aca="false">IF(G1584="","",IFERROR(INDEX(Settings!$C$8:$C$19,MATCH(G1584,Settings!$B$8:$B$19,0)),"?"))</f>
        <v/>
      </c>
      <c r="K1584" s="35" t="str">
        <f aca="false">IF(A1584="","",DATE(YEAR(A1584),MONTH(A1584),1))</f>
        <v/>
      </c>
      <c r="L1584" s="28" t="str">
        <f aca="false">IF(E1584="","",IFERROR(INDEX(Settings!$K$8:$K$38,MATCH(E1584,Settings!$H$8:$H$38,0))&amp;"",""))</f>
        <v/>
      </c>
    </row>
    <row r="1585" customFormat="false" ht="15" hidden="false" customHeight="false" outlineLevel="0" collapsed="false">
      <c r="A1585" s="33"/>
      <c r="B1585" s="27"/>
      <c r="C1585" s="27"/>
      <c r="D1585" s="27"/>
      <c r="E1585" s="27"/>
      <c r="F1585" s="34"/>
      <c r="G1585" s="27"/>
      <c r="H1585" s="27"/>
      <c r="I1585" s="28" t="str">
        <f aca="false">IF(C1585="","",IFERROR(INDEX(Settings!$C$8:$C$19,MATCH(C1585,Settings!$B$8:$B$19,0)),"?"))</f>
        <v/>
      </c>
      <c r="J1585" s="28" t="str">
        <f aca="false">IF(G1585="","",IFERROR(INDEX(Settings!$C$8:$C$19,MATCH(G1585,Settings!$B$8:$B$19,0)),"?"))</f>
        <v/>
      </c>
      <c r="K1585" s="35" t="str">
        <f aca="false">IF(A1585="","",DATE(YEAR(A1585),MONTH(A1585),1))</f>
        <v/>
      </c>
      <c r="L1585" s="28" t="str">
        <f aca="false">IF(E1585="","",IFERROR(INDEX(Settings!$K$8:$K$38,MATCH(E1585,Settings!$H$8:$H$38,0))&amp;"",""))</f>
        <v/>
      </c>
    </row>
    <row r="1586" customFormat="false" ht="15" hidden="false" customHeight="false" outlineLevel="0" collapsed="false">
      <c r="A1586" s="33"/>
      <c r="B1586" s="27"/>
      <c r="C1586" s="27"/>
      <c r="D1586" s="27"/>
      <c r="E1586" s="27"/>
      <c r="F1586" s="34"/>
      <c r="G1586" s="27"/>
      <c r="H1586" s="27"/>
      <c r="I1586" s="28" t="str">
        <f aca="false">IF(C1586="","",IFERROR(INDEX(Settings!$C$8:$C$19,MATCH(C1586,Settings!$B$8:$B$19,0)),"?"))</f>
        <v/>
      </c>
      <c r="J1586" s="28" t="str">
        <f aca="false">IF(G1586="","",IFERROR(INDEX(Settings!$C$8:$C$19,MATCH(G1586,Settings!$B$8:$B$19,0)),"?"))</f>
        <v/>
      </c>
      <c r="K1586" s="35" t="str">
        <f aca="false">IF(A1586="","",DATE(YEAR(A1586),MONTH(A1586),1))</f>
        <v/>
      </c>
      <c r="L1586" s="28" t="str">
        <f aca="false">IF(E1586="","",IFERROR(INDEX(Settings!$K$8:$K$38,MATCH(E1586,Settings!$H$8:$H$38,0))&amp;"",""))</f>
        <v/>
      </c>
    </row>
    <row r="1587" customFormat="false" ht="15" hidden="false" customHeight="false" outlineLevel="0" collapsed="false">
      <c r="A1587" s="33"/>
      <c r="B1587" s="27"/>
      <c r="C1587" s="27"/>
      <c r="D1587" s="27"/>
      <c r="E1587" s="27"/>
      <c r="F1587" s="34"/>
      <c r="G1587" s="27"/>
      <c r="H1587" s="27"/>
      <c r="I1587" s="28" t="str">
        <f aca="false">IF(C1587="","",IFERROR(INDEX(Settings!$C$8:$C$19,MATCH(C1587,Settings!$B$8:$B$19,0)),"?"))</f>
        <v/>
      </c>
      <c r="J1587" s="28" t="str">
        <f aca="false">IF(G1587="","",IFERROR(INDEX(Settings!$C$8:$C$19,MATCH(G1587,Settings!$B$8:$B$19,0)),"?"))</f>
        <v/>
      </c>
      <c r="K1587" s="35" t="str">
        <f aca="false">IF(A1587="","",DATE(YEAR(A1587),MONTH(A1587),1))</f>
        <v/>
      </c>
      <c r="L1587" s="28" t="str">
        <f aca="false">IF(E1587="","",IFERROR(INDEX(Settings!$K$8:$K$38,MATCH(E1587,Settings!$H$8:$H$38,0))&amp;"",""))</f>
        <v/>
      </c>
    </row>
    <row r="1588" customFormat="false" ht="15" hidden="false" customHeight="false" outlineLevel="0" collapsed="false">
      <c r="A1588" s="33"/>
      <c r="B1588" s="27"/>
      <c r="C1588" s="27"/>
      <c r="D1588" s="27"/>
      <c r="E1588" s="27"/>
      <c r="F1588" s="34"/>
      <c r="G1588" s="27"/>
      <c r="H1588" s="27"/>
      <c r="I1588" s="28" t="str">
        <f aca="false">IF(C1588="","",IFERROR(INDEX(Settings!$C$8:$C$19,MATCH(C1588,Settings!$B$8:$B$19,0)),"?"))</f>
        <v/>
      </c>
      <c r="J1588" s="28" t="str">
        <f aca="false">IF(G1588="","",IFERROR(INDEX(Settings!$C$8:$C$19,MATCH(G1588,Settings!$B$8:$B$19,0)),"?"))</f>
        <v/>
      </c>
      <c r="K1588" s="35" t="str">
        <f aca="false">IF(A1588="","",DATE(YEAR(A1588),MONTH(A1588),1))</f>
        <v/>
      </c>
      <c r="L1588" s="28" t="str">
        <f aca="false">IF(E1588="","",IFERROR(INDEX(Settings!$K$8:$K$38,MATCH(E1588,Settings!$H$8:$H$38,0))&amp;"",""))</f>
        <v/>
      </c>
    </row>
    <row r="1589" customFormat="false" ht="15" hidden="false" customHeight="false" outlineLevel="0" collapsed="false">
      <c r="A1589" s="33"/>
      <c r="B1589" s="27"/>
      <c r="C1589" s="27"/>
      <c r="D1589" s="27"/>
      <c r="E1589" s="27"/>
      <c r="F1589" s="34"/>
      <c r="G1589" s="27"/>
      <c r="H1589" s="27"/>
      <c r="I1589" s="28" t="str">
        <f aca="false">IF(C1589="","",IFERROR(INDEX(Settings!$C$8:$C$19,MATCH(C1589,Settings!$B$8:$B$19,0)),"?"))</f>
        <v/>
      </c>
      <c r="J1589" s="28" t="str">
        <f aca="false">IF(G1589="","",IFERROR(INDEX(Settings!$C$8:$C$19,MATCH(G1589,Settings!$B$8:$B$19,0)),"?"))</f>
        <v/>
      </c>
      <c r="K1589" s="35" t="str">
        <f aca="false">IF(A1589="","",DATE(YEAR(A1589),MONTH(A1589),1))</f>
        <v/>
      </c>
      <c r="L1589" s="28" t="str">
        <f aca="false">IF(E1589="","",IFERROR(INDEX(Settings!$K$8:$K$38,MATCH(E1589,Settings!$H$8:$H$38,0))&amp;"",""))</f>
        <v/>
      </c>
    </row>
    <row r="1590" customFormat="false" ht="15" hidden="false" customHeight="false" outlineLevel="0" collapsed="false">
      <c r="A1590" s="33"/>
      <c r="B1590" s="27"/>
      <c r="C1590" s="27"/>
      <c r="D1590" s="27"/>
      <c r="E1590" s="27"/>
      <c r="F1590" s="34"/>
      <c r="G1590" s="27"/>
      <c r="H1590" s="27"/>
      <c r="I1590" s="28" t="str">
        <f aca="false">IF(C1590="","",IFERROR(INDEX(Settings!$C$8:$C$19,MATCH(C1590,Settings!$B$8:$B$19,0)),"?"))</f>
        <v/>
      </c>
      <c r="J1590" s="28" t="str">
        <f aca="false">IF(G1590="","",IFERROR(INDEX(Settings!$C$8:$C$19,MATCH(G1590,Settings!$B$8:$B$19,0)),"?"))</f>
        <v/>
      </c>
      <c r="K1590" s="35" t="str">
        <f aca="false">IF(A1590="","",DATE(YEAR(A1590),MONTH(A1590),1))</f>
        <v/>
      </c>
      <c r="L1590" s="28" t="str">
        <f aca="false">IF(E1590="","",IFERROR(INDEX(Settings!$K$8:$K$38,MATCH(E1590,Settings!$H$8:$H$38,0))&amp;"",""))</f>
        <v/>
      </c>
    </row>
    <row r="1591" customFormat="false" ht="15" hidden="false" customHeight="false" outlineLevel="0" collapsed="false">
      <c r="A1591" s="33"/>
      <c r="B1591" s="27"/>
      <c r="C1591" s="27"/>
      <c r="D1591" s="27"/>
      <c r="E1591" s="27"/>
      <c r="F1591" s="34"/>
      <c r="G1591" s="27"/>
      <c r="H1591" s="27"/>
      <c r="I1591" s="28" t="str">
        <f aca="false">IF(C1591="","",IFERROR(INDEX(Settings!$C$8:$C$19,MATCH(C1591,Settings!$B$8:$B$19,0)),"?"))</f>
        <v/>
      </c>
      <c r="J1591" s="28" t="str">
        <f aca="false">IF(G1591="","",IFERROR(INDEX(Settings!$C$8:$C$19,MATCH(G1591,Settings!$B$8:$B$19,0)),"?"))</f>
        <v/>
      </c>
      <c r="K1591" s="35" t="str">
        <f aca="false">IF(A1591="","",DATE(YEAR(A1591),MONTH(A1591),1))</f>
        <v/>
      </c>
      <c r="L1591" s="28" t="str">
        <f aca="false">IF(E1591="","",IFERROR(INDEX(Settings!$K$8:$K$38,MATCH(E1591,Settings!$H$8:$H$38,0))&amp;"",""))</f>
        <v/>
      </c>
    </row>
    <row r="1592" customFormat="false" ht="15" hidden="false" customHeight="false" outlineLevel="0" collapsed="false">
      <c r="A1592" s="33"/>
      <c r="B1592" s="27"/>
      <c r="C1592" s="27"/>
      <c r="D1592" s="27"/>
      <c r="E1592" s="27"/>
      <c r="F1592" s="34"/>
      <c r="G1592" s="27"/>
      <c r="H1592" s="27"/>
      <c r="I1592" s="28" t="str">
        <f aca="false">IF(C1592="","",IFERROR(INDEX(Settings!$C$8:$C$19,MATCH(C1592,Settings!$B$8:$B$19,0)),"?"))</f>
        <v/>
      </c>
      <c r="J1592" s="28" t="str">
        <f aca="false">IF(G1592="","",IFERROR(INDEX(Settings!$C$8:$C$19,MATCH(G1592,Settings!$B$8:$B$19,0)),"?"))</f>
        <v/>
      </c>
      <c r="K1592" s="35" t="str">
        <f aca="false">IF(A1592="","",DATE(YEAR(A1592),MONTH(A1592),1))</f>
        <v/>
      </c>
      <c r="L1592" s="28" t="str">
        <f aca="false">IF(E1592="","",IFERROR(INDEX(Settings!$K$8:$K$38,MATCH(E1592,Settings!$H$8:$H$38,0))&amp;"",""))</f>
        <v/>
      </c>
    </row>
    <row r="1593" customFormat="false" ht="15" hidden="false" customHeight="false" outlineLevel="0" collapsed="false">
      <c r="A1593" s="33"/>
      <c r="B1593" s="27"/>
      <c r="C1593" s="27"/>
      <c r="D1593" s="27"/>
      <c r="E1593" s="27"/>
      <c r="F1593" s="34"/>
      <c r="G1593" s="27"/>
      <c r="H1593" s="27"/>
      <c r="I1593" s="28" t="str">
        <f aca="false">IF(C1593="","",IFERROR(INDEX(Settings!$C$8:$C$19,MATCH(C1593,Settings!$B$8:$B$19,0)),"?"))</f>
        <v/>
      </c>
      <c r="J1593" s="28" t="str">
        <f aca="false">IF(G1593="","",IFERROR(INDEX(Settings!$C$8:$C$19,MATCH(G1593,Settings!$B$8:$B$19,0)),"?"))</f>
        <v/>
      </c>
      <c r="K1593" s="35" t="str">
        <f aca="false">IF(A1593="","",DATE(YEAR(A1593),MONTH(A1593),1))</f>
        <v/>
      </c>
      <c r="L1593" s="28" t="str">
        <f aca="false">IF(E1593="","",IFERROR(INDEX(Settings!$K$8:$K$38,MATCH(E1593,Settings!$H$8:$H$38,0))&amp;"",""))</f>
        <v/>
      </c>
    </row>
    <row r="1594" customFormat="false" ht="15" hidden="false" customHeight="false" outlineLevel="0" collapsed="false">
      <c r="A1594" s="33"/>
      <c r="B1594" s="27"/>
      <c r="C1594" s="27"/>
      <c r="D1594" s="27"/>
      <c r="E1594" s="27"/>
      <c r="F1594" s="34"/>
      <c r="G1594" s="27"/>
      <c r="H1594" s="27"/>
      <c r="I1594" s="28" t="str">
        <f aca="false">IF(C1594="","",IFERROR(INDEX(Settings!$C$8:$C$19,MATCH(C1594,Settings!$B$8:$B$19,0)),"?"))</f>
        <v/>
      </c>
      <c r="J1594" s="28" t="str">
        <f aca="false">IF(G1594="","",IFERROR(INDEX(Settings!$C$8:$C$19,MATCH(G1594,Settings!$B$8:$B$19,0)),"?"))</f>
        <v/>
      </c>
      <c r="K1594" s="35" t="str">
        <f aca="false">IF(A1594="","",DATE(YEAR(A1594),MONTH(A1594),1))</f>
        <v/>
      </c>
      <c r="L1594" s="28" t="str">
        <f aca="false">IF(E1594="","",IFERROR(INDEX(Settings!$K$8:$K$38,MATCH(E1594,Settings!$H$8:$H$38,0))&amp;"",""))</f>
        <v/>
      </c>
    </row>
    <row r="1595" customFormat="false" ht="15" hidden="false" customHeight="false" outlineLevel="0" collapsed="false">
      <c r="A1595" s="33"/>
      <c r="B1595" s="27"/>
      <c r="C1595" s="27"/>
      <c r="D1595" s="27"/>
      <c r="E1595" s="27"/>
      <c r="F1595" s="34"/>
      <c r="G1595" s="27"/>
      <c r="H1595" s="27"/>
      <c r="I1595" s="28" t="str">
        <f aca="false">IF(C1595="","",IFERROR(INDEX(Settings!$C$8:$C$19,MATCH(C1595,Settings!$B$8:$B$19,0)),"?"))</f>
        <v/>
      </c>
      <c r="J1595" s="28" t="str">
        <f aca="false">IF(G1595="","",IFERROR(INDEX(Settings!$C$8:$C$19,MATCH(G1595,Settings!$B$8:$B$19,0)),"?"))</f>
        <v/>
      </c>
      <c r="K1595" s="35" t="str">
        <f aca="false">IF(A1595="","",DATE(YEAR(A1595),MONTH(A1595),1))</f>
        <v/>
      </c>
      <c r="L1595" s="28" t="str">
        <f aca="false">IF(E1595="","",IFERROR(INDEX(Settings!$K$8:$K$38,MATCH(E1595,Settings!$H$8:$H$38,0))&amp;"",""))</f>
        <v/>
      </c>
    </row>
    <row r="1596" customFormat="false" ht="15" hidden="false" customHeight="false" outlineLevel="0" collapsed="false">
      <c r="A1596" s="33"/>
      <c r="B1596" s="27"/>
      <c r="C1596" s="27"/>
      <c r="D1596" s="27"/>
      <c r="E1596" s="27"/>
      <c r="F1596" s="34"/>
      <c r="G1596" s="27"/>
      <c r="H1596" s="27"/>
      <c r="I1596" s="28" t="str">
        <f aca="false">IF(C1596="","",IFERROR(INDEX(Settings!$C$8:$C$19,MATCH(C1596,Settings!$B$8:$B$19,0)),"?"))</f>
        <v/>
      </c>
      <c r="J1596" s="28" t="str">
        <f aca="false">IF(G1596="","",IFERROR(INDEX(Settings!$C$8:$C$19,MATCH(G1596,Settings!$B$8:$B$19,0)),"?"))</f>
        <v/>
      </c>
      <c r="K1596" s="35" t="str">
        <f aca="false">IF(A1596="","",DATE(YEAR(A1596),MONTH(A1596),1))</f>
        <v/>
      </c>
      <c r="L1596" s="28" t="str">
        <f aca="false">IF(E1596="","",IFERROR(INDEX(Settings!$K$8:$K$38,MATCH(E1596,Settings!$H$8:$H$38,0))&amp;"",""))</f>
        <v/>
      </c>
    </row>
    <row r="1597" customFormat="false" ht="15" hidden="false" customHeight="false" outlineLevel="0" collapsed="false">
      <c r="A1597" s="33"/>
      <c r="B1597" s="27"/>
      <c r="C1597" s="27"/>
      <c r="D1597" s="27"/>
      <c r="E1597" s="27"/>
      <c r="F1597" s="34"/>
      <c r="G1597" s="27"/>
      <c r="H1597" s="27"/>
      <c r="I1597" s="28" t="str">
        <f aca="false">IF(C1597="","",IFERROR(INDEX(Settings!$C$8:$C$19,MATCH(C1597,Settings!$B$8:$B$19,0)),"?"))</f>
        <v/>
      </c>
      <c r="J1597" s="28" t="str">
        <f aca="false">IF(G1597="","",IFERROR(INDEX(Settings!$C$8:$C$19,MATCH(G1597,Settings!$B$8:$B$19,0)),"?"))</f>
        <v/>
      </c>
      <c r="K1597" s="35" t="str">
        <f aca="false">IF(A1597="","",DATE(YEAR(A1597),MONTH(A1597),1))</f>
        <v/>
      </c>
      <c r="L1597" s="28" t="str">
        <f aca="false">IF(E1597="","",IFERROR(INDEX(Settings!$K$8:$K$38,MATCH(E1597,Settings!$H$8:$H$38,0))&amp;"",""))</f>
        <v/>
      </c>
    </row>
    <row r="1598" customFormat="false" ht="15" hidden="false" customHeight="false" outlineLevel="0" collapsed="false">
      <c r="A1598" s="33"/>
      <c r="B1598" s="27"/>
      <c r="C1598" s="27"/>
      <c r="D1598" s="27"/>
      <c r="E1598" s="27"/>
      <c r="F1598" s="34"/>
      <c r="G1598" s="27"/>
      <c r="H1598" s="27"/>
      <c r="I1598" s="28" t="str">
        <f aca="false">IF(C1598="","",IFERROR(INDEX(Settings!$C$8:$C$19,MATCH(C1598,Settings!$B$8:$B$19,0)),"?"))</f>
        <v/>
      </c>
      <c r="J1598" s="28" t="str">
        <f aca="false">IF(G1598="","",IFERROR(INDEX(Settings!$C$8:$C$19,MATCH(G1598,Settings!$B$8:$B$19,0)),"?"))</f>
        <v/>
      </c>
      <c r="K1598" s="35" t="str">
        <f aca="false">IF(A1598="","",DATE(YEAR(A1598),MONTH(A1598),1))</f>
        <v/>
      </c>
      <c r="L1598" s="28" t="str">
        <f aca="false">IF(E1598="","",IFERROR(INDEX(Settings!$K$8:$K$38,MATCH(E1598,Settings!$H$8:$H$38,0))&amp;"",""))</f>
        <v/>
      </c>
    </row>
    <row r="1599" customFormat="false" ht="15" hidden="false" customHeight="false" outlineLevel="0" collapsed="false">
      <c r="A1599" s="33"/>
      <c r="B1599" s="27"/>
      <c r="C1599" s="27"/>
      <c r="D1599" s="27"/>
      <c r="E1599" s="27"/>
      <c r="F1599" s="34"/>
      <c r="G1599" s="27"/>
      <c r="H1599" s="27"/>
      <c r="I1599" s="28" t="str">
        <f aca="false">IF(C1599="","",IFERROR(INDEX(Settings!$C$8:$C$19,MATCH(C1599,Settings!$B$8:$B$19,0)),"?"))</f>
        <v/>
      </c>
      <c r="J1599" s="28" t="str">
        <f aca="false">IF(G1599="","",IFERROR(INDEX(Settings!$C$8:$C$19,MATCH(G1599,Settings!$B$8:$B$19,0)),"?"))</f>
        <v/>
      </c>
      <c r="K1599" s="35" t="str">
        <f aca="false">IF(A1599="","",DATE(YEAR(A1599),MONTH(A1599),1))</f>
        <v/>
      </c>
      <c r="L1599" s="28" t="str">
        <f aca="false">IF(E1599="","",IFERROR(INDEX(Settings!$K$8:$K$38,MATCH(E1599,Settings!$H$8:$H$38,0))&amp;"",""))</f>
        <v/>
      </c>
    </row>
    <row r="1600" customFormat="false" ht="15" hidden="false" customHeight="false" outlineLevel="0" collapsed="false">
      <c r="A1600" s="33"/>
      <c r="B1600" s="27"/>
      <c r="C1600" s="27"/>
      <c r="D1600" s="27"/>
      <c r="E1600" s="27"/>
      <c r="F1600" s="34"/>
      <c r="G1600" s="27"/>
      <c r="H1600" s="27"/>
      <c r="I1600" s="28" t="str">
        <f aca="false">IF(C1600="","",IFERROR(INDEX(Settings!$C$8:$C$19,MATCH(C1600,Settings!$B$8:$B$19,0)),"?"))</f>
        <v/>
      </c>
      <c r="J1600" s="28" t="str">
        <f aca="false">IF(G1600="","",IFERROR(INDEX(Settings!$C$8:$C$19,MATCH(G1600,Settings!$B$8:$B$19,0)),"?"))</f>
        <v/>
      </c>
      <c r="K1600" s="35" t="str">
        <f aca="false">IF(A1600="","",DATE(YEAR(A1600),MONTH(A1600),1))</f>
        <v/>
      </c>
      <c r="L1600" s="28" t="str">
        <f aca="false">IF(E1600="","",IFERROR(INDEX(Settings!$K$8:$K$38,MATCH(E1600,Settings!$H$8:$H$38,0))&amp;"",""))</f>
        <v/>
      </c>
    </row>
    <row r="1601" customFormat="false" ht="15" hidden="false" customHeight="false" outlineLevel="0" collapsed="false">
      <c r="A1601" s="33"/>
      <c r="B1601" s="27"/>
      <c r="C1601" s="27"/>
      <c r="D1601" s="27"/>
      <c r="E1601" s="27"/>
      <c r="F1601" s="34"/>
      <c r="G1601" s="27"/>
      <c r="H1601" s="27"/>
      <c r="I1601" s="28" t="str">
        <f aca="false">IF(C1601="","",IFERROR(INDEX(Settings!$C$8:$C$19,MATCH(C1601,Settings!$B$8:$B$19,0)),"?"))</f>
        <v/>
      </c>
      <c r="J1601" s="28" t="str">
        <f aca="false">IF(G1601="","",IFERROR(INDEX(Settings!$C$8:$C$19,MATCH(G1601,Settings!$B$8:$B$19,0)),"?"))</f>
        <v/>
      </c>
      <c r="K1601" s="35" t="str">
        <f aca="false">IF(A1601="","",DATE(YEAR(A1601),MONTH(A1601),1))</f>
        <v/>
      </c>
      <c r="L1601" s="28" t="str">
        <f aca="false">IF(E1601="","",IFERROR(INDEX(Settings!$K$8:$K$38,MATCH(E1601,Settings!$H$8:$H$38,0))&amp;"",""))</f>
        <v/>
      </c>
    </row>
    <row r="1602" customFormat="false" ht="15" hidden="false" customHeight="false" outlineLevel="0" collapsed="false">
      <c r="A1602" s="33"/>
      <c r="B1602" s="27"/>
      <c r="C1602" s="27"/>
      <c r="D1602" s="27"/>
      <c r="E1602" s="27"/>
      <c r="F1602" s="34"/>
      <c r="G1602" s="27"/>
      <c r="H1602" s="27"/>
      <c r="I1602" s="28" t="str">
        <f aca="false">IF(C1602="","",IFERROR(INDEX(Settings!$C$8:$C$19,MATCH(C1602,Settings!$B$8:$B$19,0)),"?"))</f>
        <v/>
      </c>
      <c r="J1602" s="28" t="str">
        <f aca="false">IF(G1602="","",IFERROR(INDEX(Settings!$C$8:$C$19,MATCH(G1602,Settings!$B$8:$B$19,0)),"?"))</f>
        <v/>
      </c>
      <c r="K1602" s="35" t="str">
        <f aca="false">IF(A1602="","",DATE(YEAR(A1602),MONTH(A1602),1))</f>
        <v/>
      </c>
      <c r="L1602" s="28" t="str">
        <f aca="false">IF(E1602="","",IFERROR(INDEX(Settings!$K$8:$K$38,MATCH(E1602,Settings!$H$8:$H$38,0))&amp;"",""))</f>
        <v/>
      </c>
    </row>
    <row r="1603" customFormat="false" ht="15" hidden="false" customHeight="false" outlineLevel="0" collapsed="false">
      <c r="A1603" s="33"/>
      <c r="B1603" s="27"/>
      <c r="C1603" s="27"/>
      <c r="D1603" s="27"/>
      <c r="E1603" s="27"/>
      <c r="F1603" s="34"/>
      <c r="G1603" s="27"/>
      <c r="H1603" s="27"/>
      <c r="I1603" s="28" t="str">
        <f aca="false">IF(C1603="","",IFERROR(INDEX(Settings!$C$8:$C$19,MATCH(C1603,Settings!$B$8:$B$19,0)),"?"))</f>
        <v/>
      </c>
      <c r="J1603" s="28" t="str">
        <f aca="false">IF(G1603="","",IFERROR(INDEX(Settings!$C$8:$C$19,MATCH(G1603,Settings!$B$8:$B$19,0)),"?"))</f>
        <v/>
      </c>
      <c r="K1603" s="35" t="str">
        <f aca="false">IF(A1603="","",DATE(YEAR(A1603),MONTH(A1603),1))</f>
        <v/>
      </c>
      <c r="L1603" s="28" t="str">
        <f aca="false">IF(E1603="","",IFERROR(INDEX(Settings!$K$8:$K$38,MATCH(E1603,Settings!$H$8:$H$38,0))&amp;"",""))</f>
        <v/>
      </c>
    </row>
    <row r="1604" customFormat="false" ht="15" hidden="false" customHeight="false" outlineLevel="0" collapsed="false">
      <c r="A1604" s="33"/>
      <c r="B1604" s="27"/>
      <c r="C1604" s="27"/>
      <c r="D1604" s="27"/>
      <c r="E1604" s="27"/>
      <c r="F1604" s="34"/>
      <c r="G1604" s="27"/>
      <c r="H1604" s="27"/>
      <c r="I1604" s="28" t="str">
        <f aca="false">IF(C1604="","",IFERROR(INDEX(Settings!$C$8:$C$19,MATCH(C1604,Settings!$B$8:$B$19,0)),"?"))</f>
        <v/>
      </c>
      <c r="J1604" s="28" t="str">
        <f aca="false">IF(G1604="","",IFERROR(INDEX(Settings!$C$8:$C$19,MATCH(G1604,Settings!$B$8:$B$19,0)),"?"))</f>
        <v/>
      </c>
      <c r="K1604" s="35" t="str">
        <f aca="false">IF(A1604="","",DATE(YEAR(A1604),MONTH(A1604),1))</f>
        <v/>
      </c>
      <c r="L1604" s="28" t="str">
        <f aca="false">IF(E1604="","",IFERROR(INDEX(Settings!$K$8:$K$38,MATCH(E1604,Settings!$H$8:$H$38,0))&amp;"",""))</f>
        <v/>
      </c>
    </row>
    <row r="1605" customFormat="false" ht="15" hidden="false" customHeight="false" outlineLevel="0" collapsed="false">
      <c r="A1605" s="33"/>
      <c r="B1605" s="27"/>
      <c r="C1605" s="27"/>
      <c r="D1605" s="27"/>
      <c r="E1605" s="27"/>
      <c r="F1605" s="34"/>
      <c r="G1605" s="27"/>
      <c r="H1605" s="27"/>
      <c r="I1605" s="28" t="str">
        <f aca="false">IF(C1605="","",IFERROR(INDEX(Settings!$C$8:$C$19,MATCH(C1605,Settings!$B$8:$B$19,0)),"?"))</f>
        <v/>
      </c>
      <c r="J1605" s="28" t="str">
        <f aca="false">IF(G1605="","",IFERROR(INDEX(Settings!$C$8:$C$19,MATCH(G1605,Settings!$B$8:$B$19,0)),"?"))</f>
        <v/>
      </c>
      <c r="K1605" s="35" t="str">
        <f aca="false">IF(A1605="","",DATE(YEAR(A1605),MONTH(A1605),1))</f>
        <v/>
      </c>
      <c r="L1605" s="28" t="str">
        <f aca="false">IF(E1605="","",IFERROR(INDEX(Settings!$K$8:$K$38,MATCH(E1605,Settings!$H$8:$H$38,0))&amp;"",""))</f>
        <v/>
      </c>
    </row>
    <row r="1606" customFormat="false" ht="15" hidden="false" customHeight="false" outlineLevel="0" collapsed="false">
      <c r="A1606" s="33"/>
      <c r="B1606" s="27"/>
      <c r="C1606" s="27"/>
      <c r="D1606" s="27"/>
      <c r="E1606" s="27"/>
      <c r="F1606" s="34"/>
      <c r="G1606" s="27"/>
      <c r="H1606" s="27"/>
      <c r="I1606" s="28" t="str">
        <f aca="false">IF(C1606="","",IFERROR(INDEX(Settings!$C$8:$C$19,MATCH(C1606,Settings!$B$8:$B$19,0)),"?"))</f>
        <v/>
      </c>
      <c r="J1606" s="28" t="str">
        <f aca="false">IF(G1606="","",IFERROR(INDEX(Settings!$C$8:$C$19,MATCH(G1606,Settings!$B$8:$B$19,0)),"?"))</f>
        <v/>
      </c>
      <c r="K1606" s="35" t="str">
        <f aca="false">IF(A1606="","",DATE(YEAR(A1606),MONTH(A1606),1))</f>
        <v/>
      </c>
      <c r="L1606" s="28" t="str">
        <f aca="false">IF(E1606="","",IFERROR(INDEX(Settings!$K$8:$K$38,MATCH(E1606,Settings!$H$8:$H$38,0))&amp;"",""))</f>
        <v/>
      </c>
    </row>
    <row r="1607" customFormat="false" ht="15" hidden="false" customHeight="false" outlineLevel="0" collapsed="false">
      <c r="A1607" s="33"/>
      <c r="B1607" s="27"/>
      <c r="C1607" s="27"/>
      <c r="D1607" s="27"/>
      <c r="E1607" s="27"/>
      <c r="F1607" s="34"/>
      <c r="G1607" s="27"/>
      <c r="H1607" s="27"/>
      <c r="I1607" s="28" t="str">
        <f aca="false">IF(C1607="","",IFERROR(INDEX(Settings!$C$8:$C$19,MATCH(C1607,Settings!$B$8:$B$19,0)),"?"))</f>
        <v/>
      </c>
      <c r="J1607" s="28" t="str">
        <f aca="false">IF(G1607="","",IFERROR(INDEX(Settings!$C$8:$C$19,MATCH(G1607,Settings!$B$8:$B$19,0)),"?"))</f>
        <v/>
      </c>
      <c r="K1607" s="35" t="str">
        <f aca="false">IF(A1607="","",DATE(YEAR(A1607),MONTH(A1607),1))</f>
        <v/>
      </c>
      <c r="L1607" s="28" t="str">
        <f aca="false">IF(E1607="","",IFERROR(INDEX(Settings!$K$8:$K$38,MATCH(E1607,Settings!$H$8:$H$38,0))&amp;"",""))</f>
        <v/>
      </c>
    </row>
    <row r="1608" customFormat="false" ht="15" hidden="false" customHeight="false" outlineLevel="0" collapsed="false">
      <c r="A1608" s="33"/>
      <c r="B1608" s="27"/>
      <c r="C1608" s="27"/>
      <c r="D1608" s="27"/>
      <c r="E1608" s="27"/>
      <c r="F1608" s="34"/>
      <c r="G1608" s="27"/>
      <c r="H1608" s="27"/>
      <c r="I1608" s="28" t="str">
        <f aca="false">IF(C1608="","",IFERROR(INDEX(Settings!$C$8:$C$19,MATCH(C1608,Settings!$B$8:$B$19,0)),"?"))</f>
        <v/>
      </c>
      <c r="J1608" s="28" t="str">
        <f aca="false">IF(G1608="","",IFERROR(INDEX(Settings!$C$8:$C$19,MATCH(G1608,Settings!$B$8:$B$19,0)),"?"))</f>
        <v/>
      </c>
      <c r="K1608" s="35" t="str">
        <f aca="false">IF(A1608="","",DATE(YEAR(A1608),MONTH(A1608),1))</f>
        <v/>
      </c>
      <c r="L1608" s="28" t="str">
        <f aca="false">IF(E1608="","",IFERROR(INDEX(Settings!$K$8:$K$38,MATCH(E1608,Settings!$H$8:$H$38,0))&amp;"",""))</f>
        <v/>
      </c>
    </row>
    <row r="1609" customFormat="false" ht="15" hidden="false" customHeight="false" outlineLevel="0" collapsed="false">
      <c r="A1609" s="33"/>
      <c r="B1609" s="27"/>
      <c r="C1609" s="27"/>
      <c r="D1609" s="27"/>
      <c r="E1609" s="27"/>
      <c r="F1609" s="34"/>
      <c r="G1609" s="27"/>
      <c r="H1609" s="27"/>
      <c r="I1609" s="28" t="str">
        <f aca="false">IF(C1609="","",IFERROR(INDEX(Settings!$C$8:$C$19,MATCH(C1609,Settings!$B$8:$B$19,0)),"?"))</f>
        <v/>
      </c>
      <c r="J1609" s="28" t="str">
        <f aca="false">IF(G1609="","",IFERROR(INDEX(Settings!$C$8:$C$19,MATCH(G1609,Settings!$B$8:$B$19,0)),"?"))</f>
        <v/>
      </c>
      <c r="K1609" s="35" t="str">
        <f aca="false">IF(A1609="","",DATE(YEAR(A1609),MONTH(A1609),1))</f>
        <v/>
      </c>
      <c r="L1609" s="28" t="str">
        <f aca="false">IF(E1609="","",IFERROR(INDEX(Settings!$K$8:$K$38,MATCH(E1609,Settings!$H$8:$H$38,0))&amp;"",""))</f>
        <v/>
      </c>
    </row>
    <row r="1610" customFormat="false" ht="15" hidden="false" customHeight="false" outlineLevel="0" collapsed="false">
      <c r="A1610" s="33"/>
      <c r="B1610" s="27"/>
      <c r="C1610" s="27"/>
      <c r="D1610" s="27"/>
      <c r="E1610" s="27"/>
      <c r="F1610" s="34"/>
      <c r="G1610" s="27"/>
      <c r="H1610" s="27"/>
      <c r="I1610" s="28" t="str">
        <f aca="false">IF(C1610="","",IFERROR(INDEX(Settings!$C$8:$C$19,MATCH(C1610,Settings!$B$8:$B$19,0)),"?"))</f>
        <v/>
      </c>
      <c r="J1610" s="28" t="str">
        <f aca="false">IF(G1610="","",IFERROR(INDEX(Settings!$C$8:$C$19,MATCH(G1610,Settings!$B$8:$B$19,0)),"?"))</f>
        <v/>
      </c>
      <c r="K1610" s="35" t="str">
        <f aca="false">IF(A1610="","",DATE(YEAR(A1610),MONTH(A1610),1))</f>
        <v/>
      </c>
      <c r="L1610" s="28" t="str">
        <f aca="false">IF(E1610="","",IFERROR(INDEX(Settings!$K$8:$K$38,MATCH(E1610,Settings!$H$8:$H$38,0))&amp;"",""))</f>
        <v/>
      </c>
    </row>
    <row r="1611" customFormat="false" ht="15" hidden="false" customHeight="false" outlineLevel="0" collapsed="false">
      <c r="A1611" s="33"/>
      <c r="B1611" s="27"/>
      <c r="C1611" s="27"/>
      <c r="D1611" s="27"/>
      <c r="E1611" s="27"/>
      <c r="F1611" s="34"/>
      <c r="G1611" s="27"/>
      <c r="H1611" s="27"/>
      <c r="I1611" s="28" t="str">
        <f aca="false">IF(C1611="","",IFERROR(INDEX(Settings!$C$8:$C$19,MATCH(C1611,Settings!$B$8:$B$19,0)),"?"))</f>
        <v/>
      </c>
      <c r="J1611" s="28" t="str">
        <f aca="false">IF(G1611="","",IFERROR(INDEX(Settings!$C$8:$C$19,MATCH(G1611,Settings!$B$8:$B$19,0)),"?"))</f>
        <v/>
      </c>
      <c r="K1611" s="35" t="str">
        <f aca="false">IF(A1611="","",DATE(YEAR(A1611),MONTH(A1611),1))</f>
        <v/>
      </c>
      <c r="L1611" s="28" t="str">
        <f aca="false">IF(E1611="","",IFERROR(INDEX(Settings!$K$8:$K$38,MATCH(E1611,Settings!$H$8:$H$38,0))&amp;"",""))</f>
        <v/>
      </c>
    </row>
    <row r="1612" customFormat="false" ht="15" hidden="false" customHeight="false" outlineLevel="0" collapsed="false">
      <c r="A1612" s="33"/>
      <c r="B1612" s="27"/>
      <c r="C1612" s="27"/>
      <c r="D1612" s="27"/>
      <c r="E1612" s="27"/>
      <c r="F1612" s="34"/>
      <c r="G1612" s="27"/>
      <c r="H1612" s="27"/>
      <c r="I1612" s="28" t="str">
        <f aca="false">IF(C1612="","",IFERROR(INDEX(Settings!$C$8:$C$19,MATCH(C1612,Settings!$B$8:$B$19,0)),"?"))</f>
        <v/>
      </c>
      <c r="J1612" s="28" t="str">
        <f aca="false">IF(G1612="","",IFERROR(INDEX(Settings!$C$8:$C$19,MATCH(G1612,Settings!$B$8:$B$19,0)),"?"))</f>
        <v/>
      </c>
      <c r="K1612" s="35" t="str">
        <f aca="false">IF(A1612="","",DATE(YEAR(A1612),MONTH(A1612),1))</f>
        <v/>
      </c>
      <c r="L1612" s="28" t="str">
        <f aca="false">IF(E1612="","",IFERROR(INDEX(Settings!$K$8:$K$38,MATCH(E1612,Settings!$H$8:$H$38,0))&amp;"",""))</f>
        <v/>
      </c>
    </row>
    <row r="1613" customFormat="false" ht="15" hidden="false" customHeight="false" outlineLevel="0" collapsed="false">
      <c r="A1613" s="33"/>
      <c r="B1613" s="27"/>
      <c r="C1613" s="27"/>
      <c r="D1613" s="27"/>
      <c r="E1613" s="27"/>
      <c r="F1613" s="34"/>
      <c r="G1613" s="27"/>
      <c r="H1613" s="27"/>
      <c r="I1613" s="28" t="str">
        <f aca="false">IF(C1613="","",IFERROR(INDEX(Settings!$C$8:$C$19,MATCH(C1613,Settings!$B$8:$B$19,0)),"?"))</f>
        <v/>
      </c>
      <c r="J1613" s="28" t="str">
        <f aca="false">IF(G1613="","",IFERROR(INDEX(Settings!$C$8:$C$19,MATCH(G1613,Settings!$B$8:$B$19,0)),"?"))</f>
        <v/>
      </c>
      <c r="K1613" s="35" t="str">
        <f aca="false">IF(A1613="","",DATE(YEAR(A1613),MONTH(A1613),1))</f>
        <v/>
      </c>
      <c r="L1613" s="28" t="str">
        <f aca="false">IF(E1613="","",IFERROR(INDEX(Settings!$K$8:$K$38,MATCH(E1613,Settings!$H$8:$H$38,0))&amp;"",""))</f>
        <v/>
      </c>
    </row>
    <row r="1614" customFormat="false" ht="15" hidden="false" customHeight="false" outlineLevel="0" collapsed="false">
      <c r="A1614" s="33"/>
      <c r="B1614" s="27"/>
      <c r="C1614" s="27"/>
      <c r="D1614" s="27"/>
      <c r="E1614" s="27"/>
      <c r="F1614" s="34"/>
      <c r="G1614" s="27"/>
      <c r="H1614" s="27"/>
      <c r="I1614" s="28" t="str">
        <f aca="false">IF(C1614="","",IFERROR(INDEX(Settings!$C$8:$C$19,MATCH(C1614,Settings!$B$8:$B$19,0)),"?"))</f>
        <v/>
      </c>
      <c r="J1614" s="28" t="str">
        <f aca="false">IF(G1614="","",IFERROR(INDEX(Settings!$C$8:$C$19,MATCH(G1614,Settings!$B$8:$B$19,0)),"?"))</f>
        <v/>
      </c>
      <c r="K1614" s="35" t="str">
        <f aca="false">IF(A1614="","",DATE(YEAR(A1614),MONTH(A1614),1))</f>
        <v/>
      </c>
      <c r="L1614" s="28" t="str">
        <f aca="false">IF(E1614="","",IFERROR(INDEX(Settings!$K$8:$K$38,MATCH(E1614,Settings!$H$8:$H$38,0))&amp;"",""))</f>
        <v/>
      </c>
    </row>
    <row r="1615" customFormat="false" ht="15" hidden="false" customHeight="false" outlineLevel="0" collapsed="false">
      <c r="A1615" s="33"/>
      <c r="B1615" s="27"/>
      <c r="C1615" s="27"/>
      <c r="D1615" s="27"/>
      <c r="E1615" s="27"/>
      <c r="F1615" s="34"/>
      <c r="G1615" s="27"/>
      <c r="H1615" s="27"/>
      <c r="I1615" s="28" t="str">
        <f aca="false">IF(C1615="","",IFERROR(INDEX(Settings!$C$8:$C$19,MATCH(C1615,Settings!$B$8:$B$19,0)),"?"))</f>
        <v/>
      </c>
      <c r="J1615" s="28" t="str">
        <f aca="false">IF(G1615="","",IFERROR(INDEX(Settings!$C$8:$C$19,MATCH(G1615,Settings!$B$8:$B$19,0)),"?"))</f>
        <v/>
      </c>
      <c r="K1615" s="35" t="str">
        <f aca="false">IF(A1615="","",DATE(YEAR(A1615),MONTH(A1615),1))</f>
        <v/>
      </c>
      <c r="L1615" s="28" t="str">
        <f aca="false">IF(E1615="","",IFERROR(INDEX(Settings!$K$8:$K$38,MATCH(E1615,Settings!$H$8:$H$38,0))&amp;"",""))</f>
        <v/>
      </c>
    </row>
    <row r="1616" customFormat="false" ht="15" hidden="false" customHeight="false" outlineLevel="0" collapsed="false">
      <c r="A1616" s="33"/>
      <c r="B1616" s="27"/>
      <c r="C1616" s="27"/>
      <c r="D1616" s="27"/>
      <c r="E1616" s="27"/>
      <c r="F1616" s="34"/>
      <c r="G1616" s="27"/>
      <c r="H1616" s="27"/>
      <c r="I1616" s="28" t="str">
        <f aca="false">IF(C1616="","",IFERROR(INDEX(Settings!$C$8:$C$19,MATCH(C1616,Settings!$B$8:$B$19,0)),"?"))</f>
        <v/>
      </c>
      <c r="J1616" s="28" t="str">
        <f aca="false">IF(G1616="","",IFERROR(INDEX(Settings!$C$8:$C$19,MATCH(G1616,Settings!$B$8:$B$19,0)),"?"))</f>
        <v/>
      </c>
      <c r="K1616" s="35" t="str">
        <f aca="false">IF(A1616="","",DATE(YEAR(A1616),MONTH(A1616),1))</f>
        <v/>
      </c>
      <c r="L1616" s="28" t="str">
        <f aca="false">IF(E1616="","",IFERROR(INDEX(Settings!$K$8:$K$38,MATCH(E1616,Settings!$H$8:$H$38,0))&amp;"",""))</f>
        <v/>
      </c>
    </row>
    <row r="1617" customFormat="false" ht="15" hidden="false" customHeight="false" outlineLevel="0" collapsed="false">
      <c r="A1617" s="33"/>
      <c r="B1617" s="27"/>
      <c r="C1617" s="27"/>
      <c r="D1617" s="27"/>
      <c r="E1617" s="27"/>
      <c r="F1617" s="34"/>
      <c r="G1617" s="27"/>
      <c r="H1617" s="27"/>
      <c r="I1617" s="28" t="str">
        <f aca="false">IF(C1617="","",IFERROR(INDEX(Settings!$C$8:$C$19,MATCH(C1617,Settings!$B$8:$B$19,0)),"?"))</f>
        <v/>
      </c>
      <c r="J1617" s="28" t="str">
        <f aca="false">IF(G1617="","",IFERROR(INDEX(Settings!$C$8:$C$19,MATCH(G1617,Settings!$B$8:$B$19,0)),"?"))</f>
        <v/>
      </c>
      <c r="K1617" s="35" t="str">
        <f aca="false">IF(A1617="","",DATE(YEAR(A1617),MONTH(A1617),1))</f>
        <v/>
      </c>
      <c r="L1617" s="28" t="str">
        <f aca="false">IF(E1617="","",IFERROR(INDEX(Settings!$K$8:$K$38,MATCH(E1617,Settings!$H$8:$H$38,0))&amp;"",""))</f>
        <v/>
      </c>
    </row>
    <row r="1618" customFormat="false" ht="15" hidden="false" customHeight="false" outlineLevel="0" collapsed="false">
      <c r="A1618" s="33"/>
      <c r="B1618" s="27"/>
      <c r="C1618" s="27"/>
      <c r="D1618" s="27"/>
      <c r="E1618" s="27"/>
      <c r="F1618" s="34"/>
      <c r="G1618" s="27"/>
      <c r="H1618" s="27"/>
      <c r="I1618" s="28" t="str">
        <f aca="false">IF(C1618="","",IFERROR(INDEX(Settings!$C$8:$C$19,MATCH(C1618,Settings!$B$8:$B$19,0)),"?"))</f>
        <v/>
      </c>
      <c r="J1618" s="28" t="str">
        <f aca="false">IF(G1618="","",IFERROR(INDEX(Settings!$C$8:$C$19,MATCH(G1618,Settings!$B$8:$B$19,0)),"?"))</f>
        <v/>
      </c>
      <c r="K1618" s="35" t="str">
        <f aca="false">IF(A1618="","",DATE(YEAR(A1618),MONTH(A1618),1))</f>
        <v/>
      </c>
      <c r="L1618" s="28" t="str">
        <f aca="false">IF(E1618="","",IFERROR(INDEX(Settings!$K$8:$K$38,MATCH(E1618,Settings!$H$8:$H$38,0))&amp;"",""))</f>
        <v/>
      </c>
    </row>
    <row r="1619" customFormat="false" ht="15" hidden="false" customHeight="false" outlineLevel="0" collapsed="false">
      <c r="A1619" s="33"/>
      <c r="B1619" s="27"/>
      <c r="C1619" s="27"/>
      <c r="D1619" s="27"/>
      <c r="E1619" s="27"/>
      <c r="F1619" s="34"/>
      <c r="G1619" s="27"/>
      <c r="H1619" s="27"/>
      <c r="I1619" s="28" t="str">
        <f aca="false">IF(C1619="","",IFERROR(INDEX(Settings!$C$8:$C$19,MATCH(C1619,Settings!$B$8:$B$19,0)),"?"))</f>
        <v/>
      </c>
      <c r="J1619" s="28" t="str">
        <f aca="false">IF(G1619="","",IFERROR(INDEX(Settings!$C$8:$C$19,MATCH(G1619,Settings!$B$8:$B$19,0)),"?"))</f>
        <v/>
      </c>
      <c r="K1619" s="35" t="str">
        <f aca="false">IF(A1619="","",DATE(YEAR(A1619),MONTH(A1619),1))</f>
        <v/>
      </c>
      <c r="L1619" s="28" t="str">
        <f aca="false">IF(E1619="","",IFERROR(INDEX(Settings!$K$8:$K$38,MATCH(E1619,Settings!$H$8:$H$38,0))&amp;"",""))</f>
        <v/>
      </c>
    </row>
    <row r="1620" customFormat="false" ht="15" hidden="false" customHeight="false" outlineLevel="0" collapsed="false">
      <c r="A1620" s="33"/>
      <c r="B1620" s="27"/>
      <c r="C1620" s="27"/>
      <c r="D1620" s="27"/>
      <c r="E1620" s="27"/>
      <c r="F1620" s="34"/>
      <c r="G1620" s="27"/>
      <c r="H1620" s="27"/>
      <c r="I1620" s="28" t="str">
        <f aca="false">IF(C1620="","",IFERROR(INDEX(Settings!$C$8:$C$19,MATCH(C1620,Settings!$B$8:$B$19,0)),"?"))</f>
        <v/>
      </c>
      <c r="J1620" s="28" t="str">
        <f aca="false">IF(G1620="","",IFERROR(INDEX(Settings!$C$8:$C$19,MATCH(G1620,Settings!$B$8:$B$19,0)),"?"))</f>
        <v/>
      </c>
      <c r="K1620" s="35" t="str">
        <f aca="false">IF(A1620="","",DATE(YEAR(A1620),MONTH(A1620),1))</f>
        <v/>
      </c>
      <c r="L1620" s="28" t="str">
        <f aca="false">IF(E1620="","",IFERROR(INDEX(Settings!$K$8:$K$38,MATCH(E1620,Settings!$H$8:$H$38,0))&amp;"",""))</f>
        <v/>
      </c>
    </row>
    <row r="1621" customFormat="false" ht="15" hidden="false" customHeight="false" outlineLevel="0" collapsed="false">
      <c r="A1621" s="33"/>
      <c r="B1621" s="27"/>
      <c r="C1621" s="27"/>
      <c r="D1621" s="27"/>
      <c r="E1621" s="27"/>
      <c r="F1621" s="34"/>
      <c r="G1621" s="27"/>
      <c r="H1621" s="27"/>
      <c r="I1621" s="28" t="str">
        <f aca="false">IF(C1621="","",IFERROR(INDEX(Settings!$C$8:$C$19,MATCH(C1621,Settings!$B$8:$B$19,0)),"?"))</f>
        <v/>
      </c>
      <c r="J1621" s="28" t="str">
        <f aca="false">IF(G1621="","",IFERROR(INDEX(Settings!$C$8:$C$19,MATCH(G1621,Settings!$B$8:$B$19,0)),"?"))</f>
        <v/>
      </c>
      <c r="K1621" s="35" t="str">
        <f aca="false">IF(A1621="","",DATE(YEAR(A1621),MONTH(A1621),1))</f>
        <v/>
      </c>
      <c r="L1621" s="28" t="str">
        <f aca="false">IF(E1621="","",IFERROR(INDEX(Settings!$K$8:$K$38,MATCH(E1621,Settings!$H$8:$H$38,0))&amp;"",""))</f>
        <v/>
      </c>
    </row>
    <row r="1622" customFormat="false" ht="15" hidden="false" customHeight="false" outlineLevel="0" collapsed="false">
      <c r="A1622" s="33"/>
      <c r="B1622" s="27"/>
      <c r="C1622" s="27"/>
      <c r="D1622" s="27"/>
      <c r="E1622" s="27"/>
      <c r="F1622" s="34"/>
      <c r="G1622" s="27"/>
      <c r="H1622" s="27"/>
      <c r="I1622" s="28" t="str">
        <f aca="false">IF(C1622="","",IFERROR(INDEX(Settings!$C$8:$C$19,MATCH(C1622,Settings!$B$8:$B$19,0)),"?"))</f>
        <v/>
      </c>
      <c r="J1622" s="28" t="str">
        <f aca="false">IF(G1622="","",IFERROR(INDEX(Settings!$C$8:$C$19,MATCH(G1622,Settings!$B$8:$B$19,0)),"?"))</f>
        <v/>
      </c>
      <c r="K1622" s="35" t="str">
        <f aca="false">IF(A1622="","",DATE(YEAR(A1622),MONTH(A1622),1))</f>
        <v/>
      </c>
      <c r="L1622" s="28" t="str">
        <f aca="false">IF(E1622="","",IFERROR(INDEX(Settings!$K$8:$K$38,MATCH(E1622,Settings!$H$8:$H$38,0))&amp;"",""))</f>
        <v/>
      </c>
    </row>
    <row r="1623" customFormat="false" ht="15" hidden="false" customHeight="false" outlineLevel="0" collapsed="false">
      <c r="A1623" s="33"/>
      <c r="B1623" s="27"/>
      <c r="C1623" s="27"/>
      <c r="D1623" s="27"/>
      <c r="E1623" s="27"/>
      <c r="F1623" s="34"/>
      <c r="G1623" s="27"/>
      <c r="H1623" s="27"/>
      <c r="I1623" s="28" t="str">
        <f aca="false">IF(C1623="","",IFERROR(INDEX(Settings!$C$8:$C$19,MATCH(C1623,Settings!$B$8:$B$19,0)),"?"))</f>
        <v/>
      </c>
      <c r="J1623" s="28" t="str">
        <f aca="false">IF(G1623="","",IFERROR(INDEX(Settings!$C$8:$C$19,MATCH(G1623,Settings!$B$8:$B$19,0)),"?"))</f>
        <v/>
      </c>
      <c r="K1623" s="35" t="str">
        <f aca="false">IF(A1623="","",DATE(YEAR(A1623),MONTH(A1623),1))</f>
        <v/>
      </c>
      <c r="L1623" s="28" t="str">
        <f aca="false">IF(E1623="","",IFERROR(INDEX(Settings!$K$8:$K$38,MATCH(E1623,Settings!$H$8:$H$38,0))&amp;"",""))</f>
        <v/>
      </c>
    </row>
    <row r="1624" customFormat="false" ht="15" hidden="false" customHeight="false" outlineLevel="0" collapsed="false">
      <c r="A1624" s="33"/>
      <c r="B1624" s="27"/>
      <c r="C1624" s="27"/>
      <c r="D1624" s="27"/>
      <c r="E1624" s="27"/>
      <c r="F1624" s="34"/>
      <c r="G1624" s="27"/>
      <c r="H1624" s="27"/>
      <c r="I1624" s="28" t="str">
        <f aca="false">IF(C1624="","",IFERROR(INDEX(Settings!$C$8:$C$19,MATCH(C1624,Settings!$B$8:$B$19,0)),"?"))</f>
        <v/>
      </c>
      <c r="J1624" s="28" t="str">
        <f aca="false">IF(G1624="","",IFERROR(INDEX(Settings!$C$8:$C$19,MATCH(G1624,Settings!$B$8:$B$19,0)),"?"))</f>
        <v/>
      </c>
      <c r="K1624" s="35" t="str">
        <f aca="false">IF(A1624="","",DATE(YEAR(A1624),MONTH(A1624),1))</f>
        <v/>
      </c>
      <c r="L1624" s="28" t="str">
        <f aca="false">IF(E1624="","",IFERROR(INDEX(Settings!$K$8:$K$38,MATCH(E1624,Settings!$H$8:$H$38,0))&amp;"",""))</f>
        <v/>
      </c>
    </row>
    <row r="1625" customFormat="false" ht="15" hidden="false" customHeight="false" outlineLevel="0" collapsed="false">
      <c r="A1625" s="33"/>
      <c r="B1625" s="27"/>
      <c r="C1625" s="27"/>
      <c r="D1625" s="27"/>
      <c r="E1625" s="27"/>
      <c r="F1625" s="34"/>
      <c r="G1625" s="27"/>
      <c r="H1625" s="27"/>
      <c r="I1625" s="28" t="str">
        <f aca="false">IF(C1625="","",IFERROR(INDEX(Settings!$C$8:$C$19,MATCH(C1625,Settings!$B$8:$B$19,0)),"?"))</f>
        <v/>
      </c>
      <c r="J1625" s="28" t="str">
        <f aca="false">IF(G1625="","",IFERROR(INDEX(Settings!$C$8:$C$19,MATCH(G1625,Settings!$B$8:$B$19,0)),"?"))</f>
        <v/>
      </c>
      <c r="K1625" s="35" t="str">
        <f aca="false">IF(A1625="","",DATE(YEAR(A1625),MONTH(A1625),1))</f>
        <v/>
      </c>
      <c r="L1625" s="28" t="str">
        <f aca="false">IF(E1625="","",IFERROR(INDEX(Settings!$K$8:$K$38,MATCH(E1625,Settings!$H$8:$H$38,0))&amp;"",""))</f>
        <v/>
      </c>
    </row>
    <row r="1626" customFormat="false" ht="15" hidden="false" customHeight="false" outlineLevel="0" collapsed="false">
      <c r="A1626" s="33"/>
      <c r="B1626" s="27"/>
      <c r="C1626" s="27"/>
      <c r="D1626" s="27"/>
      <c r="E1626" s="27"/>
      <c r="F1626" s="34"/>
      <c r="G1626" s="27"/>
      <c r="H1626" s="27"/>
      <c r="I1626" s="28" t="str">
        <f aca="false">IF(C1626="","",IFERROR(INDEX(Settings!$C$8:$C$19,MATCH(C1626,Settings!$B$8:$B$19,0)),"?"))</f>
        <v/>
      </c>
      <c r="J1626" s="28" t="str">
        <f aca="false">IF(G1626="","",IFERROR(INDEX(Settings!$C$8:$C$19,MATCH(G1626,Settings!$B$8:$B$19,0)),"?"))</f>
        <v/>
      </c>
      <c r="K1626" s="35" t="str">
        <f aca="false">IF(A1626="","",DATE(YEAR(A1626),MONTH(A1626),1))</f>
        <v/>
      </c>
      <c r="L1626" s="28" t="str">
        <f aca="false">IF(E1626="","",IFERROR(INDEX(Settings!$K$8:$K$38,MATCH(E1626,Settings!$H$8:$H$38,0))&amp;"",""))</f>
        <v/>
      </c>
    </row>
    <row r="1627" customFormat="false" ht="15" hidden="false" customHeight="false" outlineLevel="0" collapsed="false">
      <c r="A1627" s="33"/>
      <c r="B1627" s="27"/>
      <c r="C1627" s="27"/>
      <c r="D1627" s="27"/>
      <c r="E1627" s="27"/>
      <c r="F1627" s="34"/>
      <c r="G1627" s="27"/>
      <c r="H1627" s="27"/>
      <c r="I1627" s="28" t="str">
        <f aca="false">IF(C1627="","",IFERROR(INDEX(Settings!$C$8:$C$19,MATCH(C1627,Settings!$B$8:$B$19,0)),"?"))</f>
        <v/>
      </c>
      <c r="J1627" s="28" t="str">
        <f aca="false">IF(G1627="","",IFERROR(INDEX(Settings!$C$8:$C$19,MATCH(G1627,Settings!$B$8:$B$19,0)),"?"))</f>
        <v/>
      </c>
      <c r="K1627" s="35" t="str">
        <f aca="false">IF(A1627="","",DATE(YEAR(A1627),MONTH(A1627),1))</f>
        <v/>
      </c>
      <c r="L1627" s="28" t="str">
        <f aca="false">IF(E1627="","",IFERROR(INDEX(Settings!$K$8:$K$38,MATCH(E1627,Settings!$H$8:$H$38,0))&amp;"",""))</f>
        <v/>
      </c>
    </row>
    <row r="1628" customFormat="false" ht="15" hidden="false" customHeight="false" outlineLevel="0" collapsed="false">
      <c r="A1628" s="33"/>
      <c r="B1628" s="27"/>
      <c r="C1628" s="27"/>
      <c r="D1628" s="27"/>
      <c r="E1628" s="27"/>
      <c r="F1628" s="34"/>
      <c r="G1628" s="27"/>
      <c r="H1628" s="27"/>
      <c r="I1628" s="28" t="str">
        <f aca="false">IF(C1628="","",IFERROR(INDEX(Settings!$C$8:$C$19,MATCH(C1628,Settings!$B$8:$B$19,0)),"?"))</f>
        <v/>
      </c>
      <c r="J1628" s="28" t="str">
        <f aca="false">IF(G1628="","",IFERROR(INDEX(Settings!$C$8:$C$19,MATCH(G1628,Settings!$B$8:$B$19,0)),"?"))</f>
        <v/>
      </c>
      <c r="K1628" s="35" t="str">
        <f aca="false">IF(A1628="","",DATE(YEAR(A1628),MONTH(A1628),1))</f>
        <v/>
      </c>
      <c r="L1628" s="28" t="str">
        <f aca="false">IF(E1628="","",IFERROR(INDEX(Settings!$K$8:$K$38,MATCH(E1628,Settings!$H$8:$H$38,0))&amp;"",""))</f>
        <v/>
      </c>
    </row>
    <row r="1629" customFormat="false" ht="15" hidden="false" customHeight="false" outlineLevel="0" collapsed="false">
      <c r="A1629" s="33"/>
      <c r="B1629" s="27"/>
      <c r="C1629" s="27"/>
      <c r="D1629" s="27"/>
      <c r="E1629" s="27"/>
      <c r="F1629" s="34"/>
      <c r="G1629" s="27"/>
      <c r="H1629" s="27"/>
      <c r="I1629" s="28" t="str">
        <f aca="false">IF(C1629="","",IFERROR(INDEX(Settings!$C$8:$C$19,MATCH(C1629,Settings!$B$8:$B$19,0)),"?"))</f>
        <v/>
      </c>
      <c r="J1629" s="28" t="str">
        <f aca="false">IF(G1629="","",IFERROR(INDEX(Settings!$C$8:$C$19,MATCH(G1629,Settings!$B$8:$B$19,0)),"?"))</f>
        <v/>
      </c>
      <c r="K1629" s="35" t="str">
        <f aca="false">IF(A1629="","",DATE(YEAR(A1629),MONTH(A1629),1))</f>
        <v/>
      </c>
      <c r="L1629" s="28" t="str">
        <f aca="false">IF(E1629="","",IFERROR(INDEX(Settings!$K$8:$K$38,MATCH(E1629,Settings!$H$8:$H$38,0))&amp;"",""))</f>
        <v/>
      </c>
    </row>
    <row r="1630" customFormat="false" ht="15" hidden="false" customHeight="false" outlineLevel="0" collapsed="false">
      <c r="A1630" s="33"/>
      <c r="B1630" s="27"/>
      <c r="C1630" s="27"/>
      <c r="D1630" s="27"/>
      <c r="E1630" s="27"/>
      <c r="F1630" s="34"/>
      <c r="G1630" s="27"/>
      <c r="H1630" s="27"/>
      <c r="I1630" s="28" t="str">
        <f aca="false">IF(C1630="","",IFERROR(INDEX(Settings!$C$8:$C$19,MATCH(C1630,Settings!$B$8:$B$19,0)),"?"))</f>
        <v/>
      </c>
      <c r="J1630" s="28" t="str">
        <f aca="false">IF(G1630="","",IFERROR(INDEX(Settings!$C$8:$C$19,MATCH(G1630,Settings!$B$8:$B$19,0)),"?"))</f>
        <v/>
      </c>
      <c r="K1630" s="35" t="str">
        <f aca="false">IF(A1630="","",DATE(YEAR(A1630),MONTH(A1630),1))</f>
        <v/>
      </c>
      <c r="L1630" s="28" t="str">
        <f aca="false">IF(E1630="","",IFERROR(INDEX(Settings!$K$8:$K$38,MATCH(E1630,Settings!$H$8:$H$38,0))&amp;"",""))</f>
        <v/>
      </c>
    </row>
    <row r="1631" customFormat="false" ht="15" hidden="false" customHeight="false" outlineLevel="0" collapsed="false">
      <c r="A1631" s="33"/>
      <c r="B1631" s="27"/>
      <c r="C1631" s="27"/>
      <c r="D1631" s="27"/>
      <c r="E1631" s="27"/>
      <c r="F1631" s="34"/>
      <c r="G1631" s="27"/>
      <c r="H1631" s="27"/>
      <c r="I1631" s="28" t="str">
        <f aca="false">IF(C1631="","",IFERROR(INDEX(Settings!$C$8:$C$19,MATCH(C1631,Settings!$B$8:$B$19,0)),"?"))</f>
        <v/>
      </c>
      <c r="J1631" s="28" t="str">
        <f aca="false">IF(G1631="","",IFERROR(INDEX(Settings!$C$8:$C$19,MATCH(G1631,Settings!$B$8:$B$19,0)),"?"))</f>
        <v/>
      </c>
      <c r="K1631" s="35" t="str">
        <f aca="false">IF(A1631="","",DATE(YEAR(A1631),MONTH(A1631),1))</f>
        <v/>
      </c>
      <c r="L1631" s="28" t="str">
        <f aca="false">IF(E1631="","",IFERROR(INDEX(Settings!$K$8:$K$38,MATCH(E1631,Settings!$H$8:$H$38,0))&amp;"",""))</f>
        <v/>
      </c>
    </row>
    <row r="1632" customFormat="false" ht="15" hidden="false" customHeight="false" outlineLevel="0" collapsed="false">
      <c r="A1632" s="33"/>
      <c r="B1632" s="27"/>
      <c r="C1632" s="27"/>
      <c r="D1632" s="27"/>
      <c r="E1632" s="27"/>
      <c r="F1632" s="34"/>
      <c r="G1632" s="27"/>
      <c r="H1632" s="27"/>
      <c r="I1632" s="28" t="str">
        <f aca="false">IF(C1632="","",IFERROR(INDEX(Settings!$C$8:$C$19,MATCH(C1632,Settings!$B$8:$B$19,0)),"?"))</f>
        <v/>
      </c>
      <c r="J1632" s="28" t="str">
        <f aca="false">IF(G1632="","",IFERROR(INDEX(Settings!$C$8:$C$19,MATCH(G1632,Settings!$B$8:$B$19,0)),"?"))</f>
        <v/>
      </c>
      <c r="K1632" s="35" t="str">
        <f aca="false">IF(A1632="","",DATE(YEAR(A1632),MONTH(A1632),1))</f>
        <v/>
      </c>
      <c r="L1632" s="28" t="str">
        <f aca="false">IF(E1632="","",IFERROR(INDEX(Settings!$K$8:$K$38,MATCH(E1632,Settings!$H$8:$H$38,0))&amp;"",""))</f>
        <v/>
      </c>
    </row>
    <row r="1633" customFormat="false" ht="15" hidden="false" customHeight="false" outlineLevel="0" collapsed="false">
      <c r="A1633" s="33"/>
      <c r="B1633" s="27"/>
      <c r="C1633" s="27"/>
      <c r="D1633" s="27"/>
      <c r="E1633" s="27"/>
      <c r="F1633" s="34"/>
      <c r="G1633" s="27"/>
      <c r="H1633" s="27"/>
      <c r="I1633" s="28" t="str">
        <f aca="false">IF(C1633="","",IFERROR(INDEX(Settings!$C$8:$C$19,MATCH(C1633,Settings!$B$8:$B$19,0)),"?"))</f>
        <v/>
      </c>
      <c r="J1633" s="28" t="str">
        <f aca="false">IF(G1633="","",IFERROR(INDEX(Settings!$C$8:$C$19,MATCH(G1633,Settings!$B$8:$B$19,0)),"?"))</f>
        <v/>
      </c>
      <c r="K1633" s="35" t="str">
        <f aca="false">IF(A1633="","",DATE(YEAR(A1633),MONTH(A1633),1))</f>
        <v/>
      </c>
      <c r="L1633" s="28" t="str">
        <f aca="false">IF(E1633="","",IFERROR(INDEX(Settings!$K$8:$K$38,MATCH(E1633,Settings!$H$8:$H$38,0))&amp;"",""))</f>
        <v/>
      </c>
    </row>
    <row r="1634" customFormat="false" ht="15" hidden="false" customHeight="false" outlineLevel="0" collapsed="false">
      <c r="A1634" s="33"/>
      <c r="B1634" s="27"/>
      <c r="C1634" s="27"/>
      <c r="D1634" s="27"/>
      <c r="E1634" s="27"/>
      <c r="F1634" s="34"/>
      <c r="G1634" s="27"/>
      <c r="H1634" s="27"/>
      <c r="I1634" s="28" t="str">
        <f aca="false">IF(C1634="","",IFERROR(INDEX(Settings!$C$8:$C$19,MATCH(C1634,Settings!$B$8:$B$19,0)),"?"))</f>
        <v/>
      </c>
      <c r="J1634" s="28" t="str">
        <f aca="false">IF(G1634="","",IFERROR(INDEX(Settings!$C$8:$C$19,MATCH(G1634,Settings!$B$8:$B$19,0)),"?"))</f>
        <v/>
      </c>
      <c r="K1634" s="35" t="str">
        <f aca="false">IF(A1634="","",DATE(YEAR(A1634),MONTH(A1634),1))</f>
        <v/>
      </c>
      <c r="L1634" s="28" t="str">
        <f aca="false">IF(E1634="","",IFERROR(INDEX(Settings!$K$8:$K$38,MATCH(E1634,Settings!$H$8:$H$38,0))&amp;"",""))</f>
        <v/>
      </c>
    </row>
    <row r="1635" customFormat="false" ht="15" hidden="false" customHeight="false" outlineLevel="0" collapsed="false">
      <c r="A1635" s="33"/>
      <c r="B1635" s="27"/>
      <c r="C1635" s="27"/>
      <c r="D1635" s="27"/>
      <c r="E1635" s="27"/>
      <c r="F1635" s="34"/>
      <c r="G1635" s="27"/>
      <c r="H1635" s="27"/>
      <c r="I1635" s="28" t="str">
        <f aca="false">IF(C1635="","",IFERROR(INDEX(Settings!$C$8:$C$19,MATCH(C1635,Settings!$B$8:$B$19,0)),"?"))</f>
        <v/>
      </c>
      <c r="J1635" s="28" t="str">
        <f aca="false">IF(G1635="","",IFERROR(INDEX(Settings!$C$8:$C$19,MATCH(G1635,Settings!$B$8:$B$19,0)),"?"))</f>
        <v/>
      </c>
      <c r="K1635" s="35" t="str">
        <f aca="false">IF(A1635="","",DATE(YEAR(A1635),MONTH(A1635),1))</f>
        <v/>
      </c>
      <c r="L1635" s="28" t="str">
        <f aca="false">IF(E1635="","",IFERROR(INDEX(Settings!$K$8:$K$38,MATCH(E1635,Settings!$H$8:$H$38,0))&amp;"",""))</f>
        <v/>
      </c>
    </row>
    <row r="1636" customFormat="false" ht="15" hidden="false" customHeight="false" outlineLevel="0" collapsed="false">
      <c r="A1636" s="33"/>
      <c r="B1636" s="27"/>
      <c r="C1636" s="27"/>
      <c r="D1636" s="27"/>
      <c r="E1636" s="27"/>
      <c r="F1636" s="34"/>
      <c r="G1636" s="27"/>
      <c r="H1636" s="27"/>
      <c r="I1636" s="28" t="str">
        <f aca="false">IF(C1636="","",IFERROR(INDEX(Settings!$C$8:$C$19,MATCH(C1636,Settings!$B$8:$B$19,0)),"?"))</f>
        <v/>
      </c>
      <c r="J1636" s="28" t="str">
        <f aca="false">IF(G1636="","",IFERROR(INDEX(Settings!$C$8:$C$19,MATCH(G1636,Settings!$B$8:$B$19,0)),"?"))</f>
        <v/>
      </c>
      <c r="K1636" s="35" t="str">
        <f aca="false">IF(A1636="","",DATE(YEAR(A1636),MONTH(A1636),1))</f>
        <v/>
      </c>
      <c r="L1636" s="28" t="str">
        <f aca="false">IF(E1636="","",IFERROR(INDEX(Settings!$K$8:$K$38,MATCH(E1636,Settings!$H$8:$H$38,0))&amp;"",""))</f>
        <v/>
      </c>
    </row>
    <row r="1637" customFormat="false" ht="15" hidden="false" customHeight="false" outlineLevel="0" collapsed="false">
      <c r="A1637" s="33"/>
      <c r="B1637" s="27"/>
      <c r="C1637" s="27"/>
      <c r="D1637" s="27"/>
      <c r="E1637" s="27"/>
      <c r="F1637" s="34"/>
      <c r="G1637" s="27"/>
      <c r="H1637" s="27"/>
      <c r="I1637" s="28" t="str">
        <f aca="false">IF(C1637="","",IFERROR(INDEX(Settings!$C$8:$C$19,MATCH(C1637,Settings!$B$8:$B$19,0)),"?"))</f>
        <v/>
      </c>
      <c r="J1637" s="28" t="str">
        <f aca="false">IF(G1637="","",IFERROR(INDEX(Settings!$C$8:$C$19,MATCH(G1637,Settings!$B$8:$B$19,0)),"?"))</f>
        <v/>
      </c>
      <c r="K1637" s="35" t="str">
        <f aca="false">IF(A1637="","",DATE(YEAR(A1637),MONTH(A1637),1))</f>
        <v/>
      </c>
      <c r="L1637" s="28" t="str">
        <f aca="false">IF(E1637="","",IFERROR(INDEX(Settings!$K$8:$K$38,MATCH(E1637,Settings!$H$8:$H$38,0))&amp;"",""))</f>
        <v/>
      </c>
    </row>
    <row r="1638" customFormat="false" ht="15" hidden="false" customHeight="false" outlineLevel="0" collapsed="false">
      <c r="A1638" s="33"/>
      <c r="B1638" s="27"/>
      <c r="C1638" s="27"/>
      <c r="D1638" s="27"/>
      <c r="E1638" s="27"/>
      <c r="F1638" s="34"/>
      <c r="G1638" s="27"/>
      <c r="H1638" s="27"/>
      <c r="I1638" s="28" t="str">
        <f aca="false">IF(C1638="","",IFERROR(INDEX(Settings!$C$8:$C$19,MATCH(C1638,Settings!$B$8:$B$19,0)),"?"))</f>
        <v/>
      </c>
      <c r="J1638" s="28" t="str">
        <f aca="false">IF(G1638="","",IFERROR(INDEX(Settings!$C$8:$C$19,MATCH(G1638,Settings!$B$8:$B$19,0)),"?"))</f>
        <v/>
      </c>
      <c r="K1638" s="35" t="str">
        <f aca="false">IF(A1638="","",DATE(YEAR(A1638),MONTH(A1638),1))</f>
        <v/>
      </c>
      <c r="L1638" s="28" t="str">
        <f aca="false">IF(E1638="","",IFERROR(INDEX(Settings!$K$8:$K$38,MATCH(E1638,Settings!$H$8:$H$38,0))&amp;"",""))</f>
        <v/>
      </c>
    </row>
    <row r="1639" customFormat="false" ht="15" hidden="false" customHeight="false" outlineLevel="0" collapsed="false">
      <c r="A1639" s="33"/>
      <c r="B1639" s="27"/>
      <c r="C1639" s="27"/>
      <c r="D1639" s="27"/>
      <c r="E1639" s="27"/>
      <c r="F1639" s="34"/>
      <c r="G1639" s="27"/>
      <c r="H1639" s="27"/>
      <c r="I1639" s="28" t="str">
        <f aca="false">IF(C1639="","",IFERROR(INDEX(Settings!$C$8:$C$19,MATCH(C1639,Settings!$B$8:$B$19,0)),"?"))</f>
        <v/>
      </c>
      <c r="J1639" s="28" t="str">
        <f aca="false">IF(G1639="","",IFERROR(INDEX(Settings!$C$8:$C$19,MATCH(G1639,Settings!$B$8:$B$19,0)),"?"))</f>
        <v/>
      </c>
      <c r="K1639" s="35" t="str">
        <f aca="false">IF(A1639="","",DATE(YEAR(A1639),MONTH(A1639),1))</f>
        <v/>
      </c>
      <c r="L1639" s="28" t="str">
        <f aca="false">IF(E1639="","",IFERROR(INDEX(Settings!$K$8:$K$38,MATCH(E1639,Settings!$H$8:$H$38,0))&amp;"",""))</f>
        <v/>
      </c>
    </row>
    <row r="1640" customFormat="false" ht="15" hidden="false" customHeight="false" outlineLevel="0" collapsed="false">
      <c r="A1640" s="33"/>
      <c r="B1640" s="27"/>
      <c r="C1640" s="27"/>
      <c r="D1640" s="27"/>
      <c r="E1640" s="27"/>
      <c r="F1640" s="34"/>
      <c r="G1640" s="27"/>
      <c r="H1640" s="27"/>
      <c r="I1640" s="28" t="str">
        <f aca="false">IF(C1640="","",IFERROR(INDEX(Settings!$C$8:$C$19,MATCH(C1640,Settings!$B$8:$B$19,0)),"?"))</f>
        <v/>
      </c>
      <c r="J1640" s="28" t="str">
        <f aca="false">IF(G1640="","",IFERROR(INDEX(Settings!$C$8:$C$19,MATCH(G1640,Settings!$B$8:$B$19,0)),"?"))</f>
        <v/>
      </c>
      <c r="K1640" s="35" t="str">
        <f aca="false">IF(A1640="","",DATE(YEAR(A1640),MONTH(A1640),1))</f>
        <v/>
      </c>
      <c r="L1640" s="28" t="str">
        <f aca="false">IF(E1640="","",IFERROR(INDEX(Settings!$K$8:$K$38,MATCH(E1640,Settings!$H$8:$H$38,0))&amp;"",""))</f>
        <v/>
      </c>
    </row>
    <row r="1641" customFormat="false" ht="15" hidden="false" customHeight="false" outlineLevel="0" collapsed="false">
      <c r="A1641" s="33"/>
      <c r="B1641" s="27"/>
      <c r="C1641" s="27"/>
      <c r="D1641" s="27"/>
      <c r="E1641" s="27"/>
      <c r="F1641" s="34"/>
      <c r="G1641" s="27"/>
      <c r="H1641" s="27"/>
      <c r="I1641" s="28" t="str">
        <f aca="false">IF(C1641="","",IFERROR(INDEX(Settings!$C$8:$C$19,MATCH(C1641,Settings!$B$8:$B$19,0)),"?"))</f>
        <v/>
      </c>
      <c r="J1641" s="28" t="str">
        <f aca="false">IF(G1641="","",IFERROR(INDEX(Settings!$C$8:$C$19,MATCH(G1641,Settings!$B$8:$B$19,0)),"?"))</f>
        <v/>
      </c>
      <c r="K1641" s="35" t="str">
        <f aca="false">IF(A1641="","",DATE(YEAR(A1641),MONTH(A1641),1))</f>
        <v/>
      </c>
      <c r="L1641" s="28" t="str">
        <f aca="false">IF(E1641="","",IFERROR(INDEX(Settings!$K$8:$K$38,MATCH(E1641,Settings!$H$8:$H$38,0))&amp;"",""))</f>
        <v/>
      </c>
    </row>
    <row r="1642" customFormat="false" ht="15" hidden="false" customHeight="false" outlineLevel="0" collapsed="false">
      <c r="A1642" s="33"/>
      <c r="B1642" s="27"/>
      <c r="C1642" s="27"/>
      <c r="D1642" s="27"/>
      <c r="E1642" s="27"/>
      <c r="F1642" s="34"/>
      <c r="G1642" s="27"/>
      <c r="H1642" s="27"/>
      <c r="I1642" s="28" t="str">
        <f aca="false">IF(C1642="","",IFERROR(INDEX(Settings!$C$8:$C$19,MATCH(C1642,Settings!$B$8:$B$19,0)),"?"))</f>
        <v/>
      </c>
      <c r="J1642" s="28" t="str">
        <f aca="false">IF(G1642="","",IFERROR(INDEX(Settings!$C$8:$C$19,MATCH(G1642,Settings!$B$8:$B$19,0)),"?"))</f>
        <v/>
      </c>
      <c r="K1642" s="35" t="str">
        <f aca="false">IF(A1642="","",DATE(YEAR(A1642),MONTH(A1642),1))</f>
        <v/>
      </c>
      <c r="L1642" s="28" t="str">
        <f aca="false">IF(E1642="","",IFERROR(INDEX(Settings!$K$8:$K$38,MATCH(E1642,Settings!$H$8:$H$38,0))&amp;"",""))</f>
        <v/>
      </c>
    </row>
    <row r="1643" customFormat="false" ht="15" hidden="false" customHeight="false" outlineLevel="0" collapsed="false">
      <c r="A1643" s="33"/>
      <c r="B1643" s="27"/>
      <c r="C1643" s="27"/>
      <c r="D1643" s="27"/>
      <c r="E1643" s="27"/>
      <c r="F1643" s="34"/>
      <c r="G1643" s="27"/>
      <c r="H1643" s="27"/>
      <c r="I1643" s="28" t="str">
        <f aca="false">IF(C1643="","",IFERROR(INDEX(Settings!$C$8:$C$19,MATCH(C1643,Settings!$B$8:$B$19,0)),"?"))</f>
        <v/>
      </c>
      <c r="J1643" s="28" t="str">
        <f aca="false">IF(G1643="","",IFERROR(INDEX(Settings!$C$8:$C$19,MATCH(G1643,Settings!$B$8:$B$19,0)),"?"))</f>
        <v/>
      </c>
      <c r="K1643" s="35" t="str">
        <f aca="false">IF(A1643="","",DATE(YEAR(A1643),MONTH(A1643),1))</f>
        <v/>
      </c>
      <c r="L1643" s="28" t="str">
        <f aca="false">IF(E1643="","",IFERROR(INDEX(Settings!$K$8:$K$38,MATCH(E1643,Settings!$H$8:$H$38,0))&amp;"",""))</f>
        <v/>
      </c>
    </row>
    <row r="1644" customFormat="false" ht="15" hidden="false" customHeight="false" outlineLevel="0" collapsed="false">
      <c r="A1644" s="33"/>
      <c r="B1644" s="27"/>
      <c r="C1644" s="27"/>
      <c r="D1644" s="27"/>
      <c r="E1644" s="27"/>
      <c r="F1644" s="34"/>
      <c r="G1644" s="27"/>
      <c r="H1644" s="27"/>
      <c r="I1644" s="28" t="str">
        <f aca="false">IF(C1644="","",IFERROR(INDEX(Settings!$C$8:$C$19,MATCH(C1644,Settings!$B$8:$B$19,0)),"?"))</f>
        <v/>
      </c>
      <c r="J1644" s="28" t="str">
        <f aca="false">IF(G1644="","",IFERROR(INDEX(Settings!$C$8:$C$19,MATCH(G1644,Settings!$B$8:$B$19,0)),"?"))</f>
        <v/>
      </c>
      <c r="K1644" s="35" t="str">
        <f aca="false">IF(A1644="","",DATE(YEAR(A1644),MONTH(A1644),1))</f>
        <v/>
      </c>
      <c r="L1644" s="28" t="str">
        <f aca="false">IF(E1644="","",IFERROR(INDEX(Settings!$K$8:$K$38,MATCH(E1644,Settings!$H$8:$H$38,0))&amp;"",""))</f>
        <v/>
      </c>
    </row>
    <row r="1645" customFormat="false" ht="15" hidden="false" customHeight="false" outlineLevel="0" collapsed="false">
      <c r="A1645" s="33"/>
      <c r="B1645" s="27"/>
      <c r="C1645" s="27"/>
      <c r="D1645" s="27"/>
      <c r="E1645" s="27"/>
      <c r="F1645" s="34"/>
      <c r="G1645" s="27"/>
      <c r="H1645" s="27"/>
      <c r="I1645" s="28" t="str">
        <f aca="false">IF(C1645="","",IFERROR(INDEX(Settings!$C$8:$C$19,MATCH(C1645,Settings!$B$8:$B$19,0)),"?"))</f>
        <v/>
      </c>
      <c r="J1645" s="28" t="str">
        <f aca="false">IF(G1645="","",IFERROR(INDEX(Settings!$C$8:$C$19,MATCH(G1645,Settings!$B$8:$B$19,0)),"?"))</f>
        <v/>
      </c>
      <c r="K1645" s="35" t="str">
        <f aca="false">IF(A1645="","",DATE(YEAR(A1645),MONTH(A1645),1))</f>
        <v/>
      </c>
      <c r="L1645" s="28" t="str">
        <f aca="false">IF(E1645="","",IFERROR(INDEX(Settings!$K$8:$K$38,MATCH(E1645,Settings!$H$8:$H$38,0))&amp;"",""))</f>
        <v/>
      </c>
    </row>
    <row r="1646" customFormat="false" ht="15" hidden="false" customHeight="false" outlineLevel="0" collapsed="false">
      <c r="A1646" s="33"/>
      <c r="B1646" s="27"/>
      <c r="C1646" s="27"/>
      <c r="D1646" s="27"/>
      <c r="E1646" s="27"/>
      <c r="F1646" s="34"/>
      <c r="G1646" s="27"/>
      <c r="H1646" s="27"/>
      <c r="I1646" s="28" t="str">
        <f aca="false">IF(C1646="","",IFERROR(INDEX(Settings!$C$8:$C$19,MATCH(C1646,Settings!$B$8:$B$19,0)),"?"))</f>
        <v/>
      </c>
      <c r="J1646" s="28" t="str">
        <f aca="false">IF(G1646="","",IFERROR(INDEX(Settings!$C$8:$C$19,MATCH(G1646,Settings!$B$8:$B$19,0)),"?"))</f>
        <v/>
      </c>
      <c r="K1646" s="35" t="str">
        <f aca="false">IF(A1646="","",DATE(YEAR(A1646),MONTH(A1646),1))</f>
        <v/>
      </c>
      <c r="L1646" s="28" t="str">
        <f aca="false">IF(E1646="","",IFERROR(INDEX(Settings!$K$8:$K$38,MATCH(E1646,Settings!$H$8:$H$38,0))&amp;"",""))</f>
        <v/>
      </c>
    </row>
    <row r="1647" customFormat="false" ht="15" hidden="false" customHeight="false" outlineLevel="0" collapsed="false">
      <c r="A1647" s="33"/>
      <c r="B1647" s="27"/>
      <c r="C1647" s="27"/>
      <c r="D1647" s="27"/>
      <c r="E1647" s="27"/>
      <c r="F1647" s="34"/>
      <c r="G1647" s="27"/>
      <c r="H1647" s="27"/>
      <c r="I1647" s="28" t="str">
        <f aca="false">IF(C1647="","",IFERROR(INDEX(Settings!$C$8:$C$19,MATCH(C1647,Settings!$B$8:$B$19,0)),"?"))</f>
        <v/>
      </c>
      <c r="J1647" s="28" t="str">
        <f aca="false">IF(G1647="","",IFERROR(INDEX(Settings!$C$8:$C$19,MATCH(G1647,Settings!$B$8:$B$19,0)),"?"))</f>
        <v/>
      </c>
      <c r="K1647" s="35" t="str">
        <f aca="false">IF(A1647="","",DATE(YEAR(A1647),MONTH(A1647),1))</f>
        <v/>
      </c>
      <c r="L1647" s="28" t="str">
        <f aca="false">IF(E1647="","",IFERROR(INDEX(Settings!$K$8:$K$38,MATCH(E1647,Settings!$H$8:$H$38,0))&amp;"",""))</f>
        <v/>
      </c>
    </row>
    <row r="1648" customFormat="false" ht="15" hidden="false" customHeight="false" outlineLevel="0" collapsed="false">
      <c r="A1648" s="33"/>
      <c r="B1648" s="27"/>
      <c r="C1648" s="27"/>
      <c r="D1648" s="27"/>
      <c r="E1648" s="27"/>
      <c r="F1648" s="34"/>
      <c r="G1648" s="27"/>
      <c r="H1648" s="27"/>
      <c r="I1648" s="28" t="str">
        <f aca="false">IF(C1648="","",IFERROR(INDEX(Settings!$C$8:$C$19,MATCH(C1648,Settings!$B$8:$B$19,0)),"?"))</f>
        <v/>
      </c>
      <c r="J1648" s="28" t="str">
        <f aca="false">IF(G1648="","",IFERROR(INDEX(Settings!$C$8:$C$19,MATCH(G1648,Settings!$B$8:$B$19,0)),"?"))</f>
        <v/>
      </c>
      <c r="K1648" s="35" t="str">
        <f aca="false">IF(A1648="","",DATE(YEAR(A1648),MONTH(A1648),1))</f>
        <v/>
      </c>
      <c r="L1648" s="28" t="str">
        <f aca="false">IF(E1648="","",IFERROR(INDEX(Settings!$K$8:$K$38,MATCH(E1648,Settings!$H$8:$H$38,0))&amp;"",""))</f>
        <v/>
      </c>
    </row>
    <row r="1649" customFormat="false" ht="15" hidden="false" customHeight="false" outlineLevel="0" collapsed="false">
      <c r="A1649" s="33"/>
      <c r="B1649" s="27"/>
      <c r="C1649" s="27"/>
      <c r="D1649" s="27"/>
      <c r="E1649" s="27"/>
      <c r="F1649" s="34"/>
      <c r="G1649" s="27"/>
      <c r="H1649" s="27"/>
      <c r="I1649" s="28" t="str">
        <f aca="false">IF(C1649="","",IFERROR(INDEX(Settings!$C$8:$C$19,MATCH(C1649,Settings!$B$8:$B$19,0)),"?"))</f>
        <v/>
      </c>
      <c r="J1649" s="28" t="str">
        <f aca="false">IF(G1649="","",IFERROR(INDEX(Settings!$C$8:$C$19,MATCH(G1649,Settings!$B$8:$B$19,0)),"?"))</f>
        <v/>
      </c>
      <c r="K1649" s="35" t="str">
        <f aca="false">IF(A1649="","",DATE(YEAR(A1649),MONTH(A1649),1))</f>
        <v/>
      </c>
      <c r="L1649" s="28" t="str">
        <f aca="false">IF(E1649="","",IFERROR(INDEX(Settings!$K$8:$K$38,MATCH(E1649,Settings!$H$8:$H$38,0))&amp;"",""))</f>
        <v/>
      </c>
    </row>
    <row r="1650" customFormat="false" ht="15" hidden="false" customHeight="false" outlineLevel="0" collapsed="false">
      <c r="A1650" s="33"/>
      <c r="B1650" s="27"/>
      <c r="C1650" s="27"/>
      <c r="D1650" s="27"/>
      <c r="E1650" s="27"/>
      <c r="F1650" s="34"/>
      <c r="G1650" s="27"/>
      <c r="H1650" s="27"/>
      <c r="I1650" s="28" t="str">
        <f aca="false">IF(C1650="","",IFERROR(INDEX(Settings!$C$8:$C$19,MATCH(C1650,Settings!$B$8:$B$19,0)),"?"))</f>
        <v/>
      </c>
      <c r="J1650" s="28" t="str">
        <f aca="false">IF(G1650="","",IFERROR(INDEX(Settings!$C$8:$C$19,MATCH(G1650,Settings!$B$8:$B$19,0)),"?"))</f>
        <v/>
      </c>
      <c r="K1650" s="35" t="str">
        <f aca="false">IF(A1650="","",DATE(YEAR(A1650),MONTH(A1650),1))</f>
        <v/>
      </c>
      <c r="L1650" s="28" t="str">
        <f aca="false">IF(E1650="","",IFERROR(INDEX(Settings!$K$8:$K$38,MATCH(E1650,Settings!$H$8:$H$38,0))&amp;"",""))</f>
        <v/>
      </c>
    </row>
    <row r="1651" customFormat="false" ht="15" hidden="false" customHeight="false" outlineLevel="0" collapsed="false">
      <c r="A1651" s="33"/>
      <c r="B1651" s="27"/>
      <c r="C1651" s="27"/>
      <c r="D1651" s="27"/>
      <c r="E1651" s="27"/>
      <c r="F1651" s="34"/>
      <c r="G1651" s="27"/>
      <c r="H1651" s="27"/>
      <c r="I1651" s="28" t="str">
        <f aca="false">IF(C1651="","",IFERROR(INDEX(Settings!$C$8:$C$19,MATCH(C1651,Settings!$B$8:$B$19,0)),"?"))</f>
        <v/>
      </c>
      <c r="J1651" s="28" t="str">
        <f aca="false">IF(G1651="","",IFERROR(INDEX(Settings!$C$8:$C$19,MATCH(G1651,Settings!$B$8:$B$19,0)),"?"))</f>
        <v/>
      </c>
      <c r="K1651" s="35" t="str">
        <f aca="false">IF(A1651="","",DATE(YEAR(A1651),MONTH(A1651),1))</f>
        <v/>
      </c>
      <c r="L1651" s="28" t="str">
        <f aca="false">IF(E1651="","",IFERROR(INDEX(Settings!$K$8:$K$38,MATCH(E1651,Settings!$H$8:$H$38,0))&amp;"",""))</f>
        <v/>
      </c>
    </row>
    <row r="1652" customFormat="false" ht="15" hidden="false" customHeight="false" outlineLevel="0" collapsed="false">
      <c r="A1652" s="33"/>
      <c r="B1652" s="27"/>
      <c r="C1652" s="27"/>
      <c r="D1652" s="27"/>
      <c r="E1652" s="27"/>
      <c r="F1652" s="34"/>
      <c r="G1652" s="27"/>
      <c r="H1652" s="27"/>
      <c r="I1652" s="28" t="str">
        <f aca="false">IF(C1652="","",IFERROR(INDEX(Settings!$C$8:$C$19,MATCH(C1652,Settings!$B$8:$B$19,0)),"?"))</f>
        <v/>
      </c>
      <c r="J1652" s="28" t="str">
        <f aca="false">IF(G1652="","",IFERROR(INDEX(Settings!$C$8:$C$19,MATCH(G1652,Settings!$B$8:$B$19,0)),"?"))</f>
        <v/>
      </c>
      <c r="K1652" s="35" t="str">
        <f aca="false">IF(A1652="","",DATE(YEAR(A1652),MONTH(A1652),1))</f>
        <v/>
      </c>
      <c r="L1652" s="28" t="str">
        <f aca="false">IF(E1652="","",IFERROR(INDEX(Settings!$K$8:$K$38,MATCH(E1652,Settings!$H$8:$H$38,0))&amp;"",""))</f>
        <v/>
      </c>
    </row>
    <row r="1653" customFormat="false" ht="15" hidden="false" customHeight="false" outlineLevel="0" collapsed="false">
      <c r="A1653" s="33"/>
      <c r="B1653" s="27"/>
      <c r="C1653" s="27"/>
      <c r="D1653" s="27"/>
      <c r="E1653" s="27"/>
      <c r="F1653" s="34"/>
      <c r="G1653" s="27"/>
      <c r="H1653" s="27"/>
      <c r="I1653" s="28" t="str">
        <f aca="false">IF(C1653="","",IFERROR(INDEX(Settings!$C$8:$C$19,MATCH(C1653,Settings!$B$8:$B$19,0)),"?"))</f>
        <v/>
      </c>
      <c r="J1653" s="28" t="str">
        <f aca="false">IF(G1653="","",IFERROR(INDEX(Settings!$C$8:$C$19,MATCH(G1653,Settings!$B$8:$B$19,0)),"?"))</f>
        <v/>
      </c>
      <c r="K1653" s="35" t="str">
        <f aca="false">IF(A1653="","",DATE(YEAR(A1653),MONTH(A1653),1))</f>
        <v/>
      </c>
      <c r="L1653" s="28" t="str">
        <f aca="false">IF(E1653="","",IFERROR(INDEX(Settings!$K$8:$K$38,MATCH(E1653,Settings!$H$8:$H$38,0))&amp;"",""))</f>
        <v/>
      </c>
    </row>
    <row r="1654" customFormat="false" ht="15" hidden="false" customHeight="false" outlineLevel="0" collapsed="false">
      <c r="A1654" s="33"/>
      <c r="B1654" s="27"/>
      <c r="C1654" s="27"/>
      <c r="D1654" s="27"/>
      <c r="E1654" s="27"/>
      <c r="F1654" s="34"/>
      <c r="G1654" s="27"/>
      <c r="H1654" s="27"/>
      <c r="I1654" s="28" t="str">
        <f aca="false">IF(C1654="","",IFERROR(INDEX(Settings!$C$8:$C$19,MATCH(C1654,Settings!$B$8:$B$19,0)),"?"))</f>
        <v/>
      </c>
      <c r="J1654" s="28" t="str">
        <f aca="false">IF(G1654="","",IFERROR(INDEX(Settings!$C$8:$C$19,MATCH(G1654,Settings!$B$8:$B$19,0)),"?"))</f>
        <v/>
      </c>
      <c r="K1654" s="35" t="str">
        <f aca="false">IF(A1654="","",DATE(YEAR(A1654),MONTH(A1654),1))</f>
        <v/>
      </c>
      <c r="L1654" s="28" t="str">
        <f aca="false">IF(E1654="","",IFERROR(INDEX(Settings!$K$8:$K$38,MATCH(E1654,Settings!$H$8:$H$38,0))&amp;"",""))</f>
        <v/>
      </c>
    </row>
    <row r="1655" customFormat="false" ht="15" hidden="false" customHeight="false" outlineLevel="0" collapsed="false">
      <c r="A1655" s="33"/>
      <c r="B1655" s="27"/>
      <c r="C1655" s="27"/>
      <c r="D1655" s="27"/>
      <c r="E1655" s="27"/>
      <c r="F1655" s="34"/>
      <c r="G1655" s="27"/>
      <c r="H1655" s="27"/>
      <c r="I1655" s="28" t="str">
        <f aca="false">IF(C1655="","",IFERROR(INDEX(Settings!$C$8:$C$19,MATCH(C1655,Settings!$B$8:$B$19,0)),"?"))</f>
        <v/>
      </c>
      <c r="J1655" s="28" t="str">
        <f aca="false">IF(G1655="","",IFERROR(INDEX(Settings!$C$8:$C$19,MATCH(G1655,Settings!$B$8:$B$19,0)),"?"))</f>
        <v/>
      </c>
      <c r="K1655" s="35" t="str">
        <f aca="false">IF(A1655="","",DATE(YEAR(A1655),MONTH(A1655),1))</f>
        <v/>
      </c>
      <c r="L1655" s="28" t="str">
        <f aca="false">IF(E1655="","",IFERROR(INDEX(Settings!$K$8:$K$38,MATCH(E1655,Settings!$H$8:$H$38,0))&amp;"",""))</f>
        <v/>
      </c>
    </row>
    <row r="1656" customFormat="false" ht="15" hidden="false" customHeight="false" outlineLevel="0" collapsed="false">
      <c r="A1656" s="33"/>
      <c r="B1656" s="27"/>
      <c r="C1656" s="27"/>
      <c r="D1656" s="27"/>
      <c r="E1656" s="27"/>
      <c r="F1656" s="34"/>
      <c r="G1656" s="27"/>
      <c r="H1656" s="27"/>
      <c r="I1656" s="28" t="str">
        <f aca="false">IF(C1656="","",IFERROR(INDEX(Settings!$C$8:$C$19,MATCH(C1656,Settings!$B$8:$B$19,0)),"?"))</f>
        <v/>
      </c>
      <c r="J1656" s="28" t="str">
        <f aca="false">IF(G1656="","",IFERROR(INDEX(Settings!$C$8:$C$19,MATCH(G1656,Settings!$B$8:$B$19,0)),"?"))</f>
        <v/>
      </c>
      <c r="K1656" s="35" t="str">
        <f aca="false">IF(A1656="","",DATE(YEAR(A1656),MONTH(A1656),1))</f>
        <v/>
      </c>
      <c r="L1656" s="28" t="str">
        <f aca="false">IF(E1656="","",IFERROR(INDEX(Settings!$K$8:$K$38,MATCH(E1656,Settings!$H$8:$H$38,0))&amp;"",""))</f>
        <v/>
      </c>
    </row>
    <row r="1657" customFormat="false" ht="15" hidden="false" customHeight="false" outlineLevel="0" collapsed="false">
      <c r="A1657" s="33"/>
      <c r="B1657" s="27"/>
      <c r="C1657" s="27"/>
      <c r="D1657" s="27"/>
      <c r="E1657" s="27"/>
      <c r="F1657" s="34"/>
      <c r="G1657" s="27"/>
      <c r="H1657" s="27"/>
      <c r="I1657" s="28" t="str">
        <f aca="false">IF(C1657="","",IFERROR(INDEX(Settings!$C$8:$C$19,MATCH(C1657,Settings!$B$8:$B$19,0)),"?"))</f>
        <v/>
      </c>
      <c r="J1657" s="28" t="str">
        <f aca="false">IF(G1657="","",IFERROR(INDEX(Settings!$C$8:$C$19,MATCH(G1657,Settings!$B$8:$B$19,0)),"?"))</f>
        <v/>
      </c>
      <c r="K1657" s="35" t="str">
        <f aca="false">IF(A1657="","",DATE(YEAR(A1657),MONTH(A1657),1))</f>
        <v/>
      </c>
      <c r="L1657" s="28" t="str">
        <f aca="false">IF(E1657="","",IFERROR(INDEX(Settings!$K$8:$K$38,MATCH(E1657,Settings!$H$8:$H$38,0))&amp;"",""))</f>
        <v/>
      </c>
    </row>
    <row r="1658" customFormat="false" ht="15" hidden="false" customHeight="false" outlineLevel="0" collapsed="false">
      <c r="A1658" s="33"/>
      <c r="B1658" s="27"/>
      <c r="C1658" s="27"/>
      <c r="D1658" s="27"/>
      <c r="E1658" s="27"/>
      <c r="F1658" s="34"/>
      <c r="G1658" s="27"/>
      <c r="H1658" s="27"/>
      <c r="I1658" s="28" t="str">
        <f aca="false">IF(C1658="","",IFERROR(INDEX(Settings!$C$8:$C$19,MATCH(C1658,Settings!$B$8:$B$19,0)),"?"))</f>
        <v/>
      </c>
      <c r="J1658" s="28" t="str">
        <f aca="false">IF(G1658="","",IFERROR(INDEX(Settings!$C$8:$C$19,MATCH(G1658,Settings!$B$8:$B$19,0)),"?"))</f>
        <v/>
      </c>
      <c r="K1658" s="35" t="str">
        <f aca="false">IF(A1658="","",DATE(YEAR(A1658),MONTH(A1658),1))</f>
        <v/>
      </c>
      <c r="L1658" s="28" t="str">
        <f aca="false">IF(E1658="","",IFERROR(INDEX(Settings!$K$8:$K$38,MATCH(E1658,Settings!$H$8:$H$38,0))&amp;"",""))</f>
        <v/>
      </c>
    </row>
    <row r="1659" customFormat="false" ht="15" hidden="false" customHeight="false" outlineLevel="0" collapsed="false">
      <c r="A1659" s="33"/>
      <c r="B1659" s="27"/>
      <c r="C1659" s="27"/>
      <c r="D1659" s="27"/>
      <c r="E1659" s="27"/>
      <c r="F1659" s="34"/>
      <c r="G1659" s="27"/>
      <c r="H1659" s="27"/>
      <c r="I1659" s="28" t="str">
        <f aca="false">IF(C1659="","",IFERROR(INDEX(Settings!$C$8:$C$19,MATCH(C1659,Settings!$B$8:$B$19,0)),"?"))</f>
        <v/>
      </c>
      <c r="J1659" s="28" t="str">
        <f aca="false">IF(G1659="","",IFERROR(INDEX(Settings!$C$8:$C$19,MATCH(G1659,Settings!$B$8:$B$19,0)),"?"))</f>
        <v/>
      </c>
      <c r="K1659" s="35" t="str">
        <f aca="false">IF(A1659="","",DATE(YEAR(A1659),MONTH(A1659),1))</f>
        <v/>
      </c>
      <c r="L1659" s="28" t="str">
        <f aca="false">IF(E1659="","",IFERROR(INDEX(Settings!$K$8:$K$38,MATCH(E1659,Settings!$H$8:$H$38,0))&amp;"",""))</f>
        <v/>
      </c>
    </row>
    <row r="1660" customFormat="false" ht="15" hidden="false" customHeight="false" outlineLevel="0" collapsed="false">
      <c r="A1660" s="33"/>
      <c r="B1660" s="27"/>
      <c r="C1660" s="27"/>
      <c r="D1660" s="27"/>
      <c r="E1660" s="27"/>
      <c r="F1660" s="34"/>
      <c r="G1660" s="27"/>
      <c r="H1660" s="27"/>
      <c r="I1660" s="28" t="str">
        <f aca="false">IF(C1660="","",IFERROR(INDEX(Settings!$C$8:$C$19,MATCH(C1660,Settings!$B$8:$B$19,0)),"?"))</f>
        <v/>
      </c>
      <c r="J1660" s="28" t="str">
        <f aca="false">IF(G1660="","",IFERROR(INDEX(Settings!$C$8:$C$19,MATCH(G1660,Settings!$B$8:$B$19,0)),"?"))</f>
        <v/>
      </c>
      <c r="K1660" s="35" t="str">
        <f aca="false">IF(A1660="","",DATE(YEAR(A1660),MONTH(A1660),1))</f>
        <v/>
      </c>
      <c r="L1660" s="28" t="str">
        <f aca="false">IF(E1660="","",IFERROR(INDEX(Settings!$K$8:$K$38,MATCH(E1660,Settings!$H$8:$H$38,0))&amp;"",""))</f>
        <v/>
      </c>
    </row>
    <row r="1661" customFormat="false" ht="15" hidden="false" customHeight="false" outlineLevel="0" collapsed="false">
      <c r="A1661" s="33"/>
      <c r="B1661" s="27"/>
      <c r="C1661" s="27"/>
      <c r="D1661" s="27"/>
      <c r="E1661" s="27"/>
      <c r="F1661" s="34"/>
      <c r="G1661" s="27"/>
      <c r="H1661" s="27"/>
      <c r="I1661" s="28" t="str">
        <f aca="false">IF(C1661="","",IFERROR(INDEX(Settings!$C$8:$C$19,MATCH(C1661,Settings!$B$8:$B$19,0)),"?"))</f>
        <v/>
      </c>
      <c r="J1661" s="28" t="str">
        <f aca="false">IF(G1661="","",IFERROR(INDEX(Settings!$C$8:$C$19,MATCH(G1661,Settings!$B$8:$B$19,0)),"?"))</f>
        <v/>
      </c>
      <c r="K1661" s="35" t="str">
        <f aca="false">IF(A1661="","",DATE(YEAR(A1661),MONTH(A1661),1))</f>
        <v/>
      </c>
      <c r="L1661" s="28" t="str">
        <f aca="false">IF(E1661="","",IFERROR(INDEX(Settings!$K$8:$K$38,MATCH(E1661,Settings!$H$8:$H$38,0))&amp;"",""))</f>
        <v/>
      </c>
    </row>
    <row r="1662" customFormat="false" ht="15" hidden="false" customHeight="false" outlineLevel="0" collapsed="false">
      <c r="A1662" s="33"/>
      <c r="B1662" s="27"/>
      <c r="C1662" s="27"/>
      <c r="D1662" s="27"/>
      <c r="E1662" s="27"/>
      <c r="F1662" s="34"/>
      <c r="G1662" s="27"/>
      <c r="H1662" s="27"/>
      <c r="I1662" s="28" t="str">
        <f aca="false">IF(C1662="","",IFERROR(INDEX(Settings!$C$8:$C$19,MATCH(C1662,Settings!$B$8:$B$19,0)),"?"))</f>
        <v/>
      </c>
      <c r="J1662" s="28" t="str">
        <f aca="false">IF(G1662="","",IFERROR(INDEX(Settings!$C$8:$C$19,MATCH(G1662,Settings!$B$8:$B$19,0)),"?"))</f>
        <v/>
      </c>
      <c r="K1662" s="35" t="str">
        <f aca="false">IF(A1662="","",DATE(YEAR(A1662),MONTH(A1662),1))</f>
        <v/>
      </c>
      <c r="L1662" s="28" t="str">
        <f aca="false">IF(E1662="","",IFERROR(INDEX(Settings!$K$8:$K$38,MATCH(E1662,Settings!$H$8:$H$38,0))&amp;"",""))</f>
        <v/>
      </c>
    </row>
    <row r="1663" customFormat="false" ht="15" hidden="false" customHeight="false" outlineLevel="0" collapsed="false">
      <c r="A1663" s="33"/>
      <c r="B1663" s="27"/>
      <c r="C1663" s="27"/>
      <c r="D1663" s="27"/>
      <c r="E1663" s="27"/>
      <c r="F1663" s="34"/>
      <c r="G1663" s="27"/>
      <c r="H1663" s="27"/>
      <c r="I1663" s="28" t="str">
        <f aca="false">IF(C1663="","",IFERROR(INDEX(Settings!$C$8:$C$19,MATCH(C1663,Settings!$B$8:$B$19,0)),"?"))</f>
        <v/>
      </c>
      <c r="J1663" s="28" t="str">
        <f aca="false">IF(G1663="","",IFERROR(INDEX(Settings!$C$8:$C$19,MATCH(G1663,Settings!$B$8:$B$19,0)),"?"))</f>
        <v/>
      </c>
      <c r="K1663" s="35" t="str">
        <f aca="false">IF(A1663="","",DATE(YEAR(A1663),MONTH(A1663),1))</f>
        <v/>
      </c>
      <c r="L1663" s="28" t="str">
        <f aca="false">IF(E1663="","",IFERROR(INDEX(Settings!$K$8:$K$38,MATCH(E1663,Settings!$H$8:$H$38,0))&amp;"",""))</f>
        <v/>
      </c>
    </row>
    <row r="1664" customFormat="false" ht="15" hidden="false" customHeight="false" outlineLevel="0" collapsed="false">
      <c r="A1664" s="33"/>
      <c r="B1664" s="27"/>
      <c r="C1664" s="27"/>
      <c r="D1664" s="27"/>
      <c r="E1664" s="27"/>
      <c r="F1664" s="34"/>
      <c r="G1664" s="27"/>
      <c r="H1664" s="27"/>
      <c r="I1664" s="28" t="str">
        <f aca="false">IF(C1664="","",IFERROR(INDEX(Settings!$C$8:$C$19,MATCH(C1664,Settings!$B$8:$B$19,0)),"?"))</f>
        <v/>
      </c>
      <c r="J1664" s="28" t="str">
        <f aca="false">IF(G1664="","",IFERROR(INDEX(Settings!$C$8:$C$19,MATCH(G1664,Settings!$B$8:$B$19,0)),"?"))</f>
        <v/>
      </c>
      <c r="K1664" s="35" t="str">
        <f aca="false">IF(A1664="","",DATE(YEAR(A1664),MONTH(A1664),1))</f>
        <v/>
      </c>
      <c r="L1664" s="28" t="str">
        <f aca="false">IF(E1664="","",IFERROR(INDEX(Settings!$K$8:$K$38,MATCH(E1664,Settings!$H$8:$H$38,0))&amp;"",""))</f>
        <v/>
      </c>
    </row>
    <row r="1665" customFormat="false" ht="15" hidden="false" customHeight="false" outlineLevel="0" collapsed="false">
      <c r="A1665" s="33"/>
      <c r="B1665" s="27"/>
      <c r="C1665" s="27"/>
      <c r="D1665" s="27"/>
      <c r="E1665" s="27"/>
      <c r="F1665" s="34"/>
      <c r="G1665" s="27"/>
      <c r="H1665" s="27"/>
      <c r="I1665" s="28" t="str">
        <f aca="false">IF(C1665="","",IFERROR(INDEX(Settings!$C$8:$C$19,MATCH(C1665,Settings!$B$8:$B$19,0)),"?"))</f>
        <v/>
      </c>
      <c r="J1665" s="28" t="str">
        <f aca="false">IF(G1665="","",IFERROR(INDEX(Settings!$C$8:$C$19,MATCH(G1665,Settings!$B$8:$B$19,0)),"?"))</f>
        <v/>
      </c>
      <c r="K1665" s="35" t="str">
        <f aca="false">IF(A1665="","",DATE(YEAR(A1665),MONTH(A1665),1))</f>
        <v/>
      </c>
      <c r="L1665" s="28" t="str">
        <f aca="false">IF(E1665="","",IFERROR(INDEX(Settings!$K$8:$K$38,MATCH(E1665,Settings!$H$8:$H$38,0))&amp;"",""))</f>
        <v/>
      </c>
    </row>
    <row r="1666" customFormat="false" ht="15" hidden="false" customHeight="false" outlineLevel="0" collapsed="false">
      <c r="A1666" s="33"/>
      <c r="B1666" s="27"/>
      <c r="C1666" s="27"/>
      <c r="D1666" s="27"/>
      <c r="E1666" s="27"/>
      <c r="F1666" s="34"/>
      <c r="G1666" s="27"/>
      <c r="H1666" s="27"/>
      <c r="I1666" s="28" t="str">
        <f aca="false">IF(C1666="","",IFERROR(INDEX(Settings!$C$8:$C$19,MATCH(C1666,Settings!$B$8:$B$19,0)),"?"))</f>
        <v/>
      </c>
      <c r="J1666" s="28" t="str">
        <f aca="false">IF(G1666="","",IFERROR(INDEX(Settings!$C$8:$C$19,MATCH(G1666,Settings!$B$8:$B$19,0)),"?"))</f>
        <v/>
      </c>
      <c r="K1666" s="35" t="str">
        <f aca="false">IF(A1666="","",DATE(YEAR(A1666),MONTH(A1666),1))</f>
        <v/>
      </c>
      <c r="L1666" s="28" t="str">
        <f aca="false">IF(E1666="","",IFERROR(INDEX(Settings!$K$8:$K$38,MATCH(E1666,Settings!$H$8:$H$38,0))&amp;"",""))</f>
        <v/>
      </c>
    </row>
    <row r="1667" customFormat="false" ht="15" hidden="false" customHeight="false" outlineLevel="0" collapsed="false">
      <c r="A1667" s="33"/>
      <c r="B1667" s="27"/>
      <c r="C1667" s="27"/>
      <c r="D1667" s="27"/>
      <c r="E1667" s="27"/>
      <c r="F1667" s="34"/>
      <c r="G1667" s="27"/>
      <c r="H1667" s="27"/>
      <c r="I1667" s="28" t="str">
        <f aca="false">IF(C1667="","",IFERROR(INDEX(Settings!$C$8:$C$19,MATCH(C1667,Settings!$B$8:$B$19,0)),"?"))</f>
        <v/>
      </c>
      <c r="J1667" s="28" t="str">
        <f aca="false">IF(G1667="","",IFERROR(INDEX(Settings!$C$8:$C$19,MATCH(G1667,Settings!$B$8:$B$19,0)),"?"))</f>
        <v/>
      </c>
      <c r="K1667" s="35" t="str">
        <f aca="false">IF(A1667="","",DATE(YEAR(A1667),MONTH(A1667),1))</f>
        <v/>
      </c>
      <c r="L1667" s="28" t="str">
        <f aca="false">IF(E1667="","",IFERROR(INDEX(Settings!$K$8:$K$38,MATCH(E1667,Settings!$H$8:$H$38,0))&amp;"",""))</f>
        <v/>
      </c>
    </row>
    <row r="1668" customFormat="false" ht="15" hidden="false" customHeight="false" outlineLevel="0" collapsed="false">
      <c r="A1668" s="33"/>
      <c r="B1668" s="27"/>
      <c r="C1668" s="27"/>
      <c r="D1668" s="27"/>
      <c r="E1668" s="27"/>
      <c r="F1668" s="34"/>
      <c r="G1668" s="27"/>
      <c r="H1668" s="27"/>
      <c r="I1668" s="28" t="str">
        <f aca="false">IF(C1668="","",IFERROR(INDEX(Settings!$C$8:$C$19,MATCH(C1668,Settings!$B$8:$B$19,0)),"?"))</f>
        <v/>
      </c>
      <c r="J1668" s="28" t="str">
        <f aca="false">IF(G1668="","",IFERROR(INDEX(Settings!$C$8:$C$19,MATCH(G1668,Settings!$B$8:$B$19,0)),"?"))</f>
        <v/>
      </c>
      <c r="K1668" s="35" t="str">
        <f aca="false">IF(A1668="","",DATE(YEAR(A1668),MONTH(A1668),1))</f>
        <v/>
      </c>
      <c r="L1668" s="28" t="str">
        <f aca="false">IF(E1668="","",IFERROR(INDEX(Settings!$K$8:$K$38,MATCH(E1668,Settings!$H$8:$H$38,0))&amp;"",""))</f>
        <v/>
      </c>
    </row>
    <row r="1669" customFormat="false" ht="15" hidden="false" customHeight="false" outlineLevel="0" collapsed="false">
      <c r="A1669" s="33"/>
      <c r="B1669" s="27"/>
      <c r="C1669" s="27"/>
      <c r="D1669" s="27"/>
      <c r="E1669" s="27"/>
      <c r="F1669" s="34"/>
      <c r="G1669" s="27"/>
      <c r="H1669" s="27"/>
      <c r="I1669" s="28" t="str">
        <f aca="false">IF(C1669="","",IFERROR(INDEX(Settings!$C$8:$C$19,MATCH(C1669,Settings!$B$8:$B$19,0)),"?"))</f>
        <v/>
      </c>
      <c r="J1669" s="28" t="str">
        <f aca="false">IF(G1669="","",IFERROR(INDEX(Settings!$C$8:$C$19,MATCH(G1669,Settings!$B$8:$B$19,0)),"?"))</f>
        <v/>
      </c>
      <c r="K1669" s="35" t="str">
        <f aca="false">IF(A1669="","",DATE(YEAR(A1669),MONTH(A1669),1))</f>
        <v/>
      </c>
      <c r="L1669" s="28" t="str">
        <f aca="false">IF(E1669="","",IFERROR(INDEX(Settings!$K$8:$K$38,MATCH(E1669,Settings!$H$8:$H$38,0))&amp;"",""))</f>
        <v/>
      </c>
    </row>
    <row r="1670" customFormat="false" ht="15" hidden="false" customHeight="false" outlineLevel="0" collapsed="false">
      <c r="A1670" s="33"/>
      <c r="B1670" s="27"/>
      <c r="C1670" s="27"/>
      <c r="D1670" s="27"/>
      <c r="E1670" s="27"/>
      <c r="F1670" s="34"/>
      <c r="G1670" s="27"/>
      <c r="H1670" s="27"/>
      <c r="I1670" s="28" t="str">
        <f aca="false">IF(C1670="","",IFERROR(INDEX(Settings!$C$8:$C$19,MATCH(C1670,Settings!$B$8:$B$19,0)),"?"))</f>
        <v/>
      </c>
      <c r="J1670" s="28" t="str">
        <f aca="false">IF(G1670="","",IFERROR(INDEX(Settings!$C$8:$C$19,MATCH(G1670,Settings!$B$8:$B$19,0)),"?"))</f>
        <v/>
      </c>
      <c r="K1670" s="35" t="str">
        <f aca="false">IF(A1670="","",DATE(YEAR(A1670),MONTH(A1670),1))</f>
        <v/>
      </c>
      <c r="L1670" s="28" t="str">
        <f aca="false">IF(E1670="","",IFERROR(INDEX(Settings!$K$8:$K$38,MATCH(E1670,Settings!$H$8:$H$38,0))&amp;"",""))</f>
        <v/>
      </c>
    </row>
    <row r="1671" customFormat="false" ht="15" hidden="false" customHeight="false" outlineLevel="0" collapsed="false">
      <c r="A1671" s="33"/>
      <c r="B1671" s="27"/>
      <c r="C1671" s="27"/>
      <c r="D1671" s="27"/>
      <c r="E1671" s="27"/>
      <c r="F1671" s="34"/>
      <c r="G1671" s="27"/>
      <c r="H1671" s="27"/>
      <c r="I1671" s="28" t="str">
        <f aca="false">IF(C1671="","",IFERROR(INDEX(Settings!$C$8:$C$19,MATCH(C1671,Settings!$B$8:$B$19,0)),"?"))</f>
        <v/>
      </c>
      <c r="J1671" s="28" t="str">
        <f aca="false">IF(G1671="","",IFERROR(INDEX(Settings!$C$8:$C$19,MATCH(G1671,Settings!$B$8:$B$19,0)),"?"))</f>
        <v/>
      </c>
      <c r="K1671" s="35" t="str">
        <f aca="false">IF(A1671="","",DATE(YEAR(A1671),MONTH(A1671),1))</f>
        <v/>
      </c>
      <c r="L1671" s="28" t="str">
        <f aca="false">IF(E1671="","",IFERROR(INDEX(Settings!$K$8:$K$38,MATCH(E1671,Settings!$H$8:$H$38,0))&amp;"",""))</f>
        <v/>
      </c>
    </row>
    <row r="1672" customFormat="false" ht="15" hidden="false" customHeight="false" outlineLevel="0" collapsed="false">
      <c r="A1672" s="33"/>
      <c r="B1672" s="27"/>
      <c r="C1672" s="27"/>
      <c r="D1672" s="27"/>
      <c r="E1672" s="27"/>
      <c r="F1672" s="34"/>
      <c r="G1672" s="27"/>
      <c r="H1672" s="27"/>
      <c r="I1672" s="28" t="str">
        <f aca="false">IF(C1672="","",IFERROR(INDEX(Settings!$C$8:$C$19,MATCH(C1672,Settings!$B$8:$B$19,0)),"?"))</f>
        <v/>
      </c>
      <c r="J1672" s="28" t="str">
        <f aca="false">IF(G1672="","",IFERROR(INDEX(Settings!$C$8:$C$19,MATCH(G1672,Settings!$B$8:$B$19,0)),"?"))</f>
        <v/>
      </c>
      <c r="K1672" s="35" t="str">
        <f aca="false">IF(A1672="","",DATE(YEAR(A1672),MONTH(A1672),1))</f>
        <v/>
      </c>
      <c r="L1672" s="28" t="str">
        <f aca="false">IF(E1672="","",IFERROR(INDEX(Settings!$K$8:$K$38,MATCH(E1672,Settings!$H$8:$H$38,0))&amp;"",""))</f>
        <v/>
      </c>
    </row>
    <row r="1673" customFormat="false" ht="15" hidden="false" customHeight="false" outlineLevel="0" collapsed="false">
      <c r="A1673" s="33"/>
      <c r="B1673" s="27"/>
      <c r="C1673" s="27"/>
      <c r="D1673" s="27"/>
      <c r="E1673" s="27"/>
      <c r="F1673" s="34"/>
      <c r="G1673" s="27"/>
      <c r="H1673" s="27"/>
      <c r="I1673" s="28" t="str">
        <f aca="false">IF(C1673="","",IFERROR(INDEX(Settings!$C$8:$C$19,MATCH(C1673,Settings!$B$8:$B$19,0)),"?"))</f>
        <v/>
      </c>
      <c r="J1673" s="28" t="str">
        <f aca="false">IF(G1673="","",IFERROR(INDEX(Settings!$C$8:$C$19,MATCH(G1673,Settings!$B$8:$B$19,0)),"?"))</f>
        <v/>
      </c>
      <c r="K1673" s="35" t="str">
        <f aca="false">IF(A1673="","",DATE(YEAR(A1673),MONTH(A1673),1))</f>
        <v/>
      </c>
      <c r="L1673" s="28" t="str">
        <f aca="false">IF(E1673="","",IFERROR(INDEX(Settings!$K$8:$K$38,MATCH(E1673,Settings!$H$8:$H$38,0))&amp;"",""))</f>
        <v/>
      </c>
    </row>
    <row r="1674" customFormat="false" ht="15" hidden="false" customHeight="false" outlineLevel="0" collapsed="false">
      <c r="A1674" s="33"/>
      <c r="B1674" s="27"/>
      <c r="C1674" s="27"/>
      <c r="D1674" s="27"/>
      <c r="E1674" s="27"/>
      <c r="F1674" s="34"/>
      <c r="G1674" s="27"/>
      <c r="H1674" s="27"/>
      <c r="I1674" s="28" t="str">
        <f aca="false">IF(C1674="","",IFERROR(INDEX(Settings!$C$8:$C$19,MATCH(C1674,Settings!$B$8:$B$19,0)),"?"))</f>
        <v/>
      </c>
      <c r="J1674" s="28" t="str">
        <f aca="false">IF(G1674="","",IFERROR(INDEX(Settings!$C$8:$C$19,MATCH(G1674,Settings!$B$8:$B$19,0)),"?"))</f>
        <v/>
      </c>
      <c r="K1674" s="35" t="str">
        <f aca="false">IF(A1674="","",DATE(YEAR(A1674),MONTH(A1674),1))</f>
        <v/>
      </c>
      <c r="L1674" s="28" t="str">
        <f aca="false">IF(E1674="","",IFERROR(INDEX(Settings!$K$8:$K$38,MATCH(E1674,Settings!$H$8:$H$38,0))&amp;"",""))</f>
        <v/>
      </c>
    </row>
    <row r="1675" customFormat="false" ht="15" hidden="false" customHeight="false" outlineLevel="0" collapsed="false">
      <c r="A1675" s="33"/>
      <c r="B1675" s="27"/>
      <c r="C1675" s="27"/>
      <c r="D1675" s="27"/>
      <c r="E1675" s="27"/>
      <c r="F1675" s="34"/>
      <c r="G1675" s="27"/>
      <c r="H1675" s="27"/>
      <c r="I1675" s="28" t="str">
        <f aca="false">IF(C1675="","",IFERROR(INDEX(Settings!$C$8:$C$19,MATCH(C1675,Settings!$B$8:$B$19,0)),"?"))</f>
        <v/>
      </c>
      <c r="J1675" s="28" t="str">
        <f aca="false">IF(G1675="","",IFERROR(INDEX(Settings!$C$8:$C$19,MATCH(G1675,Settings!$B$8:$B$19,0)),"?"))</f>
        <v/>
      </c>
      <c r="K1675" s="35" t="str">
        <f aca="false">IF(A1675="","",DATE(YEAR(A1675),MONTH(A1675),1))</f>
        <v/>
      </c>
      <c r="L1675" s="28" t="str">
        <f aca="false">IF(E1675="","",IFERROR(INDEX(Settings!$K$8:$K$38,MATCH(E1675,Settings!$H$8:$H$38,0))&amp;"",""))</f>
        <v/>
      </c>
    </row>
    <row r="1676" customFormat="false" ht="15" hidden="false" customHeight="false" outlineLevel="0" collapsed="false">
      <c r="A1676" s="33"/>
      <c r="B1676" s="27"/>
      <c r="C1676" s="27"/>
      <c r="D1676" s="27"/>
      <c r="E1676" s="27"/>
      <c r="F1676" s="34"/>
      <c r="G1676" s="27"/>
      <c r="H1676" s="27"/>
      <c r="I1676" s="28" t="str">
        <f aca="false">IF(C1676="","",IFERROR(INDEX(Settings!$C$8:$C$19,MATCH(C1676,Settings!$B$8:$B$19,0)),"?"))</f>
        <v/>
      </c>
      <c r="J1676" s="28" t="str">
        <f aca="false">IF(G1676="","",IFERROR(INDEX(Settings!$C$8:$C$19,MATCH(G1676,Settings!$B$8:$B$19,0)),"?"))</f>
        <v/>
      </c>
      <c r="K1676" s="35" t="str">
        <f aca="false">IF(A1676="","",DATE(YEAR(A1676),MONTH(A1676),1))</f>
        <v/>
      </c>
      <c r="L1676" s="28" t="str">
        <f aca="false">IF(E1676="","",IFERROR(INDEX(Settings!$K$8:$K$38,MATCH(E1676,Settings!$H$8:$H$38,0))&amp;"",""))</f>
        <v/>
      </c>
    </row>
    <row r="1677" customFormat="false" ht="15" hidden="false" customHeight="false" outlineLevel="0" collapsed="false">
      <c r="A1677" s="33"/>
      <c r="B1677" s="27"/>
      <c r="C1677" s="27"/>
      <c r="D1677" s="27"/>
      <c r="E1677" s="27"/>
      <c r="F1677" s="34"/>
      <c r="G1677" s="27"/>
      <c r="H1677" s="27"/>
      <c r="I1677" s="28" t="str">
        <f aca="false">IF(C1677="","",IFERROR(INDEX(Settings!$C$8:$C$19,MATCH(C1677,Settings!$B$8:$B$19,0)),"?"))</f>
        <v/>
      </c>
      <c r="J1677" s="28" t="str">
        <f aca="false">IF(G1677="","",IFERROR(INDEX(Settings!$C$8:$C$19,MATCH(G1677,Settings!$B$8:$B$19,0)),"?"))</f>
        <v/>
      </c>
      <c r="K1677" s="35" t="str">
        <f aca="false">IF(A1677="","",DATE(YEAR(A1677),MONTH(A1677),1))</f>
        <v/>
      </c>
      <c r="L1677" s="28" t="str">
        <f aca="false">IF(E1677="","",IFERROR(INDEX(Settings!$K$8:$K$38,MATCH(E1677,Settings!$H$8:$H$38,0))&amp;"",""))</f>
        <v/>
      </c>
    </row>
    <row r="1678" customFormat="false" ht="15" hidden="false" customHeight="false" outlineLevel="0" collapsed="false">
      <c r="A1678" s="33"/>
      <c r="B1678" s="27"/>
      <c r="C1678" s="27"/>
      <c r="D1678" s="27"/>
      <c r="E1678" s="27"/>
      <c r="F1678" s="34"/>
      <c r="G1678" s="27"/>
      <c r="H1678" s="27"/>
      <c r="I1678" s="28" t="str">
        <f aca="false">IF(C1678="","",IFERROR(INDEX(Settings!$C$8:$C$19,MATCH(C1678,Settings!$B$8:$B$19,0)),"?"))</f>
        <v/>
      </c>
      <c r="J1678" s="28" t="str">
        <f aca="false">IF(G1678="","",IFERROR(INDEX(Settings!$C$8:$C$19,MATCH(G1678,Settings!$B$8:$B$19,0)),"?"))</f>
        <v/>
      </c>
      <c r="K1678" s="35" t="str">
        <f aca="false">IF(A1678="","",DATE(YEAR(A1678),MONTH(A1678),1))</f>
        <v/>
      </c>
      <c r="L1678" s="28" t="str">
        <f aca="false">IF(E1678="","",IFERROR(INDEX(Settings!$K$8:$K$38,MATCH(E1678,Settings!$H$8:$H$38,0))&amp;"",""))</f>
        <v/>
      </c>
    </row>
    <row r="1679" customFormat="false" ht="15" hidden="false" customHeight="false" outlineLevel="0" collapsed="false">
      <c r="A1679" s="33"/>
      <c r="B1679" s="27"/>
      <c r="C1679" s="27"/>
      <c r="D1679" s="27"/>
      <c r="E1679" s="27"/>
      <c r="F1679" s="34"/>
      <c r="G1679" s="27"/>
      <c r="H1679" s="27"/>
      <c r="I1679" s="28" t="str">
        <f aca="false">IF(C1679="","",IFERROR(INDEX(Settings!$C$8:$C$19,MATCH(C1679,Settings!$B$8:$B$19,0)),"?"))</f>
        <v/>
      </c>
      <c r="J1679" s="28" t="str">
        <f aca="false">IF(G1679="","",IFERROR(INDEX(Settings!$C$8:$C$19,MATCH(G1679,Settings!$B$8:$B$19,0)),"?"))</f>
        <v/>
      </c>
      <c r="K1679" s="35" t="str">
        <f aca="false">IF(A1679="","",DATE(YEAR(A1679),MONTH(A1679),1))</f>
        <v/>
      </c>
      <c r="L1679" s="28" t="str">
        <f aca="false">IF(E1679="","",IFERROR(INDEX(Settings!$K$8:$K$38,MATCH(E1679,Settings!$H$8:$H$38,0))&amp;"",""))</f>
        <v/>
      </c>
    </row>
    <row r="1680" customFormat="false" ht="15" hidden="false" customHeight="false" outlineLevel="0" collapsed="false">
      <c r="A1680" s="33"/>
      <c r="B1680" s="27"/>
      <c r="C1680" s="27"/>
      <c r="D1680" s="27"/>
      <c r="E1680" s="27"/>
      <c r="F1680" s="34"/>
      <c r="G1680" s="27"/>
      <c r="H1680" s="27"/>
      <c r="I1680" s="28" t="str">
        <f aca="false">IF(C1680="","",IFERROR(INDEX(Settings!$C$8:$C$19,MATCH(C1680,Settings!$B$8:$B$19,0)),"?"))</f>
        <v/>
      </c>
      <c r="J1680" s="28" t="str">
        <f aca="false">IF(G1680="","",IFERROR(INDEX(Settings!$C$8:$C$19,MATCH(G1680,Settings!$B$8:$B$19,0)),"?"))</f>
        <v/>
      </c>
      <c r="K1680" s="35" t="str">
        <f aca="false">IF(A1680="","",DATE(YEAR(A1680),MONTH(A1680),1))</f>
        <v/>
      </c>
      <c r="L1680" s="28" t="str">
        <f aca="false">IF(E1680="","",IFERROR(INDEX(Settings!$K$8:$K$38,MATCH(E1680,Settings!$H$8:$H$38,0))&amp;"",""))</f>
        <v/>
      </c>
    </row>
    <row r="1681" customFormat="false" ht="15" hidden="false" customHeight="false" outlineLevel="0" collapsed="false">
      <c r="A1681" s="33"/>
      <c r="B1681" s="27"/>
      <c r="C1681" s="27"/>
      <c r="D1681" s="27"/>
      <c r="E1681" s="27"/>
      <c r="F1681" s="34"/>
      <c r="G1681" s="27"/>
      <c r="H1681" s="27"/>
      <c r="I1681" s="28" t="str">
        <f aca="false">IF(C1681="","",IFERROR(INDEX(Settings!$C$8:$C$19,MATCH(C1681,Settings!$B$8:$B$19,0)),"?"))</f>
        <v/>
      </c>
      <c r="J1681" s="28" t="str">
        <f aca="false">IF(G1681="","",IFERROR(INDEX(Settings!$C$8:$C$19,MATCH(G1681,Settings!$B$8:$B$19,0)),"?"))</f>
        <v/>
      </c>
      <c r="K1681" s="35" t="str">
        <f aca="false">IF(A1681="","",DATE(YEAR(A1681),MONTH(A1681),1))</f>
        <v/>
      </c>
      <c r="L1681" s="28" t="str">
        <f aca="false">IF(E1681="","",IFERROR(INDEX(Settings!$K$8:$K$38,MATCH(E1681,Settings!$H$8:$H$38,0))&amp;"",""))</f>
        <v/>
      </c>
    </row>
    <row r="1682" customFormat="false" ht="15" hidden="false" customHeight="false" outlineLevel="0" collapsed="false">
      <c r="A1682" s="33"/>
      <c r="B1682" s="27"/>
      <c r="C1682" s="27"/>
      <c r="D1682" s="27"/>
      <c r="E1682" s="27"/>
      <c r="F1682" s="34"/>
      <c r="G1682" s="27"/>
      <c r="H1682" s="27"/>
      <c r="I1682" s="28" t="str">
        <f aca="false">IF(C1682="","",IFERROR(INDEX(Settings!$C$8:$C$19,MATCH(C1682,Settings!$B$8:$B$19,0)),"?"))</f>
        <v/>
      </c>
      <c r="J1682" s="28" t="str">
        <f aca="false">IF(G1682="","",IFERROR(INDEX(Settings!$C$8:$C$19,MATCH(G1682,Settings!$B$8:$B$19,0)),"?"))</f>
        <v/>
      </c>
      <c r="K1682" s="35" t="str">
        <f aca="false">IF(A1682="","",DATE(YEAR(A1682),MONTH(A1682),1))</f>
        <v/>
      </c>
      <c r="L1682" s="28" t="str">
        <f aca="false">IF(E1682="","",IFERROR(INDEX(Settings!$K$8:$K$38,MATCH(E1682,Settings!$H$8:$H$38,0))&amp;"",""))</f>
        <v/>
      </c>
    </row>
    <row r="1683" customFormat="false" ht="15" hidden="false" customHeight="false" outlineLevel="0" collapsed="false">
      <c r="A1683" s="33"/>
      <c r="B1683" s="27"/>
      <c r="C1683" s="27"/>
      <c r="D1683" s="27"/>
      <c r="E1683" s="27"/>
      <c r="F1683" s="34"/>
      <c r="G1683" s="27"/>
      <c r="H1683" s="27"/>
      <c r="I1683" s="28" t="str">
        <f aca="false">IF(C1683="","",IFERROR(INDEX(Settings!$C$8:$C$19,MATCH(C1683,Settings!$B$8:$B$19,0)),"?"))</f>
        <v/>
      </c>
      <c r="J1683" s="28" t="str">
        <f aca="false">IF(G1683="","",IFERROR(INDEX(Settings!$C$8:$C$19,MATCH(G1683,Settings!$B$8:$B$19,0)),"?"))</f>
        <v/>
      </c>
      <c r="K1683" s="35" t="str">
        <f aca="false">IF(A1683="","",DATE(YEAR(A1683),MONTH(A1683),1))</f>
        <v/>
      </c>
      <c r="L1683" s="28" t="str">
        <f aca="false">IF(E1683="","",IFERROR(INDEX(Settings!$K$8:$K$38,MATCH(E1683,Settings!$H$8:$H$38,0))&amp;"",""))</f>
        <v/>
      </c>
    </row>
    <row r="1684" customFormat="false" ht="15" hidden="false" customHeight="false" outlineLevel="0" collapsed="false">
      <c r="A1684" s="33"/>
      <c r="B1684" s="27"/>
      <c r="C1684" s="27"/>
      <c r="D1684" s="27"/>
      <c r="E1684" s="27"/>
      <c r="F1684" s="34"/>
      <c r="G1684" s="27"/>
      <c r="H1684" s="27"/>
      <c r="I1684" s="28" t="str">
        <f aca="false">IF(C1684="","",IFERROR(INDEX(Settings!$C$8:$C$19,MATCH(C1684,Settings!$B$8:$B$19,0)),"?"))</f>
        <v/>
      </c>
      <c r="J1684" s="28" t="str">
        <f aca="false">IF(G1684="","",IFERROR(INDEX(Settings!$C$8:$C$19,MATCH(G1684,Settings!$B$8:$B$19,0)),"?"))</f>
        <v/>
      </c>
      <c r="K1684" s="35" t="str">
        <f aca="false">IF(A1684="","",DATE(YEAR(A1684),MONTH(A1684),1))</f>
        <v/>
      </c>
      <c r="L1684" s="28" t="str">
        <f aca="false">IF(E1684="","",IFERROR(INDEX(Settings!$K$8:$K$38,MATCH(E1684,Settings!$H$8:$H$38,0))&amp;"",""))</f>
        <v/>
      </c>
    </row>
    <row r="1685" customFormat="false" ht="15" hidden="false" customHeight="false" outlineLevel="0" collapsed="false">
      <c r="A1685" s="33"/>
      <c r="B1685" s="27"/>
      <c r="C1685" s="27"/>
      <c r="D1685" s="27"/>
      <c r="E1685" s="27"/>
      <c r="F1685" s="34"/>
      <c r="G1685" s="27"/>
      <c r="H1685" s="27"/>
      <c r="I1685" s="28" t="str">
        <f aca="false">IF(C1685="","",IFERROR(INDEX(Settings!$C$8:$C$19,MATCH(C1685,Settings!$B$8:$B$19,0)),"?"))</f>
        <v/>
      </c>
      <c r="J1685" s="28" t="str">
        <f aca="false">IF(G1685="","",IFERROR(INDEX(Settings!$C$8:$C$19,MATCH(G1685,Settings!$B$8:$B$19,0)),"?"))</f>
        <v/>
      </c>
      <c r="K1685" s="35" t="str">
        <f aca="false">IF(A1685="","",DATE(YEAR(A1685),MONTH(A1685),1))</f>
        <v/>
      </c>
      <c r="L1685" s="28" t="str">
        <f aca="false">IF(E1685="","",IFERROR(INDEX(Settings!$K$8:$K$38,MATCH(E1685,Settings!$H$8:$H$38,0))&amp;"",""))</f>
        <v/>
      </c>
    </row>
    <row r="1686" customFormat="false" ht="15" hidden="false" customHeight="false" outlineLevel="0" collapsed="false">
      <c r="A1686" s="33"/>
      <c r="B1686" s="27"/>
      <c r="C1686" s="27"/>
      <c r="D1686" s="27"/>
      <c r="E1686" s="27"/>
      <c r="F1686" s="34"/>
      <c r="G1686" s="27"/>
      <c r="H1686" s="27"/>
      <c r="I1686" s="28" t="str">
        <f aca="false">IF(C1686="","",IFERROR(INDEX(Settings!$C$8:$C$19,MATCH(C1686,Settings!$B$8:$B$19,0)),"?"))</f>
        <v/>
      </c>
      <c r="J1686" s="28" t="str">
        <f aca="false">IF(G1686="","",IFERROR(INDEX(Settings!$C$8:$C$19,MATCH(G1686,Settings!$B$8:$B$19,0)),"?"))</f>
        <v/>
      </c>
      <c r="K1686" s="35" t="str">
        <f aca="false">IF(A1686="","",DATE(YEAR(A1686),MONTH(A1686),1))</f>
        <v/>
      </c>
      <c r="L1686" s="28" t="str">
        <f aca="false">IF(E1686="","",IFERROR(INDEX(Settings!$K$8:$K$38,MATCH(E1686,Settings!$H$8:$H$38,0))&amp;"",""))</f>
        <v/>
      </c>
    </row>
    <row r="1687" customFormat="false" ht="15" hidden="false" customHeight="false" outlineLevel="0" collapsed="false">
      <c r="A1687" s="33"/>
      <c r="B1687" s="27"/>
      <c r="C1687" s="27"/>
      <c r="D1687" s="27"/>
      <c r="E1687" s="27"/>
      <c r="F1687" s="34"/>
      <c r="G1687" s="27"/>
      <c r="H1687" s="27"/>
      <c r="I1687" s="28" t="str">
        <f aca="false">IF(C1687="","",IFERROR(INDEX(Settings!$C$8:$C$19,MATCH(C1687,Settings!$B$8:$B$19,0)),"?"))</f>
        <v/>
      </c>
      <c r="J1687" s="28" t="str">
        <f aca="false">IF(G1687="","",IFERROR(INDEX(Settings!$C$8:$C$19,MATCH(G1687,Settings!$B$8:$B$19,0)),"?"))</f>
        <v/>
      </c>
      <c r="K1687" s="35" t="str">
        <f aca="false">IF(A1687="","",DATE(YEAR(A1687),MONTH(A1687),1))</f>
        <v/>
      </c>
      <c r="L1687" s="28" t="str">
        <f aca="false">IF(E1687="","",IFERROR(INDEX(Settings!$K$8:$K$38,MATCH(E1687,Settings!$H$8:$H$38,0))&amp;"",""))</f>
        <v/>
      </c>
    </row>
    <row r="1688" customFormat="false" ht="15" hidden="false" customHeight="false" outlineLevel="0" collapsed="false">
      <c r="A1688" s="33"/>
      <c r="B1688" s="27"/>
      <c r="C1688" s="27"/>
      <c r="D1688" s="27"/>
      <c r="E1688" s="27"/>
      <c r="F1688" s="34"/>
      <c r="G1688" s="27"/>
      <c r="H1688" s="27"/>
      <c r="I1688" s="28" t="str">
        <f aca="false">IF(C1688="","",IFERROR(INDEX(Settings!$C$8:$C$19,MATCH(C1688,Settings!$B$8:$B$19,0)),"?"))</f>
        <v/>
      </c>
      <c r="J1688" s="28" t="str">
        <f aca="false">IF(G1688="","",IFERROR(INDEX(Settings!$C$8:$C$19,MATCH(G1688,Settings!$B$8:$B$19,0)),"?"))</f>
        <v/>
      </c>
      <c r="K1688" s="35" t="str">
        <f aca="false">IF(A1688="","",DATE(YEAR(A1688),MONTH(A1688),1))</f>
        <v/>
      </c>
      <c r="L1688" s="28" t="str">
        <f aca="false">IF(E1688="","",IFERROR(INDEX(Settings!$K$8:$K$38,MATCH(E1688,Settings!$H$8:$H$38,0))&amp;"",""))</f>
        <v/>
      </c>
    </row>
    <row r="1689" customFormat="false" ht="15" hidden="false" customHeight="false" outlineLevel="0" collapsed="false">
      <c r="A1689" s="33"/>
      <c r="B1689" s="27"/>
      <c r="C1689" s="27"/>
      <c r="D1689" s="27"/>
      <c r="E1689" s="27"/>
      <c r="F1689" s="34"/>
      <c r="G1689" s="27"/>
      <c r="H1689" s="27"/>
      <c r="I1689" s="28" t="str">
        <f aca="false">IF(C1689="","",IFERROR(INDEX(Settings!$C$8:$C$19,MATCH(C1689,Settings!$B$8:$B$19,0)),"?"))</f>
        <v/>
      </c>
      <c r="J1689" s="28" t="str">
        <f aca="false">IF(G1689="","",IFERROR(INDEX(Settings!$C$8:$C$19,MATCH(G1689,Settings!$B$8:$B$19,0)),"?"))</f>
        <v/>
      </c>
      <c r="K1689" s="35" t="str">
        <f aca="false">IF(A1689="","",DATE(YEAR(A1689),MONTH(A1689),1))</f>
        <v/>
      </c>
      <c r="L1689" s="28" t="str">
        <f aca="false">IF(E1689="","",IFERROR(INDEX(Settings!$K$8:$K$38,MATCH(E1689,Settings!$H$8:$H$38,0))&amp;"",""))</f>
        <v/>
      </c>
    </row>
    <row r="1690" customFormat="false" ht="15" hidden="false" customHeight="false" outlineLevel="0" collapsed="false">
      <c r="A1690" s="33"/>
      <c r="B1690" s="27"/>
      <c r="C1690" s="27"/>
      <c r="D1690" s="27"/>
      <c r="E1690" s="27"/>
      <c r="F1690" s="34"/>
      <c r="G1690" s="27"/>
      <c r="H1690" s="27"/>
      <c r="I1690" s="28" t="str">
        <f aca="false">IF(C1690="","",IFERROR(INDEX(Settings!$C$8:$C$19,MATCH(C1690,Settings!$B$8:$B$19,0)),"?"))</f>
        <v/>
      </c>
      <c r="J1690" s="28" t="str">
        <f aca="false">IF(G1690="","",IFERROR(INDEX(Settings!$C$8:$C$19,MATCH(G1690,Settings!$B$8:$B$19,0)),"?"))</f>
        <v/>
      </c>
      <c r="K1690" s="35" t="str">
        <f aca="false">IF(A1690="","",DATE(YEAR(A1690),MONTH(A1690),1))</f>
        <v/>
      </c>
      <c r="L1690" s="28" t="str">
        <f aca="false">IF(E1690="","",IFERROR(INDEX(Settings!$K$8:$K$38,MATCH(E1690,Settings!$H$8:$H$38,0))&amp;"",""))</f>
        <v/>
      </c>
    </row>
    <row r="1691" customFormat="false" ht="15" hidden="false" customHeight="false" outlineLevel="0" collapsed="false">
      <c r="A1691" s="33"/>
      <c r="B1691" s="27"/>
      <c r="C1691" s="27"/>
      <c r="D1691" s="27"/>
      <c r="E1691" s="27"/>
      <c r="F1691" s="34"/>
      <c r="G1691" s="27"/>
      <c r="H1691" s="27"/>
      <c r="I1691" s="28" t="str">
        <f aca="false">IF(C1691="","",IFERROR(INDEX(Settings!$C$8:$C$19,MATCH(C1691,Settings!$B$8:$B$19,0)),"?"))</f>
        <v/>
      </c>
      <c r="J1691" s="28" t="str">
        <f aca="false">IF(G1691="","",IFERROR(INDEX(Settings!$C$8:$C$19,MATCH(G1691,Settings!$B$8:$B$19,0)),"?"))</f>
        <v/>
      </c>
      <c r="K1691" s="35" t="str">
        <f aca="false">IF(A1691="","",DATE(YEAR(A1691),MONTH(A1691),1))</f>
        <v/>
      </c>
      <c r="L1691" s="28" t="str">
        <f aca="false">IF(E1691="","",IFERROR(INDEX(Settings!$K$8:$K$38,MATCH(E1691,Settings!$H$8:$H$38,0))&amp;"",""))</f>
        <v/>
      </c>
    </row>
    <row r="1692" customFormat="false" ht="15" hidden="false" customHeight="false" outlineLevel="0" collapsed="false">
      <c r="A1692" s="33"/>
      <c r="B1692" s="27"/>
      <c r="C1692" s="27"/>
      <c r="D1692" s="27"/>
      <c r="E1692" s="27"/>
      <c r="F1692" s="34"/>
      <c r="G1692" s="27"/>
      <c r="H1692" s="27"/>
      <c r="I1692" s="28" t="str">
        <f aca="false">IF(C1692="","",IFERROR(INDEX(Settings!$C$8:$C$19,MATCH(C1692,Settings!$B$8:$B$19,0)),"?"))</f>
        <v/>
      </c>
      <c r="J1692" s="28" t="str">
        <f aca="false">IF(G1692="","",IFERROR(INDEX(Settings!$C$8:$C$19,MATCH(G1692,Settings!$B$8:$B$19,0)),"?"))</f>
        <v/>
      </c>
      <c r="K1692" s="35" t="str">
        <f aca="false">IF(A1692="","",DATE(YEAR(A1692),MONTH(A1692),1))</f>
        <v/>
      </c>
      <c r="L1692" s="28" t="str">
        <f aca="false">IF(E1692="","",IFERROR(INDEX(Settings!$K$8:$K$38,MATCH(E1692,Settings!$H$8:$H$38,0))&amp;"",""))</f>
        <v/>
      </c>
    </row>
    <row r="1693" customFormat="false" ht="15" hidden="false" customHeight="false" outlineLevel="0" collapsed="false">
      <c r="A1693" s="33"/>
      <c r="B1693" s="27"/>
      <c r="C1693" s="27"/>
      <c r="D1693" s="27"/>
      <c r="E1693" s="27"/>
      <c r="F1693" s="34"/>
      <c r="G1693" s="27"/>
      <c r="H1693" s="27"/>
      <c r="I1693" s="28" t="str">
        <f aca="false">IF(C1693="","",IFERROR(INDEX(Settings!$C$8:$C$19,MATCH(C1693,Settings!$B$8:$B$19,0)),"?"))</f>
        <v/>
      </c>
      <c r="J1693" s="28" t="str">
        <f aca="false">IF(G1693="","",IFERROR(INDEX(Settings!$C$8:$C$19,MATCH(G1693,Settings!$B$8:$B$19,0)),"?"))</f>
        <v/>
      </c>
      <c r="K1693" s="35" t="str">
        <f aca="false">IF(A1693="","",DATE(YEAR(A1693),MONTH(A1693),1))</f>
        <v/>
      </c>
      <c r="L1693" s="28" t="str">
        <f aca="false">IF(E1693="","",IFERROR(INDEX(Settings!$K$8:$K$38,MATCH(E1693,Settings!$H$8:$H$38,0))&amp;"",""))</f>
        <v/>
      </c>
    </row>
    <row r="1694" customFormat="false" ht="15" hidden="false" customHeight="false" outlineLevel="0" collapsed="false">
      <c r="A1694" s="33"/>
      <c r="B1694" s="27"/>
      <c r="C1694" s="27"/>
      <c r="D1694" s="27"/>
      <c r="E1694" s="27"/>
      <c r="F1694" s="34"/>
      <c r="G1694" s="27"/>
      <c r="H1694" s="27"/>
      <c r="I1694" s="28" t="str">
        <f aca="false">IF(C1694="","",IFERROR(INDEX(Settings!$C$8:$C$19,MATCH(C1694,Settings!$B$8:$B$19,0)),"?"))</f>
        <v/>
      </c>
      <c r="J1694" s="28" t="str">
        <f aca="false">IF(G1694="","",IFERROR(INDEX(Settings!$C$8:$C$19,MATCH(G1694,Settings!$B$8:$B$19,0)),"?"))</f>
        <v/>
      </c>
      <c r="K1694" s="35" t="str">
        <f aca="false">IF(A1694="","",DATE(YEAR(A1694),MONTH(A1694),1))</f>
        <v/>
      </c>
      <c r="L1694" s="28" t="str">
        <f aca="false">IF(E1694="","",IFERROR(INDEX(Settings!$K$8:$K$38,MATCH(E1694,Settings!$H$8:$H$38,0))&amp;"",""))</f>
        <v/>
      </c>
    </row>
    <row r="1695" customFormat="false" ht="15" hidden="false" customHeight="false" outlineLevel="0" collapsed="false">
      <c r="A1695" s="33"/>
      <c r="B1695" s="27"/>
      <c r="C1695" s="27"/>
      <c r="D1695" s="27"/>
      <c r="E1695" s="27"/>
      <c r="F1695" s="34"/>
      <c r="G1695" s="27"/>
      <c r="H1695" s="27"/>
      <c r="I1695" s="28" t="str">
        <f aca="false">IF(C1695="","",IFERROR(INDEX(Settings!$C$8:$C$19,MATCH(C1695,Settings!$B$8:$B$19,0)),"?"))</f>
        <v/>
      </c>
      <c r="J1695" s="28" t="str">
        <f aca="false">IF(G1695="","",IFERROR(INDEX(Settings!$C$8:$C$19,MATCH(G1695,Settings!$B$8:$B$19,0)),"?"))</f>
        <v/>
      </c>
      <c r="K1695" s="35" t="str">
        <f aca="false">IF(A1695="","",DATE(YEAR(A1695),MONTH(A1695),1))</f>
        <v/>
      </c>
      <c r="L1695" s="28" t="str">
        <f aca="false">IF(E1695="","",IFERROR(INDEX(Settings!$K$8:$K$38,MATCH(E1695,Settings!$H$8:$H$38,0))&amp;"",""))</f>
        <v/>
      </c>
    </row>
    <row r="1696" customFormat="false" ht="15" hidden="false" customHeight="false" outlineLevel="0" collapsed="false">
      <c r="A1696" s="33"/>
      <c r="B1696" s="27"/>
      <c r="C1696" s="27"/>
      <c r="D1696" s="27"/>
      <c r="E1696" s="27"/>
      <c r="F1696" s="34"/>
      <c r="G1696" s="27"/>
      <c r="H1696" s="27"/>
      <c r="I1696" s="28" t="str">
        <f aca="false">IF(C1696="","",IFERROR(INDEX(Settings!$C$8:$C$19,MATCH(C1696,Settings!$B$8:$B$19,0)),"?"))</f>
        <v/>
      </c>
      <c r="J1696" s="28" t="str">
        <f aca="false">IF(G1696="","",IFERROR(INDEX(Settings!$C$8:$C$19,MATCH(G1696,Settings!$B$8:$B$19,0)),"?"))</f>
        <v/>
      </c>
      <c r="K1696" s="35" t="str">
        <f aca="false">IF(A1696="","",DATE(YEAR(A1696),MONTH(A1696),1))</f>
        <v/>
      </c>
      <c r="L1696" s="28" t="str">
        <f aca="false">IF(E1696="","",IFERROR(INDEX(Settings!$K$8:$K$38,MATCH(E1696,Settings!$H$8:$H$38,0))&amp;"",""))</f>
        <v/>
      </c>
    </row>
    <row r="1697" customFormat="false" ht="15" hidden="false" customHeight="false" outlineLevel="0" collapsed="false">
      <c r="A1697" s="33"/>
      <c r="B1697" s="27"/>
      <c r="C1697" s="27"/>
      <c r="D1697" s="27"/>
      <c r="E1697" s="27"/>
      <c r="F1697" s="34"/>
      <c r="G1697" s="27"/>
      <c r="H1697" s="27"/>
      <c r="I1697" s="28" t="str">
        <f aca="false">IF(C1697="","",IFERROR(INDEX(Settings!$C$8:$C$19,MATCH(C1697,Settings!$B$8:$B$19,0)),"?"))</f>
        <v/>
      </c>
      <c r="J1697" s="28" t="str">
        <f aca="false">IF(G1697="","",IFERROR(INDEX(Settings!$C$8:$C$19,MATCH(G1697,Settings!$B$8:$B$19,0)),"?"))</f>
        <v/>
      </c>
      <c r="K1697" s="35" t="str">
        <f aca="false">IF(A1697="","",DATE(YEAR(A1697),MONTH(A1697),1))</f>
        <v/>
      </c>
      <c r="L1697" s="28" t="str">
        <f aca="false">IF(E1697="","",IFERROR(INDEX(Settings!$K$8:$K$38,MATCH(E1697,Settings!$H$8:$H$38,0))&amp;"",""))</f>
        <v/>
      </c>
    </row>
    <row r="1698" customFormat="false" ht="15" hidden="false" customHeight="false" outlineLevel="0" collapsed="false">
      <c r="A1698" s="33"/>
      <c r="B1698" s="27"/>
      <c r="C1698" s="27"/>
      <c r="D1698" s="27"/>
      <c r="E1698" s="27"/>
      <c r="F1698" s="34"/>
      <c r="G1698" s="27"/>
      <c r="H1698" s="27"/>
      <c r="I1698" s="28" t="str">
        <f aca="false">IF(C1698="","",IFERROR(INDEX(Settings!$C$8:$C$19,MATCH(C1698,Settings!$B$8:$B$19,0)),"?"))</f>
        <v/>
      </c>
      <c r="J1698" s="28" t="str">
        <f aca="false">IF(G1698="","",IFERROR(INDEX(Settings!$C$8:$C$19,MATCH(G1698,Settings!$B$8:$B$19,0)),"?"))</f>
        <v/>
      </c>
      <c r="K1698" s="35" t="str">
        <f aca="false">IF(A1698="","",DATE(YEAR(A1698),MONTH(A1698),1))</f>
        <v/>
      </c>
      <c r="L1698" s="28" t="str">
        <f aca="false">IF(E1698="","",IFERROR(INDEX(Settings!$K$8:$K$38,MATCH(E1698,Settings!$H$8:$H$38,0))&amp;"",""))</f>
        <v/>
      </c>
    </row>
    <row r="1699" customFormat="false" ht="15" hidden="false" customHeight="false" outlineLevel="0" collapsed="false">
      <c r="A1699" s="33"/>
      <c r="B1699" s="27"/>
      <c r="C1699" s="27"/>
      <c r="D1699" s="27"/>
      <c r="E1699" s="27"/>
      <c r="F1699" s="34"/>
      <c r="G1699" s="27"/>
      <c r="H1699" s="27"/>
      <c r="I1699" s="28" t="str">
        <f aca="false">IF(C1699="","",IFERROR(INDEX(Settings!$C$8:$C$19,MATCH(C1699,Settings!$B$8:$B$19,0)),"?"))</f>
        <v/>
      </c>
      <c r="J1699" s="28" t="str">
        <f aca="false">IF(G1699="","",IFERROR(INDEX(Settings!$C$8:$C$19,MATCH(G1699,Settings!$B$8:$B$19,0)),"?"))</f>
        <v/>
      </c>
      <c r="K1699" s="35" t="str">
        <f aca="false">IF(A1699="","",DATE(YEAR(A1699),MONTH(A1699),1))</f>
        <v/>
      </c>
      <c r="L1699" s="28" t="str">
        <f aca="false">IF(E1699="","",IFERROR(INDEX(Settings!$K$8:$K$38,MATCH(E1699,Settings!$H$8:$H$38,0))&amp;"",""))</f>
        <v/>
      </c>
    </row>
    <row r="1700" customFormat="false" ht="15" hidden="false" customHeight="false" outlineLevel="0" collapsed="false">
      <c r="A1700" s="33"/>
      <c r="B1700" s="27"/>
      <c r="C1700" s="27"/>
      <c r="D1700" s="27"/>
      <c r="E1700" s="27"/>
      <c r="F1700" s="34"/>
      <c r="G1700" s="27"/>
      <c r="H1700" s="27"/>
      <c r="I1700" s="28" t="str">
        <f aca="false">IF(C1700="","",IFERROR(INDEX(Settings!$C$8:$C$19,MATCH(C1700,Settings!$B$8:$B$19,0)),"?"))</f>
        <v/>
      </c>
      <c r="J1700" s="28" t="str">
        <f aca="false">IF(G1700="","",IFERROR(INDEX(Settings!$C$8:$C$19,MATCH(G1700,Settings!$B$8:$B$19,0)),"?"))</f>
        <v/>
      </c>
      <c r="K1700" s="35" t="str">
        <f aca="false">IF(A1700="","",DATE(YEAR(A1700),MONTH(A1700),1))</f>
        <v/>
      </c>
      <c r="L1700" s="28" t="str">
        <f aca="false">IF(E1700="","",IFERROR(INDEX(Settings!$K$8:$K$38,MATCH(E1700,Settings!$H$8:$H$38,0))&amp;"",""))</f>
        <v/>
      </c>
    </row>
    <row r="1701" customFormat="false" ht="15" hidden="false" customHeight="false" outlineLevel="0" collapsed="false">
      <c r="A1701" s="33"/>
      <c r="B1701" s="27"/>
      <c r="C1701" s="27"/>
      <c r="D1701" s="27"/>
      <c r="E1701" s="27"/>
      <c r="F1701" s="34"/>
      <c r="G1701" s="27"/>
      <c r="H1701" s="27"/>
      <c r="I1701" s="28" t="str">
        <f aca="false">IF(C1701="","",IFERROR(INDEX(Settings!$C$8:$C$19,MATCH(C1701,Settings!$B$8:$B$19,0)),"?"))</f>
        <v/>
      </c>
      <c r="J1701" s="28" t="str">
        <f aca="false">IF(G1701="","",IFERROR(INDEX(Settings!$C$8:$C$19,MATCH(G1701,Settings!$B$8:$B$19,0)),"?"))</f>
        <v/>
      </c>
      <c r="K1701" s="35" t="str">
        <f aca="false">IF(A1701="","",DATE(YEAR(A1701),MONTH(A1701),1))</f>
        <v/>
      </c>
      <c r="L1701" s="28" t="str">
        <f aca="false">IF(E1701="","",IFERROR(INDEX(Settings!$K$8:$K$38,MATCH(E1701,Settings!$H$8:$H$38,0))&amp;"",""))</f>
        <v/>
      </c>
    </row>
    <row r="1702" customFormat="false" ht="15" hidden="false" customHeight="false" outlineLevel="0" collapsed="false">
      <c r="A1702" s="33"/>
      <c r="B1702" s="27"/>
      <c r="C1702" s="27"/>
      <c r="D1702" s="27"/>
      <c r="E1702" s="27"/>
      <c r="F1702" s="34"/>
      <c r="G1702" s="27"/>
      <c r="H1702" s="27"/>
      <c r="I1702" s="28" t="str">
        <f aca="false">IF(C1702="","",IFERROR(INDEX(Settings!$C$8:$C$19,MATCH(C1702,Settings!$B$8:$B$19,0)),"?"))</f>
        <v/>
      </c>
      <c r="J1702" s="28" t="str">
        <f aca="false">IF(G1702="","",IFERROR(INDEX(Settings!$C$8:$C$19,MATCH(G1702,Settings!$B$8:$B$19,0)),"?"))</f>
        <v/>
      </c>
      <c r="K1702" s="35" t="str">
        <f aca="false">IF(A1702="","",DATE(YEAR(A1702),MONTH(A1702),1))</f>
        <v/>
      </c>
      <c r="L1702" s="28" t="str">
        <f aca="false">IF(E1702="","",IFERROR(INDEX(Settings!$K$8:$K$38,MATCH(E1702,Settings!$H$8:$H$38,0))&amp;"",""))</f>
        <v/>
      </c>
    </row>
    <row r="1703" customFormat="false" ht="15" hidden="false" customHeight="false" outlineLevel="0" collapsed="false">
      <c r="A1703" s="33"/>
      <c r="B1703" s="27"/>
      <c r="C1703" s="27"/>
      <c r="D1703" s="27"/>
      <c r="E1703" s="27"/>
      <c r="F1703" s="34"/>
      <c r="G1703" s="27"/>
      <c r="H1703" s="27"/>
      <c r="I1703" s="28" t="str">
        <f aca="false">IF(C1703="","",IFERROR(INDEX(Settings!$C$8:$C$19,MATCH(C1703,Settings!$B$8:$B$19,0)),"?"))</f>
        <v/>
      </c>
      <c r="J1703" s="28" t="str">
        <f aca="false">IF(G1703="","",IFERROR(INDEX(Settings!$C$8:$C$19,MATCH(G1703,Settings!$B$8:$B$19,0)),"?"))</f>
        <v/>
      </c>
      <c r="K1703" s="35" t="str">
        <f aca="false">IF(A1703="","",DATE(YEAR(A1703),MONTH(A1703),1))</f>
        <v/>
      </c>
      <c r="L1703" s="28" t="str">
        <f aca="false">IF(E1703="","",IFERROR(INDEX(Settings!$K$8:$K$38,MATCH(E1703,Settings!$H$8:$H$38,0))&amp;"",""))</f>
        <v/>
      </c>
    </row>
    <row r="1704" customFormat="false" ht="15" hidden="false" customHeight="false" outlineLevel="0" collapsed="false">
      <c r="A1704" s="33"/>
      <c r="B1704" s="27"/>
      <c r="C1704" s="27"/>
      <c r="D1704" s="27"/>
      <c r="E1704" s="27"/>
      <c r="F1704" s="34"/>
      <c r="G1704" s="27"/>
      <c r="H1704" s="27"/>
      <c r="I1704" s="28" t="str">
        <f aca="false">IF(C1704="","",IFERROR(INDEX(Settings!$C$8:$C$19,MATCH(C1704,Settings!$B$8:$B$19,0)),"?"))</f>
        <v/>
      </c>
      <c r="J1704" s="28" t="str">
        <f aca="false">IF(G1704="","",IFERROR(INDEX(Settings!$C$8:$C$19,MATCH(G1704,Settings!$B$8:$B$19,0)),"?"))</f>
        <v/>
      </c>
      <c r="K1704" s="35" t="str">
        <f aca="false">IF(A1704="","",DATE(YEAR(A1704),MONTH(A1704),1))</f>
        <v/>
      </c>
      <c r="L1704" s="28" t="str">
        <f aca="false">IF(E1704="","",IFERROR(INDEX(Settings!$K$8:$K$38,MATCH(E1704,Settings!$H$8:$H$38,0))&amp;"",""))</f>
        <v/>
      </c>
    </row>
    <row r="1705" customFormat="false" ht="15" hidden="false" customHeight="false" outlineLevel="0" collapsed="false">
      <c r="A1705" s="33"/>
      <c r="B1705" s="27"/>
      <c r="C1705" s="27"/>
      <c r="D1705" s="27"/>
      <c r="E1705" s="27"/>
      <c r="F1705" s="34"/>
      <c r="G1705" s="27"/>
      <c r="H1705" s="27"/>
      <c r="I1705" s="28" t="str">
        <f aca="false">IF(C1705="","",IFERROR(INDEX(Settings!$C$8:$C$19,MATCH(C1705,Settings!$B$8:$B$19,0)),"?"))</f>
        <v/>
      </c>
      <c r="J1705" s="28" t="str">
        <f aca="false">IF(G1705="","",IFERROR(INDEX(Settings!$C$8:$C$19,MATCH(G1705,Settings!$B$8:$B$19,0)),"?"))</f>
        <v/>
      </c>
      <c r="K1705" s="35" t="str">
        <f aca="false">IF(A1705="","",DATE(YEAR(A1705),MONTH(A1705),1))</f>
        <v/>
      </c>
      <c r="L1705" s="28" t="str">
        <f aca="false">IF(E1705="","",IFERROR(INDEX(Settings!$K$8:$K$38,MATCH(E1705,Settings!$H$8:$H$38,0))&amp;"",""))</f>
        <v/>
      </c>
    </row>
    <row r="1706" customFormat="false" ht="15" hidden="false" customHeight="false" outlineLevel="0" collapsed="false">
      <c r="A1706" s="33"/>
      <c r="B1706" s="27"/>
      <c r="C1706" s="27"/>
      <c r="D1706" s="27"/>
      <c r="E1706" s="27"/>
      <c r="F1706" s="34"/>
      <c r="G1706" s="27"/>
      <c r="H1706" s="27"/>
      <c r="I1706" s="28" t="str">
        <f aca="false">IF(C1706="","",IFERROR(INDEX(Settings!$C$8:$C$19,MATCH(C1706,Settings!$B$8:$B$19,0)),"?"))</f>
        <v/>
      </c>
      <c r="J1706" s="28" t="str">
        <f aca="false">IF(G1706="","",IFERROR(INDEX(Settings!$C$8:$C$19,MATCH(G1706,Settings!$B$8:$B$19,0)),"?"))</f>
        <v/>
      </c>
      <c r="K1706" s="35" t="str">
        <f aca="false">IF(A1706="","",DATE(YEAR(A1706),MONTH(A1706),1))</f>
        <v/>
      </c>
      <c r="L1706" s="28" t="str">
        <f aca="false">IF(E1706="","",IFERROR(INDEX(Settings!$K$8:$K$38,MATCH(E1706,Settings!$H$8:$H$38,0))&amp;"",""))</f>
        <v/>
      </c>
    </row>
    <row r="1707" customFormat="false" ht="15" hidden="false" customHeight="false" outlineLevel="0" collapsed="false">
      <c r="A1707" s="33"/>
      <c r="B1707" s="27"/>
      <c r="C1707" s="27"/>
      <c r="D1707" s="27"/>
      <c r="E1707" s="27"/>
      <c r="F1707" s="34"/>
      <c r="G1707" s="27"/>
      <c r="H1707" s="27"/>
      <c r="I1707" s="28" t="str">
        <f aca="false">IF(C1707="","",IFERROR(INDEX(Settings!$C$8:$C$19,MATCH(C1707,Settings!$B$8:$B$19,0)),"?"))</f>
        <v/>
      </c>
      <c r="J1707" s="28" t="str">
        <f aca="false">IF(G1707="","",IFERROR(INDEX(Settings!$C$8:$C$19,MATCH(G1707,Settings!$B$8:$B$19,0)),"?"))</f>
        <v/>
      </c>
      <c r="K1707" s="35" t="str">
        <f aca="false">IF(A1707="","",DATE(YEAR(A1707),MONTH(A1707),1))</f>
        <v/>
      </c>
      <c r="L1707" s="28" t="str">
        <f aca="false">IF(E1707="","",IFERROR(INDEX(Settings!$K$8:$K$38,MATCH(E1707,Settings!$H$8:$H$38,0))&amp;"",""))</f>
        <v/>
      </c>
    </row>
    <row r="1708" customFormat="false" ht="15" hidden="false" customHeight="false" outlineLevel="0" collapsed="false">
      <c r="A1708" s="33"/>
      <c r="B1708" s="27"/>
      <c r="C1708" s="27"/>
      <c r="D1708" s="27"/>
      <c r="E1708" s="27"/>
      <c r="F1708" s="34"/>
      <c r="G1708" s="27"/>
      <c r="H1708" s="27"/>
      <c r="I1708" s="28" t="str">
        <f aca="false">IF(C1708="","",IFERROR(INDEX(Settings!$C$8:$C$19,MATCH(C1708,Settings!$B$8:$B$19,0)),"?"))</f>
        <v/>
      </c>
      <c r="J1708" s="28" t="str">
        <f aca="false">IF(G1708="","",IFERROR(INDEX(Settings!$C$8:$C$19,MATCH(G1708,Settings!$B$8:$B$19,0)),"?"))</f>
        <v/>
      </c>
      <c r="K1708" s="35" t="str">
        <f aca="false">IF(A1708="","",DATE(YEAR(A1708),MONTH(A1708),1))</f>
        <v/>
      </c>
      <c r="L1708" s="28" t="str">
        <f aca="false">IF(E1708="","",IFERROR(INDEX(Settings!$K$8:$K$38,MATCH(E1708,Settings!$H$8:$H$38,0))&amp;"",""))</f>
        <v/>
      </c>
    </row>
    <row r="1709" customFormat="false" ht="15" hidden="false" customHeight="false" outlineLevel="0" collapsed="false">
      <c r="A1709" s="33"/>
      <c r="B1709" s="27"/>
      <c r="C1709" s="27"/>
      <c r="D1709" s="27"/>
      <c r="E1709" s="27"/>
      <c r="F1709" s="34"/>
      <c r="G1709" s="27"/>
      <c r="H1709" s="27"/>
      <c r="I1709" s="28" t="str">
        <f aca="false">IF(C1709="","",IFERROR(INDEX(Settings!$C$8:$C$19,MATCH(C1709,Settings!$B$8:$B$19,0)),"?"))</f>
        <v/>
      </c>
      <c r="J1709" s="28" t="str">
        <f aca="false">IF(G1709="","",IFERROR(INDEX(Settings!$C$8:$C$19,MATCH(G1709,Settings!$B$8:$B$19,0)),"?"))</f>
        <v/>
      </c>
      <c r="K1709" s="35" t="str">
        <f aca="false">IF(A1709="","",DATE(YEAR(A1709),MONTH(A1709),1))</f>
        <v/>
      </c>
      <c r="L1709" s="28" t="str">
        <f aca="false">IF(E1709="","",IFERROR(INDEX(Settings!$K$8:$K$38,MATCH(E1709,Settings!$H$8:$H$38,0))&amp;"",""))</f>
        <v/>
      </c>
    </row>
    <row r="1710" customFormat="false" ht="15" hidden="false" customHeight="false" outlineLevel="0" collapsed="false">
      <c r="A1710" s="33"/>
      <c r="B1710" s="27"/>
      <c r="C1710" s="27"/>
      <c r="D1710" s="27"/>
      <c r="E1710" s="27"/>
      <c r="F1710" s="34"/>
      <c r="G1710" s="27"/>
      <c r="H1710" s="27"/>
      <c r="I1710" s="28" t="str">
        <f aca="false">IF(C1710="","",IFERROR(INDEX(Settings!$C$8:$C$19,MATCH(C1710,Settings!$B$8:$B$19,0)),"?"))</f>
        <v/>
      </c>
      <c r="J1710" s="28" t="str">
        <f aca="false">IF(G1710="","",IFERROR(INDEX(Settings!$C$8:$C$19,MATCH(G1710,Settings!$B$8:$B$19,0)),"?"))</f>
        <v/>
      </c>
      <c r="K1710" s="35" t="str">
        <f aca="false">IF(A1710="","",DATE(YEAR(A1710),MONTH(A1710),1))</f>
        <v/>
      </c>
      <c r="L1710" s="28" t="str">
        <f aca="false">IF(E1710="","",IFERROR(INDEX(Settings!$K$8:$K$38,MATCH(E1710,Settings!$H$8:$H$38,0))&amp;"",""))</f>
        <v/>
      </c>
    </row>
    <row r="1711" customFormat="false" ht="15" hidden="false" customHeight="false" outlineLevel="0" collapsed="false">
      <c r="A1711" s="33"/>
      <c r="B1711" s="27"/>
      <c r="C1711" s="27"/>
      <c r="D1711" s="27"/>
      <c r="E1711" s="27"/>
      <c r="F1711" s="34"/>
      <c r="G1711" s="27"/>
      <c r="H1711" s="27"/>
      <c r="I1711" s="28" t="str">
        <f aca="false">IF(C1711="","",IFERROR(INDEX(Settings!$C$8:$C$19,MATCH(C1711,Settings!$B$8:$B$19,0)),"?"))</f>
        <v/>
      </c>
      <c r="J1711" s="28" t="str">
        <f aca="false">IF(G1711="","",IFERROR(INDEX(Settings!$C$8:$C$19,MATCH(G1711,Settings!$B$8:$B$19,0)),"?"))</f>
        <v/>
      </c>
      <c r="K1711" s="35" t="str">
        <f aca="false">IF(A1711="","",DATE(YEAR(A1711),MONTH(A1711),1))</f>
        <v/>
      </c>
      <c r="L1711" s="28" t="str">
        <f aca="false">IF(E1711="","",IFERROR(INDEX(Settings!$K$8:$K$38,MATCH(E1711,Settings!$H$8:$H$38,0))&amp;"",""))</f>
        <v/>
      </c>
    </row>
    <row r="1712" customFormat="false" ht="15" hidden="false" customHeight="false" outlineLevel="0" collapsed="false">
      <c r="A1712" s="33"/>
      <c r="B1712" s="27"/>
      <c r="C1712" s="27"/>
      <c r="D1712" s="27"/>
      <c r="E1712" s="27"/>
      <c r="F1712" s="34"/>
      <c r="G1712" s="27"/>
      <c r="H1712" s="27"/>
      <c r="I1712" s="28" t="str">
        <f aca="false">IF(C1712="","",IFERROR(INDEX(Settings!$C$8:$C$19,MATCH(C1712,Settings!$B$8:$B$19,0)),"?"))</f>
        <v/>
      </c>
      <c r="J1712" s="28" t="str">
        <f aca="false">IF(G1712="","",IFERROR(INDEX(Settings!$C$8:$C$19,MATCH(G1712,Settings!$B$8:$B$19,0)),"?"))</f>
        <v/>
      </c>
      <c r="K1712" s="35" t="str">
        <f aca="false">IF(A1712="","",DATE(YEAR(A1712),MONTH(A1712),1))</f>
        <v/>
      </c>
      <c r="L1712" s="28" t="str">
        <f aca="false">IF(E1712="","",IFERROR(INDEX(Settings!$K$8:$K$38,MATCH(E1712,Settings!$H$8:$H$38,0))&amp;"",""))</f>
        <v/>
      </c>
    </row>
    <row r="1713" customFormat="false" ht="15" hidden="false" customHeight="false" outlineLevel="0" collapsed="false">
      <c r="A1713" s="33"/>
      <c r="B1713" s="27"/>
      <c r="C1713" s="27"/>
      <c r="D1713" s="27"/>
      <c r="E1713" s="27"/>
      <c r="F1713" s="34"/>
      <c r="G1713" s="27"/>
      <c r="H1713" s="27"/>
      <c r="I1713" s="28" t="str">
        <f aca="false">IF(C1713="","",IFERROR(INDEX(Settings!$C$8:$C$19,MATCH(C1713,Settings!$B$8:$B$19,0)),"?"))</f>
        <v/>
      </c>
      <c r="J1713" s="28" t="str">
        <f aca="false">IF(G1713="","",IFERROR(INDEX(Settings!$C$8:$C$19,MATCH(G1713,Settings!$B$8:$B$19,0)),"?"))</f>
        <v/>
      </c>
      <c r="K1713" s="35" t="str">
        <f aca="false">IF(A1713="","",DATE(YEAR(A1713),MONTH(A1713),1))</f>
        <v/>
      </c>
      <c r="L1713" s="28" t="str">
        <f aca="false">IF(E1713="","",IFERROR(INDEX(Settings!$K$8:$K$38,MATCH(E1713,Settings!$H$8:$H$38,0))&amp;"",""))</f>
        <v/>
      </c>
    </row>
    <row r="1714" customFormat="false" ht="15" hidden="false" customHeight="false" outlineLevel="0" collapsed="false">
      <c r="A1714" s="33"/>
      <c r="B1714" s="27"/>
      <c r="C1714" s="27"/>
      <c r="D1714" s="27"/>
      <c r="E1714" s="27"/>
      <c r="F1714" s="34"/>
      <c r="G1714" s="27"/>
      <c r="H1714" s="27"/>
      <c r="I1714" s="28" t="str">
        <f aca="false">IF(C1714="","",IFERROR(INDEX(Settings!$C$8:$C$19,MATCH(C1714,Settings!$B$8:$B$19,0)),"?"))</f>
        <v/>
      </c>
      <c r="J1714" s="28" t="str">
        <f aca="false">IF(G1714="","",IFERROR(INDEX(Settings!$C$8:$C$19,MATCH(G1714,Settings!$B$8:$B$19,0)),"?"))</f>
        <v/>
      </c>
      <c r="K1714" s="35" t="str">
        <f aca="false">IF(A1714="","",DATE(YEAR(A1714),MONTH(A1714),1))</f>
        <v/>
      </c>
      <c r="L1714" s="28" t="str">
        <f aca="false">IF(E1714="","",IFERROR(INDEX(Settings!$K$8:$K$38,MATCH(E1714,Settings!$H$8:$H$38,0))&amp;"",""))</f>
        <v/>
      </c>
    </row>
    <row r="1715" customFormat="false" ht="15" hidden="false" customHeight="false" outlineLevel="0" collapsed="false">
      <c r="A1715" s="33"/>
      <c r="B1715" s="27"/>
      <c r="C1715" s="27"/>
      <c r="D1715" s="27"/>
      <c r="E1715" s="27"/>
      <c r="F1715" s="34"/>
      <c r="G1715" s="27"/>
      <c r="H1715" s="27"/>
      <c r="I1715" s="28" t="str">
        <f aca="false">IF(C1715="","",IFERROR(INDEX(Settings!$C$8:$C$19,MATCH(C1715,Settings!$B$8:$B$19,0)),"?"))</f>
        <v/>
      </c>
      <c r="J1715" s="28" t="str">
        <f aca="false">IF(G1715="","",IFERROR(INDEX(Settings!$C$8:$C$19,MATCH(G1715,Settings!$B$8:$B$19,0)),"?"))</f>
        <v/>
      </c>
      <c r="K1715" s="35" t="str">
        <f aca="false">IF(A1715="","",DATE(YEAR(A1715),MONTH(A1715),1))</f>
        <v/>
      </c>
      <c r="L1715" s="28" t="str">
        <f aca="false">IF(E1715="","",IFERROR(INDEX(Settings!$K$8:$K$38,MATCH(E1715,Settings!$H$8:$H$38,0))&amp;"",""))</f>
        <v/>
      </c>
    </row>
    <row r="1716" customFormat="false" ht="15" hidden="false" customHeight="false" outlineLevel="0" collapsed="false">
      <c r="A1716" s="33"/>
      <c r="B1716" s="27"/>
      <c r="C1716" s="27"/>
      <c r="D1716" s="27"/>
      <c r="E1716" s="27"/>
      <c r="F1716" s="34"/>
      <c r="G1716" s="27"/>
      <c r="H1716" s="27"/>
      <c r="I1716" s="28" t="str">
        <f aca="false">IF(C1716="","",IFERROR(INDEX(Settings!$C$8:$C$19,MATCH(C1716,Settings!$B$8:$B$19,0)),"?"))</f>
        <v/>
      </c>
      <c r="J1716" s="28" t="str">
        <f aca="false">IF(G1716="","",IFERROR(INDEX(Settings!$C$8:$C$19,MATCH(G1716,Settings!$B$8:$B$19,0)),"?"))</f>
        <v/>
      </c>
      <c r="K1716" s="35" t="str">
        <f aca="false">IF(A1716="","",DATE(YEAR(A1716),MONTH(A1716),1))</f>
        <v/>
      </c>
      <c r="L1716" s="28" t="str">
        <f aca="false">IF(E1716="","",IFERROR(INDEX(Settings!$K$8:$K$38,MATCH(E1716,Settings!$H$8:$H$38,0))&amp;"",""))</f>
        <v/>
      </c>
    </row>
    <row r="1717" customFormat="false" ht="15" hidden="false" customHeight="false" outlineLevel="0" collapsed="false">
      <c r="A1717" s="33"/>
      <c r="B1717" s="27"/>
      <c r="C1717" s="27"/>
      <c r="D1717" s="27"/>
      <c r="E1717" s="27"/>
      <c r="F1717" s="34"/>
      <c r="G1717" s="27"/>
      <c r="H1717" s="27"/>
      <c r="I1717" s="28" t="str">
        <f aca="false">IF(C1717="","",IFERROR(INDEX(Settings!$C$8:$C$19,MATCH(C1717,Settings!$B$8:$B$19,0)),"?"))</f>
        <v/>
      </c>
      <c r="J1717" s="28" t="str">
        <f aca="false">IF(G1717="","",IFERROR(INDEX(Settings!$C$8:$C$19,MATCH(G1717,Settings!$B$8:$B$19,0)),"?"))</f>
        <v/>
      </c>
      <c r="K1717" s="35" t="str">
        <f aca="false">IF(A1717="","",DATE(YEAR(A1717),MONTH(A1717),1))</f>
        <v/>
      </c>
      <c r="L1717" s="28" t="str">
        <f aca="false">IF(E1717="","",IFERROR(INDEX(Settings!$K$8:$K$38,MATCH(E1717,Settings!$H$8:$H$38,0))&amp;"",""))</f>
        <v/>
      </c>
    </row>
    <row r="1718" customFormat="false" ht="15" hidden="false" customHeight="false" outlineLevel="0" collapsed="false">
      <c r="A1718" s="33"/>
      <c r="B1718" s="27"/>
      <c r="C1718" s="27"/>
      <c r="D1718" s="27"/>
      <c r="E1718" s="27"/>
      <c r="F1718" s="34"/>
      <c r="G1718" s="27"/>
      <c r="H1718" s="27"/>
      <c r="I1718" s="28" t="str">
        <f aca="false">IF(C1718="","",IFERROR(INDEX(Settings!$C$8:$C$19,MATCH(C1718,Settings!$B$8:$B$19,0)),"?"))</f>
        <v/>
      </c>
      <c r="J1718" s="28" t="str">
        <f aca="false">IF(G1718="","",IFERROR(INDEX(Settings!$C$8:$C$19,MATCH(G1718,Settings!$B$8:$B$19,0)),"?"))</f>
        <v/>
      </c>
      <c r="K1718" s="35" t="str">
        <f aca="false">IF(A1718="","",DATE(YEAR(A1718),MONTH(A1718),1))</f>
        <v/>
      </c>
      <c r="L1718" s="28" t="str">
        <f aca="false">IF(E1718="","",IFERROR(INDEX(Settings!$K$8:$K$38,MATCH(E1718,Settings!$H$8:$H$38,0))&amp;"",""))</f>
        <v/>
      </c>
    </row>
    <row r="1719" customFormat="false" ht="15" hidden="false" customHeight="false" outlineLevel="0" collapsed="false">
      <c r="A1719" s="33"/>
      <c r="B1719" s="27"/>
      <c r="C1719" s="27"/>
      <c r="D1719" s="27"/>
      <c r="E1719" s="27"/>
      <c r="F1719" s="34"/>
      <c r="G1719" s="27"/>
      <c r="H1719" s="27"/>
      <c r="I1719" s="28" t="str">
        <f aca="false">IF(C1719="","",IFERROR(INDEX(Settings!$C$8:$C$19,MATCH(C1719,Settings!$B$8:$B$19,0)),"?"))</f>
        <v/>
      </c>
      <c r="J1719" s="28" t="str">
        <f aca="false">IF(G1719="","",IFERROR(INDEX(Settings!$C$8:$C$19,MATCH(G1719,Settings!$B$8:$B$19,0)),"?"))</f>
        <v/>
      </c>
      <c r="K1719" s="35" t="str">
        <f aca="false">IF(A1719="","",DATE(YEAR(A1719),MONTH(A1719),1))</f>
        <v/>
      </c>
      <c r="L1719" s="28" t="str">
        <f aca="false">IF(E1719="","",IFERROR(INDEX(Settings!$K$8:$K$38,MATCH(E1719,Settings!$H$8:$H$38,0))&amp;"",""))</f>
        <v/>
      </c>
    </row>
    <row r="1720" customFormat="false" ht="15" hidden="false" customHeight="false" outlineLevel="0" collapsed="false">
      <c r="A1720" s="33"/>
      <c r="B1720" s="27"/>
      <c r="C1720" s="27"/>
      <c r="D1720" s="27"/>
      <c r="E1720" s="27"/>
      <c r="F1720" s="34"/>
      <c r="G1720" s="27"/>
      <c r="H1720" s="27"/>
      <c r="I1720" s="28" t="str">
        <f aca="false">IF(C1720="","",IFERROR(INDEX(Settings!$C$8:$C$19,MATCH(C1720,Settings!$B$8:$B$19,0)),"?"))</f>
        <v/>
      </c>
      <c r="J1720" s="28" t="str">
        <f aca="false">IF(G1720="","",IFERROR(INDEX(Settings!$C$8:$C$19,MATCH(G1720,Settings!$B$8:$B$19,0)),"?"))</f>
        <v/>
      </c>
      <c r="K1720" s="35" t="str">
        <f aca="false">IF(A1720="","",DATE(YEAR(A1720),MONTH(A1720),1))</f>
        <v/>
      </c>
      <c r="L1720" s="28" t="str">
        <f aca="false">IF(E1720="","",IFERROR(INDEX(Settings!$K$8:$K$38,MATCH(E1720,Settings!$H$8:$H$38,0))&amp;"",""))</f>
        <v/>
      </c>
    </row>
    <row r="1721" customFormat="false" ht="15" hidden="false" customHeight="false" outlineLevel="0" collapsed="false">
      <c r="A1721" s="33"/>
      <c r="B1721" s="27"/>
      <c r="C1721" s="27"/>
      <c r="D1721" s="27"/>
      <c r="E1721" s="27"/>
      <c r="F1721" s="34"/>
      <c r="G1721" s="27"/>
      <c r="H1721" s="27"/>
      <c r="I1721" s="28" t="str">
        <f aca="false">IF(C1721="","",IFERROR(INDEX(Settings!$C$8:$C$19,MATCH(C1721,Settings!$B$8:$B$19,0)),"?"))</f>
        <v/>
      </c>
      <c r="J1721" s="28" t="str">
        <f aca="false">IF(G1721="","",IFERROR(INDEX(Settings!$C$8:$C$19,MATCH(G1721,Settings!$B$8:$B$19,0)),"?"))</f>
        <v/>
      </c>
      <c r="K1721" s="35" t="str">
        <f aca="false">IF(A1721="","",DATE(YEAR(A1721),MONTH(A1721),1))</f>
        <v/>
      </c>
      <c r="L1721" s="28" t="str">
        <f aca="false">IF(E1721="","",IFERROR(INDEX(Settings!$K$8:$K$38,MATCH(E1721,Settings!$H$8:$H$38,0))&amp;"",""))</f>
        <v/>
      </c>
    </row>
    <row r="1722" customFormat="false" ht="15" hidden="false" customHeight="false" outlineLevel="0" collapsed="false">
      <c r="A1722" s="33"/>
      <c r="B1722" s="27"/>
      <c r="C1722" s="27"/>
      <c r="D1722" s="27"/>
      <c r="E1722" s="27"/>
      <c r="F1722" s="34"/>
      <c r="G1722" s="27"/>
      <c r="H1722" s="27"/>
      <c r="I1722" s="28" t="str">
        <f aca="false">IF(C1722="","",IFERROR(INDEX(Settings!$C$8:$C$19,MATCH(C1722,Settings!$B$8:$B$19,0)),"?"))</f>
        <v/>
      </c>
      <c r="J1722" s="28" t="str">
        <f aca="false">IF(G1722="","",IFERROR(INDEX(Settings!$C$8:$C$19,MATCH(G1722,Settings!$B$8:$B$19,0)),"?"))</f>
        <v/>
      </c>
      <c r="K1722" s="35" t="str">
        <f aca="false">IF(A1722="","",DATE(YEAR(A1722),MONTH(A1722),1))</f>
        <v/>
      </c>
      <c r="L1722" s="28" t="str">
        <f aca="false">IF(E1722="","",IFERROR(INDEX(Settings!$K$8:$K$38,MATCH(E1722,Settings!$H$8:$H$38,0))&amp;"",""))</f>
        <v/>
      </c>
    </row>
    <row r="1723" customFormat="false" ht="15" hidden="false" customHeight="false" outlineLevel="0" collapsed="false">
      <c r="A1723" s="33"/>
      <c r="B1723" s="27"/>
      <c r="C1723" s="27"/>
      <c r="D1723" s="27"/>
      <c r="E1723" s="27"/>
      <c r="F1723" s="34"/>
      <c r="G1723" s="27"/>
      <c r="H1723" s="27"/>
      <c r="I1723" s="28" t="str">
        <f aca="false">IF(C1723="","",IFERROR(INDEX(Settings!$C$8:$C$19,MATCH(C1723,Settings!$B$8:$B$19,0)),"?"))</f>
        <v/>
      </c>
      <c r="J1723" s="28" t="str">
        <f aca="false">IF(G1723="","",IFERROR(INDEX(Settings!$C$8:$C$19,MATCH(G1723,Settings!$B$8:$B$19,0)),"?"))</f>
        <v/>
      </c>
      <c r="K1723" s="35" t="str">
        <f aca="false">IF(A1723="","",DATE(YEAR(A1723),MONTH(A1723),1))</f>
        <v/>
      </c>
      <c r="L1723" s="28" t="str">
        <f aca="false">IF(E1723="","",IFERROR(INDEX(Settings!$K$8:$K$38,MATCH(E1723,Settings!$H$8:$H$38,0))&amp;"",""))</f>
        <v/>
      </c>
    </row>
    <row r="1724" customFormat="false" ht="15" hidden="false" customHeight="false" outlineLevel="0" collapsed="false">
      <c r="A1724" s="33"/>
      <c r="B1724" s="27"/>
      <c r="C1724" s="27"/>
      <c r="D1724" s="27"/>
      <c r="E1724" s="27"/>
      <c r="F1724" s="34"/>
      <c r="G1724" s="27"/>
      <c r="H1724" s="27"/>
      <c r="I1724" s="28" t="str">
        <f aca="false">IF(C1724="","",IFERROR(INDEX(Settings!$C$8:$C$19,MATCH(C1724,Settings!$B$8:$B$19,0)),"?"))</f>
        <v/>
      </c>
      <c r="J1724" s="28" t="str">
        <f aca="false">IF(G1724="","",IFERROR(INDEX(Settings!$C$8:$C$19,MATCH(G1724,Settings!$B$8:$B$19,0)),"?"))</f>
        <v/>
      </c>
      <c r="K1724" s="35" t="str">
        <f aca="false">IF(A1724="","",DATE(YEAR(A1724),MONTH(A1724),1))</f>
        <v/>
      </c>
      <c r="L1724" s="28" t="str">
        <f aca="false">IF(E1724="","",IFERROR(INDEX(Settings!$K$8:$K$38,MATCH(E1724,Settings!$H$8:$H$38,0))&amp;"",""))</f>
        <v/>
      </c>
    </row>
    <row r="1725" customFormat="false" ht="15" hidden="false" customHeight="false" outlineLevel="0" collapsed="false">
      <c r="A1725" s="33"/>
      <c r="B1725" s="27"/>
      <c r="C1725" s="27"/>
      <c r="D1725" s="27"/>
      <c r="E1725" s="27"/>
      <c r="F1725" s="34"/>
      <c r="G1725" s="27"/>
      <c r="H1725" s="27"/>
      <c r="I1725" s="28" t="str">
        <f aca="false">IF(C1725="","",IFERROR(INDEX(Settings!$C$8:$C$19,MATCH(C1725,Settings!$B$8:$B$19,0)),"?"))</f>
        <v/>
      </c>
      <c r="J1725" s="28" t="str">
        <f aca="false">IF(G1725="","",IFERROR(INDEX(Settings!$C$8:$C$19,MATCH(G1725,Settings!$B$8:$B$19,0)),"?"))</f>
        <v/>
      </c>
      <c r="K1725" s="35" t="str">
        <f aca="false">IF(A1725="","",DATE(YEAR(A1725),MONTH(A1725),1))</f>
        <v/>
      </c>
      <c r="L1725" s="28" t="str">
        <f aca="false">IF(E1725="","",IFERROR(INDEX(Settings!$K$8:$K$38,MATCH(E1725,Settings!$H$8:$H$38,0))&amp;"",""))</f>
        <v/>
      </c>
    </row>
    <row r="1726" customFormat="false" ht="15" hidden="false" customHeight="false" outlineLevel="0" collapsed="false">
      <c r="A1726" s="33"/>
      <c r="B1726" s="27"/>
      <c r="C1726" s="27"/>
      <c r="D1726" s="27"/>
      <c r="E1726" s="27"/>
      <c r="F1726" s="34"/>
      <c r="G1726" s="27"/>
      <c r="H1726" s="27"/>
      <c r="I1726" s="28" t="str">
        <f aca="false">IF(C1726="","",IFERROR(INDEX(Settings!$C$8:$C$19,MATCH(C1726,Settings!$B$8:$B$19,0)),"?"))</f>
        <v/>
      </c>
      <c r="J1726" s="28" t="str">
        <f aca="false">IF(G1726="","",IFERROR(INDEX(Settings!$C$8:$C$19,MATCH(G1726,Settings!$B$8:$B$19,0)),"?"))</f>
        <v/>
      </c>
      <c r="K1726" s="35" t="str">
        <f aca="false">IF(A1726="","",DATE(YEAR(A1726),MONTH(A1726),1))</f>
        <v/>
      </c>
      <c r="L1726" s="28" t="str">
        <f aca="false">IF(E1726="","",IFERROR(INDEX(Settings!$K$8:$K$38,MATCH(E1726,Settings!$H$8:$H$38,0))&amp;"",""))</f>
        <v/>
      </c>
    </row>
    <row r="1727" customFormat="false" ht="15" hidden="false" customHeight="false" outlineLevel="0" collapsed="false">
      <c r="A1727" s="33"/>
      <c r="B1727" s="27"/>
      <c r="C1727" s="27"/>
      <c r="D1727" s="27"/>
      <c r="E1727" s="27"/>
      <c r="F1727" s="34"/>
      <c r="G1727" s="27"/>
      <c r="H1727" s="27"/>
      <c r="I1727" s="28" t="str">
        <f aca="false">IF(C1727="","",IFERROR(INDEX(Settings!$C$8:$C$19,MATCH(C1727,Settings!$B$8:$B$19,0)),"?"))</f>
        <v/>
      </c>
      <c r="J1727" s="28" t="str">
        <f aca="false">IF(G1727="","",IFERROR(INDEX(Settings!$C$8:$C$19,MATCH(G1727,Settings!$B$8:$B$19,0)),"?"))</f>
        <v/>
      </c>
      <c r="K1727" s="35" t="str">
        <f aca="false">IF(A1727="","",DATE(YEAR(A1727),MONTH(A1727),1))</f>
        <v/>
      </c>
      <c r="L1727" s="28" t="str">
        <f aca="false">IF(E1727="","",IFERROR(INDEX(Settings!$K$8:$K$38,MATCH(E1727,Settings!$H$8:$H$38,0))&amp;"",""))</f>
        <v/>
      </c>
    </row>
    <row r="1728" customFormat="false" ht="15" hidden="false" customHeight="false" outlineLevel="0" collapsed="false">
      <c r="A1728" s="33"/>
      <c r="B1728" s="27"/>
      <c r="C1728" s="27"/>
      <c r="D1728" s="27"/>
      <c r="E1728" s="27"/>
      <c r="F1728" s="34"/>
      <c r="G1728" s="27"/>
      <c r="H1728" s="27"/>
      <c r="I1728" s="28" t="str">
        <f aca="false">IF(C1728="","",IFERROR(INDEX(Settings!$C$8:$C$19,MATCH(C1728,Settings!$B$8:$B$19,0)),"?"))</f>
        <v/>
      </c>
      <c r="J1728" s="28" t="str">
        <f aca="false">IF(G1728="","",IFERROR(INDEX(Settings!$C$8:$C$19,MATCH(G1728,Settings!$B$8:$B$19,0)),"?"))</f>
        <v/>
      </c>
      <c r="K1728" s="35" t="str">
        <f aca="false">IF(A1728="","",DATE(YEAR(A1728),MONTH(A1728),1))</f>
        <v/>
      </c>
      <c r="L1728" s="28" t="str">
        <f aca="false">IF(E1728="","",IFERROR(INDEX(Settings!$K$8:$K$38,MATCH(E1728,Settings!$H$8:$H$38,0))&amp;"",""))</f>
        <v/>
      </c>
    </row>
    <row r="1729" customFormat="false" ht="15" hidden="false" customHeight="false" outlineLevel="0" collapsed="false">
      <c r="A1729" s="33"/>
      <c r="B1729" s="27"/>
      <c r="C1729" s="27"/>
      <c r="D1729" s="27"/>
      <c r="E1729" s="27"/>
      <c r="F1729" s="34"/>
      <c r="G1729" s="27"/>
      <c r="H1729" s="27"/>
      <c r="I1729" s="28" t="str">
        <f aca="false">IF(C1729="","",IFERROR(INDEX(Settings!$C$8:$C$19,MATCH(C1729,Settings!$B$8:$B$19,0)),"?"))</f>
        <v/>
      </c>
      <c r="J1729" s="28" t="str">
        <f aca="false">IF(G1729="","",IFERROR(INDEX(Settings!$C$8:$C$19,MATCH(G1729,Settings!$B$8:$B$19,0)),"?"))</f>
        <v/>
      </c>
      <c r="K1729" s="35" t="str">
        <f aca="false">IF(A1729="","",DATE(YEAR(A1729),MONTH(A1729),1))</f>
        <v/>
      </c>
      <c r="L1729" s="28" t="str">
        <f aca="false">IF(E1729="","",IFERROR(INDEX(Settings!$K$8:$K$38,MATCH(E1729,Settings!$H$8:$H$38,0))&amp;"",""))</f>
        <v/>
      </c>
    </row>
    <row r="1730" customFormat="false" ht="15" hidden="false" customHeight="false" outlineLevel="0" collapsed="false">
      <c r="A1730" s="33"/>
      <c r="B1730" s="27"/>
      <c r="C1730" s="27"/>
      <c r="D1730" s="27"/>
      <c r="E1730" s="27"/>
      <c r="F1730" s="34"/>
      <c r="G1730" s="27"/>
      <c r="H1730" s="27"/>
      <c r="I1730" s="28" t="str">
        <f aca="false">IF(C1730="","",IFERROR(INDEX(Settings!$C$8:$C$19,MATCH(C1730,Settings!$B$8:$B$19,0)),"?"))</f>
        <v/>
      </c>
      <c r="J1730" s="28" t="str">
        <f aca="false">IF(G1730="","",IFERROR(INDEX(Settings!$C$8:$C$19,MATCH(G1730,Settings!$B$8:$B$19,0)),"?"))</f>
        <v/>
      </c>
      <c r="K1730" s="35" t="str">
        <f aca="false">IF(A1730="","",DATE(YEAR(A1730),MONTH(A1730),1))</f>
        <v/>
      </c>
      <c r="L1730" s="28" t="str">
        <f aca="false">IF(E1730="","",IFERROR(INDEX(Settings!$K$8:$K$38,MATCH(E1730,Settings!$H$8:$H$38,0))&amp;"",""))</f>
        <v/>
      </c>
    </row>
    <row r="1731" customFormat="false" ht="15" hidden="false" customHeight="false" outlineLevel="0" collapsed="false">
      <c r="A1731" s="33"/>
      <c r="B1731" s="27"/>
      <c r="C1731" s="27"/>
      <c r="D1731" s="27"/>
      <c r="E1731" s="27"/>
      <c r="F1731" s="34"/>
      <c r="G1731" s="27"/>
      <c r="H1731" s="27"/>
      <c r="I1731" s="28" t="str">
        <f aca="false">IF(C1731="","",IFERROR(INDEX(Settings!$C$8:$C$19,MATCH(C1731,Settings!$B$8:$B$19,0)),"?"))</f>
        <v/>
      </c>
      <c r="J1731" s="28" t="str">
        <f aca="false">IF(G1731="","",IFERROR(INDEX(Settings!$C$8:$C$19,MATCH(G1731,Settings!$B$8:$B$19,0)),"?"))</f>
        <v/>
      </c>
      <c r="K1731" s="35" t="str">
        <f aca="false">IF(A1731="","",DATE(YEAR(A1731),MONTH(A1731),1))</f>
        <v/>
      </c>
      <c r="L1731" s="28" t="str">
        <f aca="false">IF(E1731="","",IFERROR(INDEX(Settings!$K$8:$K$38,MATCH(E1731,Settings!$H$8:$H$38,0))&amp;"",""))</f>
        <v/>
      </c>
    </row>
    <row r="1732" customFormat="false" ht="15" hidden="false" customHeight="false" outlineLevel="0" collapsed="false">
      <c r="A1732" s="33"/>
      <c r="B1732" s="27"/>
      <c r="C1732" s="27"/>
      <c r="D1732" s="27"/>
      <c r="E1732" s="27"/>
      <c r="F1732" s="34"/>
      <c r="G1732" s="27"/>
      <c r="H1732" s="27"/>
      <c r="I1732" s="28" t="str">
        <f aca="false">IF(C1732="","",IFERROR(INDEX(Settings!$C$8:$C$19,MATCH(C1732,Settings!$B$8:$B$19,0)),"?"))</f>
        <v/>
      </c>
      <c r="J1732" s="28" t="str">
        <f aca="false">IF(G1732="","",IFERROR(INDEX(Settings!$C$8:$C$19,MATCH(G1732,Settings!$B$8:$B$19,0)),"?"))</f>
        <v/>
      </c>
      <c r="K1732" s="35" t="str">
        <f aca="false">IF(A1732="","",DATE(YEAR(A1732),MONTH(A1732),1))</f>
        <v/>
      </c>
      <c r="L1732" s="28" t="str">
        <f aca="false">IF(E1732="","",IFERROR(INDEX(Settings!$K$8:$K$38,MATCH(E1732,Settings!$H$8:$H$38,0))&amp;"",""))</f>
        <v/>
      </c>
    </row>
    <row r="1733" customFormat="false" ht="15" hidden="false" customHeight="false" outlineLevel="0" collapsed="false">
      <c r="A1733" s="33"/>
      <c r="B1733" s="27"/>
      <c r="C1733" s="27"/>
      <c r="D1733" s="27"/>
      <c r="E1733" s="27"/>
      <c r="F1733" s="34"/>
      <c r="G1733" s="27"/>
      <c r="H1733" s="27"/>
      <c r="I1733" s="28" t="str">
        <f aca="false">IF(C1733="","",IFERROR(INDEX(Settings!$C$8:$C$19,MATCH(C1733,Settings!$B$8:$B$19,0)),"?"))</f>
        <v/>
      </c>
      <c r="J1733" s="28" t="str">
        <f aca="false">IF(G1733="","",IFERROR(INDEX(Settings!$C$8:$C$19,MATCH(G1733,Settings!$B$8:$B$19,0)),"?"))</f>
        <v/>
      </c>
      <c r="K1733" s="35" t="str">
        <f aca="false">IF(A1733="","",DATE(YEAR(A1733),MONTH(A1733),1))</f>
        <v/>
      </c>
      <c r="L1733" s="28" t="str">
        <f aca="false">IF(E1733="","",IFERROR(INDEX(Settings!$K$8:$K$38,MATCH(E1733,Settings!$H$8:$H$38,0))&amp;"",""))</f>
        <v/>
      </c>
    </row>
    <row r="1734" customFormat="false" ht="15" hidden="false" customHeight="false" outlineLevel="0" collapsed="false">
      <c r="A1734" s="33"/>
      <c r="B1734" s="27"/>
      <c r="C1734" s="27"/>
      <c r="D1734" s="27"/>
      <c r="E1734" s="27"/>
      <c r="F1734" s="34"/>
      <c r="G1734" s="27"/>
      <c r="H1734" s="27"/>
      <c r="I1734" s="28" t="str">
        <f aca="false">IF(C1734="","",IFERROR(INDEX(Settings!$C$8:$C$19,MATCH(C1734,Settings!$B$8:$B$19,0)),"?"))</f>
        <v/>
      </c>
      <c r="J1734" s="28" t="str">
        <f aca="false">IF(G1734="","",IFERROR(INDEX(Settings!$C$8:$C$19,MATCH(G1734,Settings!$B$8:$B$19,0)),"?"))</f>
        <v/>
      </c>
      <c r="K1734" s="35" t="str">
        <f aca="false">IF(A1734="","",DATE(YEAR(A1734),MONTH(A1734),1))</f>
        <v/>
      </c>
      <c r="L1734" s="28" t="str">
        <f aca="false">IF(E1734="","",IFERROR(INDEX(Settings!$K$8:$K$38,MATCH(E1734,Settings!$H$8:$H$38,0))&amp;"",""))</f>
        <v/>
      </c>
    </row>
    <row r="1735" customFormat="false" ht="15" hidden="false" customHeight="false" outlineLevel="0" collapsed="false">
      <c r="A1735" s="33"/>
      <c r="B1735" s="27"/>
      <c r="C1735" s="27"/>
      <c r="D1735" s="27"/>
      <c r="E1735" s="27"/>
      <c r="F1735" s="34"/>
      <c r="G1735" s="27"/>
      <c r="H1735" s="27"/>
      <c r="I1735" s="28" t="str">
        <f aca="false">IF(C1735="","",IFERROR(INDEX(Settings!$C$8:$C$19,MATCH(C1735,Settings!$B$8:$B$19,0)),"?"))</f>
        <v/>
      </c>
      <c r="J1735" s="28" t="str">
        <f aca="false">IF(G1735="","",IFERROR(INDEX(Settings!$C$8:$C$19,MATCH(G1735,Settings!$B$8:$B$19,0)),"?"))</f>
        <v/>
      </c>
      <c r="K1735" s="35" t="str">
        <f aca="false">IF(A1735="","",DATE(YEAR(A1735),MONTH(A1735),1))</f>
        <v/>
      </c>
      <c r="L1735" s="28" t="str">
        <f aca="false">IF(E1735="","",IFERROR(INDEX(Settings!$K$8:$K$38,MATCH(E1735,Settings!$H$8:$H$38,0))&amp;"",""))</f>
        <v/>
      </c>
    </row>
    <row r="1736" customFormat="false" ht="15" hidden="false" customHeight="false" outlineLevel="0" collapsed="false">
      <c r="A1736" s="33"/>
      <c r="B1736" s="27"/>
      <c r="C1736" s="27"/>
      <c r="D1736" s="27"/>
      <c r="E1736" s="27"/>
      <c r="F1736" s="34"/>
      <c r="G1736" s="27"/>
      <c r="H1736" s="27"/>
      <c r="I1736" s="28" t="str">
        <f aca="false">IF(C1736="","",IFERROR(INDEX(Settings!$C$8:$C$19,MATCH(C1736,Settings!$B$8:$B$19,0)),"?"))</f>
        <v/>
      </c>
      <c r="J1736" s="28" t="str">
        <f aca="false">IF(G1736="","",IFERROR(INDEX(Settings!$C$8:$C$19,MATCH(G1736,Settings!$B$8:$B$19,0)),"?"))</f>
        <v/>
      </c>
      <c r="K1736" s="35" t="str">
        <f aca="false">IF(A1736="","",DATE(YEAR(A1736),MONTH(A1736),1))</f>
        <v/>
      </c>
      <c r="L1736" s="28" t="str">
        <f aca="false">IF(E1736="","",IFERROR(INDEX(Settings!$K$8:$K$38,MATCH(E1736,Settings!$H$8:$H$38,0))&amp;"",""))</f>
        <v/>
      </c>
    </row>
    <row r="1737" customFormat="false" ht="15" hidden="false" customHeight="false" outlineLevel="0" collapsed="false">
      <c r="A1737" s="33"/>
      <c r="B1737" s="27"/>
      <c r="C1737" s="27"/>
      <c r="D1737" s="27"/>
      <c r="E1737" s="27"/>
      <c r="F1737" s="34"/>
      <c r="G1737" s="27"/>
      <c r="H1737" s="27"/>
      <c r="I1737" s="28" t="str">
        <f aca="false">IF(C1737="","",IFERROR(INDEX(Settings!$C$8:$C$19,MATCH(C1737,Settings!$B$8:$B$19,0)),"?"))</f>
        <v/>
      </c>
      <c r="J1737" s="28" t="str">
        <f aca="false">IF(G1737="","",IFERROR(INDEX(Settings!$C$8:$C$19,MATCH(G1737,Settings!$B$8:$B$19,0)),"?"))</f>
        <v/>
      </c>
      <c r="K1737" s="35" t="str">
        <f aca="false">IF(A1737="","",DATE(YEAR(A1737),MONTH(A1737),1))</f>
        <v/>
      </c>
      <c r="L1737" s="28" t="str">
        <f aca="false">IF(E1737="","",IFERROR(INDEX(Settings!$K$8:$K$38,MATCH(E1737,Settings!$H$8:$H$38,0))&amp;"",""))</f>
        <v/>
      </c>
    </row>
    <row r="1738" customFormat="false" ht="15" hidden="false" customHeight="false" outlineLevel="0" collapsed="false">
      <c r="A1738" s="33"/>
      <c r="B1738" s="27"/>
      <c r="C1738" s="27"/>
      <c r="D1738" s="27"/>
      <c r="E1738" s="27"/>
      <c r="F1738" s="34"/>
      <c r="G1738" s="27"/>
      <c r="H1738" s="27"/>
      <c r="I1738" s="28" t="str">
        <f aca="false">IF(C1738="","",IFERROR(INDEX(Settings!$C$8:$C$19,MATCH(C1738,Settings!$B$8:$B$19,0)),"?"))</f>
        <v/>
      </c>
      <c r="J1738" s="28" t="str">
        <f aca="false">IF(G1738="","",IFERROR(INDEX(Settings!$C$8:$C$19,MATCH(G1738,Settings!$B$8:$B$19,0)),"?"))</f>
        <v/>
      </c>
      <c r="K1738" s="35" t="str">
        <f aca="false">IF(A1738="","",DATE(YEAR(A1738),MONTH(A1738),1))</f>
        <v/>
      </c>
      <c r="L1738" s="28" t="str">
        <f aca="false">IF(E1738="","",IFERROR(INDEX(Settings!$K$8:$K$38,MATCH(E1738,Settings!$H$8:$H$38,0))&amp;"",""))</f>
        <v/>
      </c>
    </row>
    <row r="1739" customFormat="false" ht="15" hidden="false" customHeight="false" outlineLevel="0" collapsed="false">
      <c r="A1739" s="33"/>
      <c r="B1739" s="27"/>
      <c r="C1739" s="27"/>
      <c r="D1739" s="27"/>
      <c r="E1739" s="27"/>
      <c r="F1739" s="34"/>
      <c r="G1739" s="27"/>
      <c r="H1739" s="27"/>
      <c r="I1739" s="28" t="str">
        <f aca="false">IF(C1739="","",IFERROR(INDEX(Settings!$C$8:$C$19,MATCH(C1739,Settings!$B$8:$B$19,0)),"?"))</f>
        <v/>
      </c>
      <c r="J1739" s="28" t="str">
        <f aca="false">IF(G1739="","",IFERROR(INDEX(Settings!$C$8:$C$19,MATCH(G1739,Settings!$B$8:$B$19,0)),"?"))</f>
        <v/>
      </c>
      <c r="K1739" s="35" t="str">
        <f aca="false">IF(A1739="","",DATE(YEAR(A1739),MONTH(A1739),1))</f>
        <v/>
      </c>
      <c r="L1739" s="28" t="str">
        <f aca="false">IF(E1739="","",IFERROR(INDEX(Settings!$K$8:$K$38,MATCH(E1739,Settings!$H$8:$H$38,0))&amp;"",""))</f>
        <v/>
      </c>
    </row>
    <row r="1740" customFormat="false" ht="15" hidden="false" customHeight="false" outlineLevel="0" collapsed="false">
      <c r="A1740" s="33"/>
      <c r="B1740" s="27"/>
      <c r="C1740" s="27"/>
      <c r="D1740" s="27"/>
      <c r="E1740" s="27"/>
      <c r="F1740" s="34"/>
      <c r="G1740" s="27"/>
      <c r="H1740" s="27"/>
      <c r="I1740" s="28" t="str">
        <f aca="false">IF(C1740="","",IFERROR(INDEX(Settings!$C$8:$C$19,MATCH(C1740,Settings!$B$8:$B$19,0)),"?"))</f>
        <v/>
      </c>
      <c r="J1740" s="28" t="str">
        <f aca="false">IF(G1740="","",IFERROR(INDEX(Settings!$C$8:$C$19,MATCH(G1740,Settings!$B$8:$B$19,0)),"?"))</f>
        <v/>
      </c>
      <c r="K1740" s="35" t="str">
        <f aca="false">IF(A1740="","",DATE(YEAR(A1740),MONTH(A1740),1))</f>
        <v/>
      </c>
      <c r="L1740" s="28" t="str">
        <f aca="false">IF(E1740="","",IFERROR(INDEX(Settings!$K$8:$K$38,MATCH(E1740,Settings!$H$8:$H$38,0))&amp;"",""))</f>
        <v/>
      </c>
    </row>
    <row r="1741" customFormat="false" ht="15" hidden="false" customHeight="false" outlineLevel="0" collapsed="false">
      <c r="A1741" s="33"/>
      <c r="B1741" s="27"/>
      <c r="C1741" s="27"/>
      <c r="D1741" s="27"/>
      <c r="E1741" s="27"/>
      <c r="F1741" s="34"/>
      <c r="G1741" s="27"/>
      <c r="H1741" s="27"/>
      <c r="I1741" s="28" t="str">
        <f aca="false">IF(C1741="","",IFERROR(INDEX(Settings!$C$8:$C$19,MATCH(C1741,Settings!$B$8:$B$19,0)),"?"))</f>
        <v/>
      </c>
      <c r="J1741" s="28" t="str">
        <f aca="false">IF(G1741="","",IFERROR(INDEX(Settings!$C$8:$C$19,MATCH(G1741,Settings!$B$8:$B$19,0)),"?"))</f>
        <v/>
      </c>
      <c r="K1741" s="35" t="str">
        <f aca="false">IF(A1741="","",DATE(YEAR(A1741),MONTH(A1741),1))</f>
        <v/>
      </c>
      <c r="L1741" s="28" t="str">
        <f aca="false">IF(E1741="","",IFERROR(INDEX(Settings!$K$8:$K$38,MATCH(E1741,Settings!$H$8:$H$38,0))&amp;"",""))</f>
        <v/>
      </c>
    </row>
    <row r="1742" customFormat="false" ht="15" hidden="false" customHeight="false" outlineLevel="0" collapsed="false">
      <c r="A1742" s="33"/>
      <c r="B1742" s="27"/>
      <c r="C1742" s="27"/>
      <c r="D1742" s="27"/>
      <c r="E1742" s="27"/>
      <c r="F1742" s="34"/>
      <c r="G1742" s="27"/>
      <c r="H1742" s="27"/>
      <c r="I1742" s="28" t="str">
        <f aca="false">IF(C1742="","",IFERROR(INDEX(Settings!$C$8:$C$19,MATCH(C1742,Settings!$B$8:$B$19,0)),"?"))</f>
        <v/>
      </c>
      <c r="J1742" s="28" t="str">
        <f aca="false">IF(G1742="","",IFERROR(INDEX(Settings!$C$8:$C$19,MATCH(G1742,Settings!$B$8:$B$19,0)),"?"))</f>
        <v/>
      </c>
      <c r="K1742" s="35" t="str">
        <f aca="false">IF(A1742="","",DATE(YEAR(A1742),MONTH(A1742),1))</f>
        <v/>
      </c>
      <c r="L1742" s="28" t="str">
        <f aca="false">IF(E1742="","",IFERROR(INDEX(Settings!$K$8:$K$38,MATCH(E1742,Settings!$H$8:$H$38,0))&amp;"",""))</f>
        <v/>
      </c>
    </row>
    <row r="1743" customFormat="false" ht="15" hidden="false" customHeight="false" outlineLevel="0" collapsed="false">
      <c r="A1743" s="33"/>
      <c r="B1743" s="27"/>
      <c r="C1743" s="27"/>
      <c r="D1743" s="27"/>
      <c r="E1743" s="27"/>
      <c r="F1743" s="34"/>
      <c r="G1743" s="27"/>
      <c r="H1743" s="27"/>
      <c r="I1743" s="28" t="str">
        <f aca="false">IF(C1743="","",IFERROR(INDEX(Settings!$C$8:$C$19,MATCH(C1743,Settings!$B$8:$B$19,0)),"?"))</f>
        <v/>
      </c>
      <c r="J1743" s="28" t="str">
        <f aca="false">IF(G1743="","",IFERROR(INDEX(Settings!$C$8:$C$19,MATCH(G1743,Settings!$B$8:$B$19,0)),"?"))</f>
        <v/>
      </c>
      <c r="K1743" s="35" t="str">
        <f aca="false">IF(A1743="","",DATE(YEAR(A1743),MONTH(A1743),1))</f>
        <v/>
      </c>
      <c r="L1743" s="28" t="str">
        <f aca="false">IF(E1743="","",IFERROR(INDEX(Settings!$K$8:$K$38,MATCH(E1743,Settings!$H$8:$H$38,0))&amp;"",""))</f>
        <v/>
      </c>
    </row>
    <row r="1744" customFormat="false" ht="15" hidden="false" customHeight="false" outlineLevel="0" collapsed="false">
      <c r="A1744" s="33"/>
      <c r="B1744" s="27"/>
      <c r="C1744" s="27"/>
      <c r="D1744" s="27"/>
      <c r="E1744" s="27"/>
      <c r="F1744" s="34"/>
      <c r="G1744" s="27"/>
      <c r="H1744" s="27"/>
      <c r="I1744" s="28" t="str">
        <f aca="false">IF(C1744="","",IFERROR(INDEX(Settings!$C$8:$C$19,MATCH(C1744,Settings!$B$8:$B$19,0)),"?"))</f>
        <v/>
      </c>
      <c r="J1744" s="28" t="str">
        <f aca="false">IF(G1744="","",IFERROR(INDEX(Settings!$C$8:$C$19,MATCH(G1744,Settings!$B$8:$B$19,0)),"?"))</f>
        <v/>
      </c>
      <c r="K1744" s="35" t="str">
        <f aca="false">IF(A1744="","",DATE(YEAR(A1744),MONTH(A1744),1))</f>
        <v/>
      </c>
      <c r="L1744" s="28" t="str">
        <f aca="false">IF(E1744="","",IFERROR(INDEX(Settings!$K$8:$K$38,MATCH(E1744,Settings!$H$8:$H$38,0))&amp;"",""))</f>
        <v/>
      </c>
    </row>
    <row r="1745" customFormat="false" ht="15" hidden="false" customHeight="false" outlineLevel="0" collapsed="false">
      <c r="A1745" s="33"/>
      <c r="B1745" s="27"/>
      <c r="C1745" s="27"/>
      <c r="D1745" s="27"/>
      <c r="E1745" s="27"/>
      <c r="F1745" s="34"/>
      <c r="G1745" s="27"/>
      <c r="H1745" s="27"/>
      <c r="I1745" s="28" t="str">
        <f aca="false">IF(C1745="","",IFERROR(INDEX(Settings!$C$8:$C$19,MATCH(C1745,Settings!$B$8:$B$19,0)),"?"))</f>
        <v/>
      </c>
      <c r="J1745" s="28" t="str">
        <f aca="false">IF(G1745="","",IFERROR(INDEX(Settings!$C$8:$C$19,MATCH(G1745,Settings!$B$8:$B$19,0)),"?"))</f>
        <v/>
      </c>
      <c r="K1745" s="35" t="str">
        <f aca="false">IF(A1745="","",DATE(YEAR(A1745),MONTH(A1745),1))</f>
        <v/>
      </c>
      <c r="L1745" s="28" t="str">
        <f aca="false">IF(E1745="","",IFERROR(INDEX(Settings!$K$8:$K$38,MATCH(E1745,Settings!$H$8:$H$38,0))&amp;"",""))</f>
        <v/>
      </c>
    </row>
    <row r="1746" customFormat="false" ht="15" hidden="false" customHeight="false" outlineLevel="0" collapsed="false">
      <c r="A1746" s="33"/>
      <c r="B1746" s="27"/>
      <c r="C1746" s="27"/>
      <c r="D1746" s="27"/>
      <c r="E1746" s="27"/>
      <c r="F1746" s="34"/>
      <c r="G1746" s="27"/>
      <c r="H1746" s="27"/>
      <c r="I1746" s="28" t="str">
        <f aca="false">IF(C1746="","",IFERROR(INDEX(Settings!$C$8:$C$19,MATCH(C1746,Settings!$B$8:$B$19,0)),"?"))</f>
        <v/>
      </c>
      <c r="J1746" s="28" t="str">
        <f aca="false">IF(G1746="","",IFERROR(INDEX(Settings!$C$8:$C$19,MATCH(G1746,Settings!$B$8:$B$19,0)),"?"))</f>
        <v/>
      </c>
      <c r="K1746" s="35" t="str">
        <f aca="false">IF(A1746="","",DATE(YEAR(A1746),MONTH(A1746),1))</f>
        <v/>
      </c>
      <c r="L1746" s="28" t="str">
        <f aca="false">IF(E1746="","",IFERROR(INDEX(Settings!$K$8:$K$38,MATCH(E1746,Settings!$H$8:$H$38,0))&amp;"",""))</f>
        <v/>
      </c>
    </row>
    <row r="1747" customFormat="false" ht="15" hidden="false" customHeight="false" outlineLevel="0" collapsed="false">
      <c r="A1747" s="33"/>
      <c r="B1747" s="27"/>
      <c r="C1747" s="27"/>
      <c r="D1747" s="27"/>
      <c r="E1747" s="27"/>
      <c r="F1747" s="34"/>
      <c r="G1747" s="27"/>
      <c r="H1747" s="27"/>
      <c r="I1747" s="28" t="str">
        <f aca="false">IF(C1747="","",IFERROR(INDEX(Settings!$C$8:$C$19,MATCH(C1747,Settings!$B$8:$B$19,0)),"?"))</f>
        <v/>
      </c>
      <c r="J1747" s="28" t="str">
        <f aca="false">IF(G1747="","",IFERROR(INDEX(Settings!$C$8:$C$19,MATCH(G1747,Settings!$B$8:$B$19,0)),"?"))</f>
        <v/>
      </c>
      <c r="K1747" s="35" t="str">
        <f aca="false">IF(A1747="","",DATE(YEAR(A1747),MONTH(A1747),1))</f>
        <v/>
      </c>
      <c r="L1747" s="28" t="str">
        <f aca="false">IF(E1747="","",IFERROR(INDEX(Settings!$K$8:$K$38,MATCH(E1747,Settings!$H$8:$H$38,0))&amp;"",""))</f>
        <v/>
      </c>
    </row>
    <row r="1748" customFormat="false" ht="15" hidden="false" customHeight="false" outlineLevel="0" collapsed="false">
      <c r="A1748" s="33"/>
      <c r="B1748" s="27"/>
      <c r="C1748" s="27"/>
      <c r="D1748" s="27"/>
      <c r="E1748" s="27"/>
      <c r="F1748" s="34"/>
      <c r="G1748" s="27"/>
      <c r="H1748" s="27"/>
      <c r="I1748" s="28" t="str">
        <f aca="false">IF(C1748="","",IFERROR(INDEX(Settings!$C$8:$C$19,MATCH(C1748,Settings!$B$8:$B$19,0)),"?"))</f>
        <v/>
      </c>
      <c r="J1748" s="28" t="str">
        <f aca="false">IF(G1748="","",IFERROR(INDEX(Settings!$C$8:$C$19,MATCH(G1748,Settings!$B$8:$B$19,0)),"?"))</f>
        <v/>
      </c>
      <c r="K1748" s="35" t="str">
        <f aca="false">IF(A1748="","",DATE(YEAR(A1748),MONTH(A1748),1))</f>
        <v/>
      </c>
      <c r="L1748" s="28" t="str">
        <f aca="false">IF(E1748="","",IFERROR(INDEX(Settings!$K$8:$K$38,MATCH(E1748,Settings!$H$8:$H$38,0))&amp;"",""))</f>
        <v/>
      </c>
    </row>
    <row r="1749" customFormat="false" ht="15" hidden="false" customHeight="false" outlineLevel="0" collapsed="false">
      <c r="A1749" s="33"/>
      <c r="B1749" s="27"/>
      <c r="C1749" s="27"/>
      <c r="D1749" s="27"/>
      <c r="E1749" s="27"/>
      <c r="F1749" s="34"/>
      <c r="G1749" s="27"/>
      <c r="H1749" s="27"/>
      <c r="I1749" s="28" t="str">
        <f aca="false">IF(C1749="","",IFERROR(INDEX(Settings!$C$8:$C$19,MATCH(C1749,Settings!$B$8:$B$19,0)),"?"))</f>
        <v/>
      </c>
      <c r="J1749" s="28" t="str">
        <f aca="false">IF(G1749="","",IFERROR(INDEX(Settings!$C$8:$C$19,MATCH(G1749,Settings!$B$8:$B$19,0)),"?"))</f>
        <v/>
      </c>
      <c r="K1749" s="35" t="str">
        <f aca="false">IF(A1749="","",DATE(YEAR(A1749),MONTH(A1749),1))</f>
        <v/>
      </c>
      <c r="L1749" s="28" t="str">
        <f aca="false">IF(E1749="","",IFERROR(INDEX(Settings!$K$8:$K$38,MATCH(E1749,Settings!$H$8:$H$38,0))&amp;"",""))</f>
        <v/>
      </c>
    </row>
    <row r="1750" customFormat="false" ht="15" hidden="false" customHeight="false" outlineLevel="0" collapsed="false">
      <c r="A1750" s="33"/>
      <c r="B1750" s="27"/>
      <c r="C1750" s="27"/>
      <c r="D1750" s="27"/>
      <c r="E1750" s="27"/>
      <c r="F1750" s="34"/>
      <c r="G1750" s="27"/>
      <c r="H1750" s="27"/>
      <c r="I1750" s="28" t="str">
        <f aca="false">IF(C1750="","",IFERROR(INDEX(Settings!$C$8:$C$19,MATCH(C1750,Settings!$B$8:$B$19,0)),"?"))</f>
        <v/>
      </c>
      <c r="J1750" s="28" t="str">
        <f aca="false">IF(G1750="","",IFERROR(INDEX(Settings!$C$8:$C$19,MATCH(G1750,Settings!$B$8:$B$19,0)),"?"))</f>
        <v/>
      </c>
      <c r="K1750" s="35" t="str">
        <f aca="false">IF(A1750="","",DATE(YEAR(A1750),MONTH(A1750),1))</f>
        <v/>
      </c>
      <c r="L1750" s="28" t="str">
        <f aca="false">IF(E1750="","",IFERROR(INDEX(Settings!$K$8:$K$38,MATCH(E1750,Settings!$H$8:$H$38,0))&amp;"",""))</f>
        <v/>
      </c>
    </row>
    <row r="1751" customFormat="false" ht="15" hidden="false" customHeight="false" outlineLevel="0" collapsed="false">
      <c r="A1751" s="33"/>
      <c r="B1751" s="27"/>
      <c r="C1751" s="27"/>
      <c r="D1751" s="27"/>
      <c r="E1751" s="27"/>
      <c r="F1751" s="34"/>
      <c r="G1751" s="27"/>
      <c r="H1751" s="27"/>
      <c r="I1751" s="28" t="str">
        <f aca="false">IF(C1751="","",IFERROR(INDEX(Settings!$C$8:$C$19,MATCH(C1751,Settings!$B$8:$B$19,0)),"?"))</f>
        <v/>
      </c>
      <c r="J1751" s="28" t="str">
        <f aca="false">IF(G1751="","",IFERROR(INDEX(Settings!$C$8:$C$19,MATCH(G1751,Settings!$B$8:$B$19,0)),"?"))</f>
        <v/>
      </c>
      <c r="K1751" s="35" t="str">
        <f aca="false">IF(A1751="","",DATE(YEAR(A1751),MONTH(A1751),1))</f>
        <v/>
      </c>
      <c r="L1751" s="28" t="str">
        <f aca="false">IF(E1751="","",IFERROR(INDEX(Settings!$K$8:$K$38,MATCH(E1751,Settings!$H$8:$H$38,0))&amp;"",""))</f>
        <v/>
      </c>
    </row>
    <row r="1752" customFormat="false" ht="15" hidden="false" customHeight="false" outlineLevel="0" collapsed="false">
      <c r="A1752" s="33"/>
      <c r="B1752" s="27"/>
      <c r="C1752" s="27"/>
      <c r="D1752" s="27"/>
      <c r="E1752" s="27"/>
      <c r="F1752" s="34"/>
      <c r="G1752" s="27"/>
      <c r="H1752" s="27"/>
      <c r="I1752" s="28" t="str">
        <f aca="false">IF(C1752="","",IFERROR(INDEX(Settings!$C$8:$C$19,MATCH(C1752,Settings!$B$8:$B$19,0)),"?"))</f>
        <v/>
      </c>
      <c r="J1752" s="28" t="str">
        <f aca="false">IF(G1752="","",IFERROR(INDEX(Settings!$C$8:$C$19,MATCH(G1752,Settings!$B$8:$B$19,0)),"?"))</f>
        <v/>
      </c>
      <c r="K1752" s="35" t="str">
        <f aca="false">IF(A1752="","",DATE(YEAR(A1752),MONTH(A1752),1))</f>
        <v/>
      </c>
      <c r="L1752" s="28" t="str">
        <f aca="false">IF(E1752="","",IFERROR(INDEX(Settings!$K$8:$K$38,MATCH(E1752,Settings!$H$8:$H$38,0))&amp;"",""))</f>
        <v/>
      </c>
    </row>
    <row r="1753" customFormat="false" ht="15" hidden="false" customHeight="false" outlineLevel="0" collapsed="false">
      <c r="A1753" s="33"/>
      <c r="B1753" s="27"/>
      <c r="C1753" s="27"/>
      <c r="D1753" s="27"/>
      <c r="E1753" s="27"/>
      <c r="F1753" s="34"/>
      <c r="G1753" s="27"/>
      <c r="H1753" s="27"/>
      <c r="I1753" s="28" t="str">
        <f aca="false">IF(C1753="","",IFERROR(INDEX(Settings!$C$8:$C$19,MATCH(C1753,Settings!$B$8:$B$19,0)),"?"))</f>
        <v/>
      </c>
      <c r="J1753" s="28" t="str">
        <f aca="false">IF(G1753="","",IFERROR(INDEX(Settings!$C$8:$C$19,MATCH(G1753,Settings!$B$8:$B$19,0)),"?"))</f>
        <v/>
      </c>
      <c r="K1753" s="35" t="str">
        <f aca="false">IF(A1753="","",DATE(YEAR(A1753),MONTH(A1753),1))</f>
        <v/>
      </c>
      <c r="L1753" s="28" t="str">
        <f aca="false">IF(E1753="","",IFERROR(INDEX(Settings!$K$8:$K$38,MATCH(E1753,Settings!$H$8:$H$38,0))&amp;"",""))</f>
        <v/>
      </c>
    </row>
    <row r="1754" customFormat="false" ht="15" hidden="false" customHeight="false" outlineLevel="0" collapsed="false">
      <c r="A1754" s="33"/>
      <c r="B1754" s="27"/>
      <c r="C1754" s="27"/>
      <c r="D1754" s="27"/>
      <c r="E1754" s="27"/>
      <c r="F1754" s="34"/>
      <c r="G1754" s="27"/>
      <c r="H1754" s="27"/>
      <c r="I1754" s="28" t="str">
        <f aca="false">IF(C1754="","",IFERROR(INDEX(Settings!$C$8:$C$19,MATCH(C1754,Settings!$B$8:$B$19,0)),"?"))</f>
        <v/>
      </c>
      <c r="J1754" s="28" t="str">
        <f aca="false">IF(G1754="","",IFERROR(INDEX(Settings!$C$8:$C$19,MATCH(G1754,Settings!$B$8:$B$19,0)),"?"))</f>
        <v/>
      </c>
      <c r="K1754" s="35" t="str">
        <f aca="false">IF(A1754="","",DATE(YEAR(A1754),MONTH(A1754),1))</f>
        <v/>
      </c>
      <c r="L1754" s="28" t="str">
        <f aca="false">IF(E1754="","",IFERROR(INDEX(Settings!$K$8:$K$38,MATCH(E1754,Settings!$H$8:$H$38,0))&amp;"",""))</f>
        <v/>
      </c>
    </row>
    <row r="1755" customFormat="false" ht="15" hidden="false" customHeight="false" outlineLevel="0" collapsed="false">
      <c r="A1755" s="33"/>
      <c r="B1755" s="27"/>
      <c r="C1755" s="27"/>
      <c r="D1755" s="27"/>
      <c r="E1755" s="27"/>
      <c r="F1755" s="34"/>
      <c r="G1755" s="27"/>
      <c r="H1755" s="27"/>
      <c r="I1755" s="28" t="str">
        <f aca="false">IF(C1755="","",IFERROR(INDEX(Settings!$C$8:$C$19,MATCH(C1755,Settings!$B$8:$B$19,0)),"?"))</f>
        <v/>
      </c>
      <c r="J1755" s="28" t="str">
        <f aca="false">IF(G1755="","",IFERROR(INDEX(Settings!$C$8:$C$19,MATCH(G1755,Settings!$B$8:$B$19,0)),"?"))</f>
        <v/>
      </c>
      <c r="K1755" s="35" t="str">
        <f aca="false">IF(A1755="","",DATE(YEAR(A1755),MONTH(A1755),1))</f>
        <v/>
      </c>
      <c r="L1755" s="28" t="str">
        <f aca="false">IF(E1755="","",IFERROR(INDEX(Settings!$K$8:$K$38,MATCH(E1755,Settings!$H$8:$H$38,0))&amp;"",""))</f>
        <v/>
      </c>
    </row>
    <row r="1756" customFormat="false" ht="15" hidden="false" customHeight="false" outlineLevel="0" collapsed="false">
      <c r="A1756" s="33"/>
      <c r="B1756" s="27"/>
      <c r="C1756" s="27"/>
      <c r="D1756" s="27"/>
      <c r="E1756" s="27"/>
      <c r="F1756" s="34"/>
      <c r="G1756" s="27"/>
      <c r="H1756" s="27"/>
      <c r="I1756" s="28" t="str">
        <f aca="false">IF(C1756="","",IFERROR(INDEX(Settings!$C$8:$C$19,MATCH(C1756,Settings!$B$8:$B$19,0)),"?"))</f>
        <v/>
      </c>
      <c r="J1756" s="28" t="str">
        <f aca="false">IF(G1756="","",IFERROR(INDEX(Settings!$C$8:$C$19,MATCH(G1756,Settings!$B$8:$B$19,0)),"?"))</f>
        <v/>
      </c>
      <c r="K1756" s="35" t="str">
        <f aca="false">IF(A1756="","",DATE(YEAR(A1756),MONTH(A1756),1))</f>
        <v/>
      </c>
      <c r="L1756" s="28" t="str">
        <f aca="false">IF(E1756="","",IFERROR(INDEX(Settings!$K$8:$K$38,MATCH(E1756,Settings!$H$8:$H$38,0))&amp;"",""))</f>
        <v/>
      </c>
    </row>
    <row r="1757" customFormat="false" ht="15" hidden="false" customHeight="false" outlineLevel="0" collapsed="false">
      <c r="A1757" s="33"/>
      <c r="B1757" s="27"/>
      <c r="C1757" s="27"/>
      <c r="D1757" s="27"/>
      <c r="E1757" s="27"/>
      <c r="F1757" s="34"/>
      <c r="G1757" s="27"/>
      <c r="H1757" s="27"/>
      <c r="I1757" s="28" t="str">
        <f aca="false">IF(C1757="","",IFERROR(INDEX(Settings!$C$8:$C$19,MATCH(C1757,Settings!$B$8:$B$19,0)),"?"))</f>
        <v/>
      </c>
      <c r="J1757" s="28" t="str">
        <f aca="false">IF(G1757="","",IFERROR(INDEX(Settings!$C$8:$C$19,MATCH(G1757,Settings!$B$8:$B$19,0)),"?"))</f>
        <v/>
      </c>
      <c r="K1757" s="35" t="str">
        <f aca="false">IF(A1757="","",DATE(YEAR(A1757),MONTH(A1757),1))</f>
        <v/>
      </c>
      <c r="L1757" s="28" t="str">
        <f aca="false">IF(E1757="","",IFERROR(INDEX(Settings!$K$8:$K$38,MATCH(E1757,Settings!$H$8:$H$38,0))&amp;"",""))</f>
        <v/>
      </c>
    </row>
    <row r="1758" customFormat="false" ht="15" hidden="false" customHeight="false" outlineLevel="0" collapsed="false">
      <c r="A1758" s="33"/>
      <c r="B1758" s="27"/>
      <c r="C1758" s="27"/>
      <c r="D1758" s="27"/>
      <c r="E1758" s="27"/>
      <c r="F1758" s="34"/>
      <c r="G1758" s="27"/>
      <c r="H1758" s="27"/>
      <c r="I1758" s="28" t="str">
        <f aca="false">IF(C1758="","",IFERROR(INDEX(Settings!$C$8:$C$19,MATCH(C1758,Settings!$B$8:$B$19,0)),"?"))</f>
        <v/>
      </c>
      <c r="J1758" s="28" t="str">
        <f aca="false">IF(G1758="","",IFERROR(INDEX(Settings!$C$8:$C$19,MATCH(G1758,Settings!$B$8:$B$19,0)),"?"))</f>
        <v/>
      </c>
      <c r="K1758" s="35" t="str">
        <f aca="false">IF(A1758="","",DATE(YEAR(A1758),MONTH(A1758),1))</f>
        <v/>
      </c>
      <c r="L1758" s="28" t="str">
        <f aca="false">IF(E1758="","",IFERROR(INDEX(Settings!$K$8:$K$38,MATCH(E1758,Settings!$H$8:$H$38,0))&amp;"",""))</f>
        <v/>
      </c>
    </row>
    <row r="1759" customFormat="false" ht="15" hidden="false" customHeight="false" outlineLevel="0" collapsed="false">
      <c r="A1759" s="33"/>
      <c r="B1759" s="27"/>
      <c r="C1759" s="27"/>
      <c r="D1759" s="27"/>
      <c r="E1759" s="27"/>
      <c r="F1759" s="34"/>
      <c r="G1759" s="27"/>
      <c r="H1759" s="27"/>
      <c r="I1759" s="28" t="str">
        <f aca="false">IF(C1759="","",IFERROR(INDEX(Settings!$C$8:$C$19,MATCH(C1759,Settings!$B$8:$B$19,0)),"?"))</f>
        <v/>
      </c>
      <c r="J1759" s="28" t="str">
        <f aca="false">IF(G1759="","",IFERROR(INDEX(Settings!$C$8:$C$19,MATCH(G1759,Settings!$B$8:$B$19,0)),"?"))</f>
        <v/>
      </c>
      <c r="K1759" s="35" t="str">
        <f aca="false">IF(A1759="","",DATE(YEAR(A1759),MONTH(A1759),1))</f>
        <v/>
      </c>
      <c r="L1759" s="28" t="str">
        <f aca="false">IF(E1759="","",IFERROR(INDEX(Settings!$K$8:$K$38,MATCH(E1759,Settings!$H$8:$H$38,0))&amp;"",""))</f>
        <v/>
      </c>
    </row>
    <row r="1760" customFormat="false" ht="15" hidden="false" customHeight="false" outlineLevel="0" collapsed="false">
      <c r="A1760" s="33"/>
      <c r="B1760" s="27"/>
      <c r="C1760" s="27"/>
      <c r="D1760" s="27"/>
      <c r="E1760" s="27"/>
      <c r="F1760" s="34"/>
      <c r="G1760" s="27"/>
      <c r="H1760" s="27"/>
      <c r="I1760" s="28" t="str">
        <f aca="false">IF(C1760="","",IFERROR(INDEX(Settings!$C$8:$C$19,MATCH(C1760,Settings!$B$8:$B$19,0)),"?"))</f>
        <v/>
      </c>
      <c r="J1760" s="28" t="str">
        <f aca="false">IF(G1760="","",IFERROR(INDEX(Settings!$C$8:$C$19,MATCH(G1760,Settings!$B$8:$B$19,0)),"?"))</f>
        <v/>
      </c>
      <c r="K1760" s="35" t="str">
        <f aca="false">IF(A1760="","",DATE(YEAR(A1760),MONTH(A1760),1))</f>
        <v/>
      </c>
      <c r="L1760" s="28" t="str">
        <f aca="false">IF(E1760="","",IFERROR(INDEX(Settings!$K$8:$K$38,MATCH(E1760,Settings!$H$8:$H$38,0))&amp;"",""))</f>
        <v/>
      </c>
    </row>
    <row r="1761" customFormat="false" ht="15" hidden="false" customHeight="false" outlineLevel="0" collapsed="false">
      <c r="A1761" s="33"/>
      <c r="B1761" s="27"/>
      <c r="C1761" s="27"/>
      <c r="D1761" s="27"/>
      <c r="E1761" s="27"/>
      <c r="F1761" s="34"/>
      <c r="G1761" s="27"/>
      <c r="H1761" s="27"/>
      <c r="I1761" s="28" t="str">
        <f aca="false">IF(C1761="","",IFERROR(INDEX(Settings!$C$8:$C$19,MATCH(C1761,Settings!$B$8:$B$19,0)),"?"))</f>
        <v/>
      </c>
      <c r="J1761" s="28" t="str">
        <f aca="false">IF(G1761="","",IFERROR(INDEX(Settings!$C$8:$C$19,MATCH(G1761,Settings!$B$8:$B$19,0)),"?"))</f>
        <v/>
      </c>
      <c r="K1761" s="35" t="str">
        <f aca="false">IF(A1761="","",DATE(YEAR(A1761),MONTH(A1761),1))</f>
        <v/>
      </c>
      <c r="L1761" s="28" t="str">
        <f aca="false">IF(E1761="","",IFERROR(INDEX(Settings!$K$8:$K$38,MATCH(E1761,Settings!$H$8:$H$38,0))&amp;"",""))</f>
        <v/>
      </c>
    </row>
    <row r="1762" customFormat="false" ht="15" hidden="false" customHeight="false" outlineLevel="0" collapsed="false">
      <c r="A1762" s="33"/>
      <c r="B1762" s="27"/>
      <c r="C1762" s="27"/>
      <c r="D1762" s="27"/>
      <c r="E1762" s="27"/>
      <c r="F1762" s="34"/>
      <c r="G1762" s="27"/>
      <c r="H1762" s="27"/>
      <c r="I1762" s="28" t="str">
        <f aca="false">IF(C1762="","",IFERROR(INDEX(Settings!$C$8:$C$19,MATCH(C1762,Settings!$B$8:$B$19,0)),"?"))</f>
        <v/>
      </c>
      <c r="J1762" s="28" t="str">
        <f aca="false">IF(G1762="","",IFERROR(INDEX(Settings!$C$8:$C$19,MATCH(G1762,Settings!$B$8:$B$19,0)),"?"))</f>
        <v/>
      </c>
      <c r="K1762" s="35" t="str">
        <f aca="false">IF(A1762="","",DATE(YEAR(A1762),MONTH(A1762),1))</f>
        <v/>
      </c>
      <c r="L1762" s="28" t="str">
        <f aca="false">IF(E1762="","",IFERROR(INDEX(Settings!$K$8:$K$38,MATCH(E1762,Settings!$H$8:$H$38,0))&amp;"",""))</f>
        <v/>
      </c>
    </row>
    <row r="1763" customFormat="false" ht="15" hidden="false" customHeight="false" outlineLevel="0" collapsed="false">
      <c r="A1763" s="33"/>
      <c r="B1763" s="27"/>
      <c r="C1763" s="27"/>
      <c r="D1763" s="27"/>
      <c r="E1763" s="27"/>
      <c r="F1763" s="34"/>
      <c r="G1763" s="27"/>
      <c r="H1763" s="27"/>
      <c r="I1763" s="28" t="str">
        <f aca="false">IF(C1763="","",IFERROR(INDEX(Settings!$C$8:$C$19,MATCH(C1763,Settings!$B$8:$B$19,0)),"?"))</f>
        <v/>
      </c>
      <c r="J1763" s="28" t="str">
        <f aca="false">IF(G1763="","",IFERROR(INDEX(Settings!$C$8:$C$19,MATCH(G1763,Settings!$B$8:$B$19,0)),"?"))</f>
        <v/>
      </c>
      <c r="K1763" s="35" t="str">
        <f aca="false">IF(A1763="","",DATE(YEAR(A1763),MONTH(A1763),1))</f>
        <v/>
      </c>
      <c r="L1763" s="28" t="str">
        <f aca="false">IF(E1763="","",IFERROR(INDEX(Settings!$K$8:$K$38,MATCH(E1763,Settings!$H$8:$H$38,0))&amp;"",""))</f>
        <v/>
      </c>
    </row>
    <row r="1764" customFormat="false" ht="15" hidden="false" customHeight="false" outlineLevel="0" collapsed="false">
      <c r="A1764" s="33"/>
      <c r="B1764" s="27"/>
      <c r="C1764" s="27"/>
      <c r="D1764" s="27"/>
      <c r="E1764" s="27"/>
      <c r="F1764" s="34"/>
      <c r="G1764" s="27"/>
      <c r="H1764" s="27"/>
      <c r="I1764" s="28" t="str">
        <f aca="false">IF(C1764="","",IFERROR(INDEX(Settings!$C$8:$C$19,MATCH(C1764,Settings!$B$8:$B$19,0)),"?"))</f>
        <v/>
      </c>
      <c r="J1764" s="28" t="str">
        <f aca="false">IF(G1764="","",IFERROR(INDEX(Settings!$C$8:$C$19,MATCH(G1764,Settings!$B$8:$B$19,0)),"?"))</f>
        <v/>
      </c>
      <c r="K1764" s="35" t="str">
        <f aca="false">IF(A1764="","",DATE(YEAR(A1764),MONTH(A1764),1))</f>
        <v/>
      </c>
      <c r="L1764" s="28" t="str">
        <f aca="false">IF(E1764="","",IFERROR(INDEX(Settings!$K$8:$K$38,MATCH(E1764,Settings!$H$8:$H$38,0))&amp;"",""))</f>
        <v/>
      </c>
    </row>
    <row r="1765" customFormat="false" ht="15" hidden="false" customHeight="false" outlineLevel="0" collapsed="false">
      <c r="A1765" s="33"/>
      <c r="B1765" s="27"/>
      <c r="C1765" s="27"/>
      <c r="D1765" s="27"/>
      <c r="E1765" s="27"/>
      <c r="F1765" s="34"/>
      <c r="G1765" s="27"/>
      <c r="H1765" s="27"/>
      <c r="I1765" s="28" t="str">
        <f aca="false">IF(C1765="","",IFERROR(INDEX(Settings!$C$8:$C$19,MATCH(C1765,Settings!$B$8:$B$19,0)),"?"))</f>
        <v/>
      </c>
      <c r="J1765" s="28" t="str">
        <f aca="false">IF(G1765="","",IFERROR(INDEX(Settings!$C$8:$C$19,MATCH(G1765,Settings!$B$8:$B$19,0)),"?"))</f>
        <v/>
      </c>
      <c r="K1765" s="35" t="str">
        <f aca="false">IF(A1765="","",DATE(YEAR(A1765),MONTH(A1765),1))</f>
        <v/>
      </c>
      <c r="L1765" s="28" t="str">
        <f aca="false">IF(E1765="","",IFERROR(INDEX(Settings!$K$8:$K$38,MATCH(E1765,Settings!$H$8:$H$38,0))&amp;"",""))</f>
        <v/>
      </c>
    </row>
    <row r="1766" customFormat="false" ht="15" hidden="false" customHeight="false" outlineLevel="0" collapsed="false">
      <c r="A1766" s="33"/>
      <c r="B1766" s="27"/>
      <c r="C1766" s="27"/>
      <c r="D1766" s="27"/>
      <c r="E1766" s="27"/>
      <c r="F1766" s="34"/>
      <c r="G1766" s="27"/>
      <c r="H1766" s="27"/>
      <c r="I1766" s="28" t="str">
        <f aca="false">IF(C1766="","",IFERROR(INDEX(Settings!$C$8:$C$19,MATCH(C1766,Settings!$B$8:$B$19,0)),"?"))</f>
        <v/>
      </c>
      <c r="J1766" s="28" t="str">
        <f aca="false">IF(G1766="","",IFERROR(INDEX(Settings!$C$8:$C$19,MATCH(G1766,Settings!$B$8:$B$19,0)),"?"))</f>
        <v/>
      </c>
      <c r="K1766" s="35" t="str">
        <f aca="false">IF(A1766="","",DATE(YEAR(A1766),MONTH(A1766),1))</f>
        <v/>
      </c>
      <c r="L1766" s="28" t="str">
        <f aca="false">IF(E1766="","",IFERROR(INDEX(Settings!$K$8:$K$38,MATCH(E1766,Settings!$H$8:$H$38,0))&amp;"",""))</f>
        <v/>
      </c>
    </row>
    <row r="1767" customFormat="false" ht="15" hidden="false" customHeight="false" outlineLevel="0" collapsed="false">
      <c r="A1767" s="33"/>
      <c r="B1767" s="27"/>
      <c r="C1767" s="27"/>
      <c r="D1767" s="27"/>
      <c r="E1767" s="27"/>
      <c r="F1767" s="34"/>
      <c r="G1767" s="27"/>
      <c r="H1767" s="27"/>
      <c r="I1767" s="28" t="str">
        <f aca="false">IF(C1767="","",IFERROR(INDEX(Settings!$C$8:$C$19,MATCH(C1767,Settings!$B$8:$B$19,0)),"?"))</f>
        <v/>
      </c>
      <c r="J1767" s="28" t="str">
        <f aca="false">IF(G1767="","",IFERROR(INDEX(Settings!$C$8:$C$19,MATCH(G1767,Settings!$B$8:$B$19,0)),"?"))</f>
        <v/>
      </c>
      <c r="K1767" s="35" t="str">
        <f aca="false">IF(A1767="","",DATE(YEAR(A1767),MONTH(A1767),1))</f>
        <v/>
      </c>
      <c r="L1767" s="28" t="str">
        <f aca="false">IF(E1767="","",IFERROR(INDEX(Settings!$K$8:$K$38,MATCH(E1767,Settings!$H$8:$H$38,0))&amp;"",""))</f>
        <v/>
      </c>
    </row>
    <row r="1768" customFormat="false" ht="15" hidden="false" customHeight="false" outlineLevel="0" collapsed="false">
      <c r="A1768" s="33"/>
      <c r="B1768" s="27"/>
      <c r="C1768" s="27"/>
      <c r="D1768" s="27"/>
      <c r="E1768" s="27"/>
      <c r="F1768" s="34"/>
      <c r="G1768" s="27"/>
      <c r="H1768" s="27"/>
      <c r="I1768" s="28" t="str">
        <f aca="false">IF(C1768="","",IFERROR(INDEX(Settings!$C$8:$C$19,MATCH(C1768,Settings!$B$8:$B$19,0)),"?"))</f>
        <v/>
      </c>
      <c r="J1768" s="28" t="str">
        <f aca="false">IF(G1768="","",IFERROR(INDEX(Settings!$C$8:$C$19,MATCH(G1768,Settings!$B$8:$B$19,0)),"?"))</f>
        <v/>
      </c>
      <c r="K1768" s="35" t="str">
        <f aca="false">IF(A1768="","",DATE(YEAR(A1768),MONTH(A1768),1))</f>
        <v/>
      </c>
      <c r="L1768" s="28" t="str">
        <f aca="false">IF(E1768="","",IFERROR(INDEX(Settings!$K$8:$K$38,MATCH(E1768,Settings!$H$8:$H$38,0))&amp;"",""))</f>
        <v/>
      </c>
    </row>
    <row r="1769" customFormat="false" ht="15" hidden="false" customHeight="false" outlineLevel="0" collapsed="false">
      <c r="A1769" s="33"/>
      <c r="B1769" s="27"/>
      <c r="C1769" s="27"/>
      <c r="D1769" s="27"/>
      <c r="E1769" s="27"/>
      <c r="F1769" s="34"/>
      <c r="G1769" s="27"/>
      <c r="H1769" s="27"/>
      <c r="I1769" s="28" t="str">
        <f aca="false">IF(C1769="","",IFERROR(INDEX(Settings!$C$8:$C$19,MATCH(C1769,Settings!$B$8:$B$19,0)),"?"))</f>
        <v/>
      </c>
      <c r="J1769" s="28" t="str">
        <f aca="false">IF(G1769="","",IFERROR(INDEX(Settings!$C$8:$C$19,MATCH(G1769,Settings!$B$8:$B$19,0)),"?"))</f>
        <v/>
      </c>
      <c r="K1769" s="35" t="str">
        <f aca="false">IF(A1769="","",DATE(YEAR(A1769),MONTH(A1769),1))</f>
        <v/>
      </c>
      <c r="L1769" s="28" t="str">
        <f aca="false">IF(E1769="","",IFERROR(INDEX(Settings!$K$8:$K$38,MATCH(E1769,Settings!$H$8:$H$38,0))&amp;"",""))</f>
        <v/>
      </c>
    </row>
    <row r="1770" customFormat="false" ht="15" hidden="false" customHeight="false" outlineLevel="0" collapsed="false">
      <c r="A1770" s="33"/>
      <c r="B1770" s="27"/>
      <c r="C1770" s="27"/>
      <c r="D1770" s="27"/>
      <c r="E1770" s="27"/>
      <c r="F1770" s="34"/>
      <c r="G1770" s="27"/>
      <c r="H1770" s="27"/>
      <c r="I1770" s="28" t="str">
        <f aca="false">IF(C1770="","",IFERROR(INDEX(Settings!$C$8:$C$19,MATCH(C1770,Settings!$B$8:$B$19,0)),"?"))</f>
        <v/>
      </c>
      <c r="J1770" s="28" t="str">
        <f aca="false">IF(G1770="","",IFERROR(INDEX(Settings!$C$8:$C$19,MATCH(G1770,Settings!$B$8:$B$19,0)),"?"))</f>
        <v/>
      </c>
      <c r="K1770" s="35" t="str">
        <f aca="false">IF(A1770="","",DATE(YEAR(A1770),MONTH(A1770),1))</f>
        <v/>
      </c>
      <c r="L1770" s="28" t="str">
        <f aca="false">IF(E1770="","",IFERROR(INDEX(Settings!$K$8:$K$38,MATCH(E1770,Settings!$H$8:$H$38,0))&amp;"",""))</f>
        <v/>
      </c>
    </row>
    <row r="1771" customFormat="false" ht="15" hidden="false" customHeight="false" outlineLevel="0" collapsed="false">
      <c r="A1771" s="33"/>
      <c r="B1771" s="27"/>
      <c r="C1771" s="27"/>
      <c r="D1771" s="27"/>
      <c r="E1771" s="27"/>
      <c r="F1771" s="34"/>
      <c r="G1771" s="27"/>
      <c r="H1771" s="27"/>
      <c r="I1771" s="28" t="str">
        <f aca="false">IF(C1771="","",IFERROR(INDEX(Settings!$C$8:$C$19,MATCH(C1771,Settings!$B$8:$B$19,0)),"?"))</f>
        <v/>
      </c>
      <c r="J1771" s="28" t="str">
        <f aca="false">IF(G1771="","",IFERROR(INDEX(Settings!$C$8:$C$19,MATCH(G1771,Settings!$B$8:$B$19,0)),"?"))</f>
        <v/>
      </c>
      <c r="K1771" s="35" t="str">
        <f aca="false">IF(A1771="","",DATE(YEAR(A1771),MONTH(A1771),1))</f>
        <v/>
      </c>
      <c r="L1771" s="28" t="str">
        <f aca="false">IF(E1771="","",IFERROR(INDEX(Settings!$K$8:$K$38,MATCH(E1771,Settings!$H$8:$H$38,0))&amp;"",""))</f>
        <v/>
      </c>
    </row>
    <row r="1772" customFormat="false" ht="15" hidden="false" customHeight="false" outlineLevel="0" collapsed="false">
      <c r="A1772" s="33"/>
      <c r="B1772" s="27"/>
      <c r="C1772" s="27"/>
      <c r="D1772" s="27"/>
      <c r="E1772" s="27"/>
      <c r="F1772" s="34"/>
      <c r="G1772" s="27"/>
      <c r="H1772" s="27"/>
      <c r="I1772" s="28" t="str">
        <f aca="false">IF(C1772="","",IFERROR(INDEX(Settings!$C$8:$C$19,MATCH(C1772,Settings!$B$8:$B$19,0)),"?"))</f>
        <v/>
      </c>
      <c r="J1772" s="28" t="str">
        <f aca="false">IF(G1772="","",IFERROR(INDEX(Settings!$C$8:$C$19,MATCH(G1772,Settings!$B$8:$B$19,0)),"?"))</f>
        <v/>
      </c>
      <c r="K1772" s="35" t="str">
        <f aca="false">IF(A1772="","",DATE(YEAR(A1772),MONTH(A1772),1))</f>
        <v/>
      </c>
      <c r="L1772" s="28" t="str">
        <f aca="false">IF(E1772="","",IFERROR(INDEX(Settings!$K$8:$K$38,MATCH(E1772,Settings!$H$8:$H$38,0))&amp;"",""))</f>
        <v/>
      </c>
    </row>
    <row r="1773" customFormat="false" ht="15" hidden="false" customHeight="false" outlineLevel="0" collapsed="false">
      <c r="A1773" s="33"/>
      <c r="B1773" s="27"/>
      <c r="C1773" s="27"/>
      <c r="D1773" s="27"/>
      <c r="E1773" s="27"/>
      <c r="F1773" s="34"/>
      <c r="G1773" s="27"/>
      <c r="H1773" s="27"/>
      <c r="I1773" s="28" t="str">
        <f aca="false">IF(C1773="","",IFERROR(INDEX(Settings!$C$8:$C$19,MATCH(C1773,Settings!$B$8:$B$19,0)),"?"))</f>
        <v/>
      </c>
      <c r="J1773" s="28" t="str">
        <f aca="false">IF(G1773="","",IFERROR(INDEX(Settings!$C$8:$C$19,MATCH(G1773,Settings!$B$8:$B$19,0)),"?"))</f>
        <v/>
      </c>
      <c r="K1773" s="35" t="str">
        <f aca="false">IF(A1773="","",DATE(YEAR(A1773),MONTH(A1773),1))</f>
        <v/>
      </c>
      <c r="L1773" s="28" t="str">
        <f aca="false">IF(E1773="","",IFERROR(INDEX(Settings!$K$8:$K$38,MATCH(E1773,Settings!$H$8:$H$38,0))&amp;"",""))</f>
        <v/>
      </c>
    </row>
    <row r="1774" customFormat="false" ht="15" hidden="false" customHeight="false" outlineLevel="0" collapsed="false">
      <c r="A1774" s="33"/>
      <c r="B1774" s="27"/>
      <c r="C1774" s="27"/>
      <c r="D1774" s="27"/>
      <c r="E1774" s="27"/>
      <c r="F1774" s="34"/>
      <c r="G1774" s="27"/>
      <c r="H1774" s="27"/>
      <c r="I1774" s="28" t="str">
        <f aca="false">IF(C1774="","",IFERROR(INDEX(Settings!$C$8:$C$19,MATCH(C1774,Settings!$B$8:$B$19,0)),"?"))</f>
        <v/>
      </c>
      <c r="J1774" s="28" t="str">
        <f aca="false">IF(G1774="","",IFERROR(INDEX(Settings!$C$8:$C$19,MATCH(G1774,Settings!$B$8:$B$19,0)),"?"))</f>
        <v/>
      </c>
      <c r="K1774" s="35" t="str">
        <f aca="false">IF(A1774="","",DATE(YEAR(A1774),MONTH(A1774),1))</f>
        <v/>
      </c>
      <c r="L1774" s="28" t="str">
        <f aca="false">IF(E1774="","",IFERROR(INDEX(Settings!$K$8:$K$38,MATCH(E1774,Settings!$H$8:$H$38,0))&amp;"",""))</f>
        <v/>
      </c>
    </row>
    <row r="1775" customFormat="false" ht="15" hidden="false" customHeight="false" outlineLevel="0" collapsed="false">
      <c r="A1775" s="33"/>
      <c r="B1775" s="27"/>
      <c r="C1775" s="27"/>
      <c r="D1775" s="27"/>
      <c r="E1775" s="27"/>
      <c r="F1775" s="34"/>
      <c r="G1775" s="27"/>
      <c r="H1775" s="27"/>
      <c r="I1775" s="28" t="str">
        <f aca="false">IF(C1775="","",IFERROR(INDEX(Settings!$C$8:$C$19,MATCH(C1775,Settings!$B$8:$B$19,0)),"?"))</f>
        <v/>
      </c>
      <c r="J1775" s="28" t="str">
        <f aca="false">IF(G1775="","",IFERROR(INDEX(Settings!$C$8:$C$19,MATCH(G1775,Settings!$B$8:$B$19,0)),"?"))</f>
        <v/>
      </c>
      <c r="K1775" s="35" t="str">
        <f aca="false">IF(A1775="","",DATE(YEAR(A1775),MONTH(A1775),1))</f>
        <v/>
      </c>
      <c r="L1775" s="28" t="str">
        <f aca="false">IF(E1775="","",IFERROR(INDEX(Settings!$K$8:$K$38,MATCH(E1775,Settings!$H$8:$H$38,0))&amp;"",""))</f>
        <v/>
      </c>
    </row>
    <row r="1776" customFormat="false" ht="15" hidden="false" customHeight="false" outlineLevel="0" collapsed="false">
      <c r="A1776" s="33"/>
      <c r="B1776" s="27"/>
      <c r="C1776" s="27"/>
      <c r="D1776" s="27"/>
      <c r="E1776" s="27"/>
      <c r="F1776" s="34"/>
      <c r="G1776" s="27"/>
      <c r="H1776" s="27"/>
      <c r="I1776" s="28" t="str">
        <f aca="false">IF(C1776="","",IFERROR(INDEX(Settings!$C$8:$C$19,MATCH(C1776,Settings!$B$8:$B$19,0)),"?"))</f>
        <v/>
      </c>
      <c r="J1776" s="28" t="str">
        <f aca="false">IF(G1776="","",IFERROR(INDEX(Settings!$C$8:$C$19,MATCH(G1776,Settings!$B$8:$B$19,0)),"?"))</f>
        <v/>
      </c>
      <c r="K1776" s="35" t="str">
        <f aca="false">IF(A1776="","",DATE(YEAR(A1776),MONTH(A1776),1))</f>
        <v/>
      </c>
      <c r="L1776" s="28" t="str">
        <f aca="false">IF(E1776="","",IFERROR(INDEX(Settings!$K$8:$K$38,MATCH(E1776,Settings!$H$8:$H$38,0))&amp;"",""))</f>
        <v/>
      </c>
    </row>
    <row r="1777" customFormat="false" ht="15" hidden="false" customHeight="false" outlineLevel="0" collapsed="false">
      <c r="A1777" s="33"/>
      <c r="B1777" s="27"/>
      <c r="C1777" s="27"/>
      <c r="D1777" s="27"/>
      <c r="E1777" s="27"/>
      <c r="F1777" s="34"/>
      <c r="G1777" s="27"/>
      <c r="H1777" s="27"/>
      <c r="I1777" s="28" t="str">
        <f aca="false">IF(C1777="","",IFERROR(INDEX(Settings!$C$8:$C$19,MATCH(C1777,Settings!$B$8:$B$19,0)),"?"))</f>
        <v/>
      </c>
      <c r="J1777" s="28" t="str">
        <f aca="false">IF(G1777="","",IFERROR(INDEX(Settings!$C$8:$C$19,MATCH(G1777,Settings!$B$8:$B$19,0)),"?"))</f>
        <v/>
      </c>
      <c r="K1777" s="35" t="str">
        <f aca="false">IF(A1777="","",DATE(YEAR(A1777),MONTH(A1777),1))</f>
        <v/>
      </c>
      <c r="L1777" s="28" t="str">
        <f aca="false">IF(E1777="","",IFERROR(INDEX(Settings!$K$8:$K$38,MATCH(E1777,Settings!$H$8:$H$38,0))&amp;"",""))</f>
        <v/>
      </c>
    </row>
    <row r="1778" customFormat="false" ht="15" hidden="false" customHeight="false" outlineLevel="0" collapsed="false">
      <c r="A1778" s="33"/>
      <c r="B1778" s="27"/>
      <c r="C1778" s="27"/>
      <c r="D1778" s="27"/>
      <c r="E1778" s="27"/>
      <c r="F1778" s="34"/>
      <c r="G1778" s="27"/>
      <c r="H1778" s="27"/>
      <c r="I1778" s="28" t="str">
        <f aca="false">IF(C1778="","",IFERROR(INDEX(Settings!$C$8:$C$19,MATCH(C1778,Settings!$B$8:$B$19,0)),"?"))</f>
        <v/>
      </c>
      <c r="J1778" s="28" t="str">
        <f aca="false">IF(G1778="","",IFERROR(INDEX(Settings!$C$8:$C$19,MATCH(G1778,Settings!$B$8:$B$19,0)),"?"))</f>
        <v/>
      </c>
      <c r="K1778" s="35" t="str">
        <f aca="false">IF(A1778="","",DATE(YEAR(A1778),MONTH(A1778),1))</f>
        <v/>
      </c>
      <c r="L1778" s="28" t="str">
        <f aca="false">IF(E1778="","",IFERROR(INDEX(Settings!$K$8:$K$38,MATCH(E1778,Settings!$H$8:$H$38,0))&amp;"",""))</f>
        <v/>
      </c>
    </row>
    <row r="1779" customFormat="false" ht="15" hidden="false" customHeight="false" outlineLevel="0" collapsed="false">
      <c r="A1779" s="33"/>
      <c r="B1779" s="27"/>
      <c r="C1779" s="27"/>
      <c r="D1779" s="27"/>
      <c r="E1779" s="27"/>
      <c r="F1779" s="34"/>
      <c r="G1779" s="27"/>
      <c r="H1779" s="27"/>
      <c r="I1779" s="28" t="str">
        <f aca="false">IF(C1779="","",IFERROR(INDEX(Settings!$C$8:$C$19,MATCH(C1779,Settings!$B$8:$B$19,0)),"?"))</f>
        <v/>
      </c>
      <c r="J1779" s="28" t="str">
        <f aca="false">IF(G1779="","",IFERROR(INDEX(Settings!$C$8:$C$19,MATCH(G1779,Settings!$B$8:$B$19,0)),"?"))</f>
        <v/>
      </c>
      <c r="K1779" s="35" t="str">
        <f aca="false">IF(A1779="","",DATE(YEAR(A1779),MONTH(A1779),1))</f>
        <v/>
      </c>
      <c r="L1779" s="28" t="str">
        <f aca="false">IF(E1779="","",IFERROR(INDEX(Settings!$K$8:$K$38,MATCH(E1779,Settings!$H$8:$H$38,0))&amp;"",""))</f>
        <v/>
      </c>
    </row>
    <row r="1780" customFormat="false" ht="15" hidden="false" customHeight="false" outlineLevel="0" collapsed="false">
      <c r="A1780" s="33"/>
      <c r="B1780" s="27"/>
      <c r="C1780" s="27"/>
      <c r="D1780" s="27"/>
      <c r="E1780" s="27"/>
      <c r="F1780" s="34"/>
      <c r="G1780" s="27"/>
      <c r="H1780" s="27"/>
      <c r="I1780" s="28" t="str">
        <f aca="false">IF(C1780="","",IFERROR(INDEX(Settings!$C$8:$C$19,MATCH(C1780,Settings!$B$8:$B$19,0)),"?"))</f>
        <v/>
      </c>
      <c r="J1780" s="28" t="str">
        <f aca="false">IF(G1780="","",IFERROR(INDEX(Settings!$C$8:$C$19,MATCH(G1780,Settings!$B$8:$B$19,0)),"?"))</f>
        <v/>
      </c>
      <c r="K1780" s="35" t="str">
        <f aca="false">IF(A1780="","",DATE(YEAR(A1780),MONTH(A1780),1))</f>
        <v/>
      </c>
      <c r="L1780" s="28" t="str">
        <f aca="false">IF(E1780="","",IFERROR(INDEX(Settings!$K$8:$K$38,MATCH(E1780,Settings!$H$8:$H$38,0))&amp;"",""))</f>
        <v/>
      </c>
    </row>
    <row r="1781" customFormat="false" ht="15" hidden="false" customHeight="false" outlineLevel="0" collapsed="false">
      <c r="A1781" s="33"/>
      <c r="B1781" s="27"/>
      <c r="C1781" s="27"/>
      <c r="D1781" s="27"/>
      <c r="E1781" s="27"/>
      <c r="F1781" s="34"/>
      <c r="G1781" s="27"/>
      <c r="H1781" s="27"/>
      <c r="I1781" s="28" t="str">
        <f aca="false">IF(C1781="","",IFERROR(INDEX(Settings!$C$8:$C$19,MATCH(C1781,Settings!$B$8:$B$19,0)),"?"))</f>
        <v/>
      </c>
      <c r="J1781" s="28" t="str">
        <f aca="false">IF(G1781="","",IFERROR(INDEX(Settings!$C$8:$C$19,MATCH(G1781,Settings!$B$8:$B$19,0)),"?"))</f>
        <v/>
      </c>
      <c r="K1781" s="35" t="str">
        <f aca="false">IF(A1781="","",DATE(YEAR(A1781),MONTH(A1781),1))</f>
        <v/>
      </c>
      <c r="L1781" s="28" t="str">
        <f aca="false">IF(E1781="","",IFERROR(INDEX(Settings!$K$8:$K$38,MATCH(E1781,Settings!$H$8:$H$38,0))&amp;"",""))</f>
        <v/>
      </c>
    </row>
    <row r="1782" customFormat="false" ht="15" hidden="false" customHeight="false" outlineLevel="0" collapsed="false">
      <c r="A1782" s="33"/>
      <c r="B1782" s="27"/>
      <c r="C1782" s="27"/>
      <c r="D1782" s="27"/>
      <c r="E1782" s="27"/>
      <c r="F1782" s="34"/>
      <c r="G1782" s="27"/>
      <c r="H1782" s="27"/>
      <c r="I1782" s="28" t="str">
        <f aca="false">IF(C1782="","",IFERROR(INDEX(Settings!$C$8:$C$19,MATCH(C1782,Settings!$B$8:$B$19,0)),"?"))</f>
        <v/>
      </c>
      <c r="J1782" s="28" t="str">
        <f aca="false">IF(G1782="","",IFERROR(INDEX(Settings!$C$8:$C$19,MATCH(G1782,Settings!$B$8:$B$19,0)),"?"))</f>
        <v/>
      </c>
      <c r="K1782" s="35" t="str">
        <f aca="false">IF(A1782="","",DATE(YEAR(A1782),MONTH(A1782),1))</f>
        <v/>
      </c>
      <c r="L1782" s="28" t="str">
        <f aca="false">IF(E1782="","",IFERROR(INDEX(Settings!$K$8:$K$38,MATCH(E1782,Settings!$H$8:$H$38,0))&amp;"",""))</f>
        <v/>
      </c>
    </row>
    <row r="1783" customFormat="false" ht="15" hidden="false" customHeight="false" outlineLevel="0" collapsed="false">
      <c r="A1783" s="33"/>
      <c r="B1783" s="27"/>
      <c r="C1783" s="27"/>
      <c r="D1783" s="27"/>
      <c r="E1783" s="27"/>
      <c r="F1783" s="34"/>
      <c r="G1783" s="27"/>
      <c r="H1783" s="27"/>
      <c r="I1783" s="28" t="str">
        <f aca="false">IF(C1783="","",IFERROR(INDEX(Settings!$C$8:$C$19,MATCH(C1783,Settings!$B$8:$B$19,0)),"?"))</f>
        <v/>
      </c>
      <c r="J1783" s="28" t="str">
        <f aca="false">IF(G1783="","",IFERROR(INDEX(Settings!$C$8:$C$19,MATCH(G1783,Settings!$B$8:$B$19,0)),"?"))</f>
        <v/>
      </c>
      <c r="K1783" s="35" t="str">
        <f aca="false">IF(A1783="","",DATE(YEAR(A1783),MONTH(A1783),1))</f>
        <v/>
      </c>
      <c r="L1783" s="28" t="str">
        <f aca="false">IF(E1783="","",IFERROR(INDEX(Settings!$K$8:$K$38,MATCH(E1783,Settings!$H$8:$H$38,0))&amp;"",""))</f>
        <v/>
      </c>
    </row>
    <row r="1784" customFormat="false" ht="15" hidden="false" customHeight="false" outlineLevel="0" collapsed="false">
      <c r="A1784" s="33"/>
      <c r="B1784" s="27"/>
      <c r="C1784" s="27"/>
      <c r="D1784" s="27"/>
      <c r="E1784" s="27"/>
      <c r="F1784" s="34"/>
      <c r="G1784" s="27"/>
      <c r="H1784" s="27"/>
      <c r="I1784" s="28" t="str">
        <f aca="false">IF(C1784="","",IFERROR(INDEX(Settings!$C$8:$C$19,MATCH(C1784,Settings!$B$8:$B$19,0)),"?"))</f>
        <v/>
      </c>
      <c r="J1784" s="28" t="str">
        <f aca="false">IF(G1784="","",IFERROR(INDEX(Settings!$C$8:$C$19,MATCH(G1784,Settings!$B$8:$B$19,0)),"?"))</f>
        <v/>
      </c>
      <c r="K1784" s="35" t="str">
        <f aca="false">IF(A1784="","",DATE(YEAR(A1784),MONTH(A1784),1))</f>
        <v/>
      </c>
      <c r="L1784" s="28" t="str">
        <f aca="false">IF(E1784="","",IFERROR(INDEX(Settings!$K$8:$K$38,MATCH(E1784,Settings!$H$8:$H$38,0))&amp;"",""))</f>
        <v/>
      </c>
    </row>
    <row r="1785" customFormat="false" ht="15" hidden="false" customHeight="false" outlineLevel="0" collapsed="false">
      <c r="A1785" s="33"/>
      <c r="B1785" s="27"/>
      <c r="C1785" s="27"/>
      <c r="D1785" s="27"/>
      <c r="E1785" s="27"/>
      <c r="F1785" s="34"/>
      <c r="G1785" s="27"/>
      <c r="H1785" s="27"/>
      <c r="I1785" s="28" t="str">
        <f aca="false">IF(C1785="","",IFERROR(INDEX(Settings!$C$8:$C$19,MATCH(C1785,Settings!$B$8:$B$19,0)),"?"))</f>
        <v/>
      </c>
      <c r="J1785" s="28" t="str">
        <f aca="false">IF(G1785="","",IFERROR(INDEX(Settings!$C$8:$C$19,MATCH(G1785,Settings!$B$8:$B$19,0)),"?"))</f>
        <v/>
      </c>
      <c r="K1785" s="35" t="str">
        <f aca="false">IF(A1785="","",DATE(YEAR(A1785),MONTH(A1785),1))</f>
        <v/>
      </c>
      <c r="L1785" s="28" t="str">
        <f aca="false">IF(E1785="","",IFERROR(INDEX(Settings!$K$8:$K$38,MATCH(E1785,Settings!$H$8:$H$38,0))&amp;"",""))</f>
        <v/>
      </c>
    </row>
    <row r="1786" customFormat="false" ht="15" hidden="false" customHeight="false" outlineLevel="0" collapsed="false">
      <c r="A1786" s="33"/>
      <c r="B1786" s="27"/>
      <c r="C1786" s="27"/>
      <c r="D1786" s="27"/>
      <c r="E1786" s="27"/>
      <c r="F1786" s="34"/>
      <c r="G1786" s="27"/>
      <c r="H1786" s="27"/>
      <c r="I1786" s="28" t="str">
        <f aca="false">IF(C1786="","",IFERROR(INDEX(Settings!$C$8:$C$19,MATCH(C1786,Settings!$B$8:$B$19,0)),"?"))</f>
        <v/>
      </c>
      <c r="J1786" s="28" t="str">
        <f aca="false">IF(G1786="","",IFERROR(INDEX(Settings!$C$8:$C$19,MATCH(G1786,Settings!$B$8:$B$19,0)),"?"))</f>
        <v/>
      </c>
      <c r="K1786" s="35" t="str">
        <f aca="false">IF(A1786="","",DATE(YEAR(A1786),MONTH(A1786),1))</f>
        <v/>
      </c>
      <c r="L1786" s="28" t="str">
        <f aca="false">IF(E1786="","",IFERROR(INDEX(Settings!$K$8:$K$38,MATCH(E1786,Settings!$H$8:$H$38,0))&amp;"",""))</f>
        <v/>
      </c>
    </row>
    <row r="1787" customFormat="false" ht="15" hidden="false" customHeight="false" outlineLevel="0" collapsed="false">
      <c r="A1787" s="33"/>
      <c r="B1787" s="27"/>
      <c r="C1787" s="27"/>
      <c r="D1787" s="27"/>
      <c r="E1787" s="27"/>
      <c r="F1787" s="34"/>
      <c r="G1787" s="27"/>
      <c r="H1787" s="27"/>
      <c r="I1787" s="28" t="str">
        <f aca="false">IF(C1787="","",IFERROR(INDEX(Settings!$C$8:$C$19,MATCH(C1787,Settings!$B$8:$B$19,0)),"?"))</f>
        <v/>
      </c>
      <c r="J1787" s="28" t="str">
        <f aca="false">IF(G1787="","",IFERROR(INDEX(Settings!$C$8:$C$19,MATCH(G1787,Settings!$B$8:$B$19,0)),"?"))</f>
        <v/>
      </c>
      <c r="K1787" s="35" t="str">
        <f aca="false">IF(A1787="","",DATE(YEAR(A1787),MONTH(A1787),1))</f>
        <v/>
      </c>
      <c r="L1787" s="28" t="str">
        <f aca="false">IF(E1787="","",IFERROR(INDEX(Settings!$K$8:$K$38,MATCH(E1787,Settings!$H$8:$H$38,0))&amp;"",""))</f>
        <v/>
      </c>
    </row>
    <row r="1788" customFormat="false" ht="15" hidden="false" customHeight="false" outlineLevel="0" collapsed="false">
      <c r="A1788" s="33"/>
      <c r="B1788" s="27"/>
      <c r="C1788" s="27"/>
      <c r="D1788" s="27"/>
      <c r="E1788" s="27"/>
      <c r="F1788" s="34"/>
      <c r="G1788" s="27"/>
      <c r="H1788" s="27"/>
      <c r="I1788" s="28" t="str">
        <f aca="false">IF(C1788="","",IFERROR(INDEX(Settings!$C$8:$C$19,MATCH(C1788,Settings!$B$8:$B$19,0)),"?"))</f>
        <v/>
      </c>
      <c r="J1788" s="28" t="str">
        <f aca="false">IF(G1788="","",IFERROR(INDEX(Settings!$C$8:$C$19,MATCH(G1788,Settings!$B$8:$B$19,0)),"?"))</f>
        <v/>
      </c>
      <c r="K1788" s="35" t="str">
        <f aca="false">IF(A1788="","",DATE(YEAR(A1788),MONTH(A1788),1))</f>
        <v/>
      </c>
      <c r="L1788" s="28" t="str">
        <f aca="false">IF(E1788="","",IFERROR(INDEX(Settings!$K$8:$K$38,MATCH(E1788,Settings!$H$8:$H$38,0))&amp;"",""))</f>
        <v/>
      </c>
    </row>
    <row r="1789" customFormat="false" ht="15" hidden="false" customHeight="false" outlineLevel="0" collapsed="false">
      <c r="A1789" s="33"/>
      <c r="B1789" s="27"/>
      <c r="C1789" s="27"/>
      <c r="D1789" s="27"/>
      <c r="E1789" s="27"/>
      <c r="F1789" s="34"/>
      <c r="G1789" s="27"/>
      <c r="H1789" s="27"/>
      <c r="I1789" s="28" t="str">
        <f aca="false">IF(C1789="","",IFERROR(INDEX(Settings!$C$8:$C$19,MATCH(C1789,Settings!$B$8:$B$19,0)),"?"))</f>
        <v/>
      </c>
      <c r="J1789" s="28" t="str">
        <f aca="false">IF(G1789="","",IFERROR(INDEX(Settings!$C$8:$C$19,MATCH(G1789,Settings!$B$8:$B$19,0)),"?"))</f>
        <v/>
      </c>
      <c r="K1789" s="35" t="str">
        <f aca="false">IF(A1789="","",DATE(YEAR(A1789),MONTH(A1789),1))</f>
        <v/>
      </c>
      <c r="L1789" s="28" t="str">
        <f aca="false">IF(E1789="","",IFERROR(INDEX(Settings!$K$8:$K$38,MATCH(E1789,Settings!$H$8:$H$38,0))&amp;"",""))</f>
        <v/>
      </c>
    </row>
    <row r="1790" customFormat="false" ht="15" hidden="false" customHeight="false" outlineLevel="0" collapsed="false">
      <c r="A1790" s="33"/>
      <c r="B1790" s="27"/>
      <c r="C1790" s="27"/>
      <c r="D1790" s="27"/>
      <c r="E1790" s="27"/>
      <c r="F1790" s="34"/>
      <c r="G1790" s="27"/>
      <c r="H1790" s="27"/>
      <c r="I1790" s="28" t="str">
        <f aca="false">IF(C1790="","",IFERROR(INDEX(Settings!$C$8:$C$19,MATCH(C1790,Settings!$B$8:$B$19,0)),"?"))</f>
        <v/>
      </c>
      <c r="J1790" s="28" t="str">
        <f aca="false">IF(G1790="","",IFERROR(INDEX(Settings!$C$8:$C$19,MATCH(G1790,Settings!$B$8:$B$19,0)),"?"))</f>
        <v/>
      </c>
      <c r="K1790" s="35" t="str">
        <f aca="false">IF(A1790="","",DATE(YEAR(A1790),MONTH(A1790),1))</f>
        <v/>
      </c>
      <c r="L1790" s="28" t="str">
        <f aca="false">IF(E1790="","",IFERROR(INDEX(Settings!$K$8:$K$38,MATCH(E1790,Settings!$H$8:$H$38,0))&amp;"",""))</f>
        <v/>
      </c>
    </row>
    <row r="1791" customFormat="false" ht="15" hidden="false" customHeight="false" outlineLevel="0" collapsed="false">
      <c r="A1791" s="33"/>
      <c r="B1791" s="27"/>
      <c r="C1791" s="27"/>
      <c r="D1791" s="27"/>
      <c r="E1791" s="27"/>
      <c r="F1791" s="34"/>
      <c r="G1791" s="27"/>
      <c r="H1791" s="27"/>
      <c r="I1791" s="28" t="str">
        <f aca="false">IF(C1791="","",IFERROR(INDEX(Settings!$C$8:$C$19,MATCH(C1791,Settings!$B$8:$B$19,0)),"?"))</f>
        <v/>
      </c>
      <c r="J1791" s="28" t="str">
        <f aca="false">IF(G1791="","",IFERROR(INDEX(Settings!$C$8:$C$19,MATCH(G1791,Settings!$B$8:$B$19,0)),"?"))</f>
        <v/>
      </c>
      <c r="K1791" s="35" t="str">
        <f aca="false">IF(A1791="","",DATE(YEAR(A1791),MONTH(A1791),1))</f>
        <v/>
      </c>
      <c r="L1791" s="28" t="str">
        <f aca="false">IF(E1791="","",IFERROR(INDEX(Settings!$K$8:$K$38,MATCH(E1791,Settings!$H$8:$H$38,0))&amp;"",""))</f>
        <v/>
      </c>
    </row>
    <row r="1792" customFormat="false" ht="15" hidden="false" customHeight="false" outlineLevel="0" collapsed="false">
      <c r="A1792" s="33"/>
      <c r="B1792" s="27"/>
      <c r="C1792" s="27"/>
      <c r="D1792" s="27"/>
      <c r="E1792" s="27"/>
      <c r="F1792" s="34"/>
      <c r="G1792" s="27"/>
      <c r="H1792" s="27"/>
      <c r="I1792" s="28" t="str">
        <f aca="false">IF(C1792="","",IFERROR(INDEX(Settings!$C$8:$C$19,MATCH(C1792,Settings!$B$8:$B$19,0)),"?"))</f>
        <v/>
      </c>
      <c r="J1792" s="28" t="str">
        <f aca="false">IF(G1792="","",IFERROR(INDEX(Settings!$C$8:$C$19,MATCH(G1792,Settings!$B$8:$B$19,0)),"?"))</f>
        <v/>
      </c>
      <c r="K1792" s="35" t="str">
        <f aca="false">IF(A1792="","",DATE(YEAR(A1792),MONTH(A1792),1))</f>
        <v/>
      </c>
      <c r="L1792" s="28" t="str">
        <f aca="false">IF(E1792="","",IFERROR(INDEX(Settings!$K$8:$K$38,MATCH(E1792,Settings!$H$8:$H$38,0))&amp;"",""))</f>
        <v/>
      </c>
    </row>
    <row r="1793" customFormat="false" ht="15" hidden="false" customHeight="false" outlineLevel="0" collapsed="false">
      <c r="A1793" s="33"/>
      <c r="B1793" s="27"/>
      <c r="C1793" s="27"/>
      <c r="D1793" s="27"/>
      <c r="E1793" s="27"/>
      <c r="F1793" s="34"/>
      <c r="G1793" s="27"/>
      <c r="H1793" s="27"/>
      <c r="I1793" s="28" t="str">
        <f aca="false">IF(C1793="","",IFERROR(INDEX(Settings!$C$8:$C$19,MATCH(C1793,Settings!$B$8:$B$19,0)),"?"))</f>
        <v/>
      </c>
      <c r="J1793" s="28" t="str">
        <f aca="false">IF(G1793="","",IFERROR(INDEX(Settings!$C$8:$C$19,MATCH(G1793,Settings!$B$8:$B$19,0)),"?"))</f>
        <v/>
      </c>
      <c r="K1793" s="35" t="str">
        <f aca="false">IF(A1793="","",DATE(YEAR(A1793),MONTH(A1793),1))</f>
        <v/>
      </c>
      <c r="L1793" s="28" t="str">
        <f aca="false">IF(E1793="","",IFERROR(INDEX(Settings!$K$8:$K$38,MATCH(E1793,Settings!$H$8:$H$38,0))&amp;"",""))</f>
        <v/>
      </c>
    </row>
    <row r="1794" customFormat="false" ht="15" hidden="false" customHeight="false" outlineLevel="0" collapsed="false">
      <c r="A1794" s="33"/>
      <c r="B1794" s="27"/>
      <c r="C1794" s="27"/>
      <c r="D1794" s="27"/>
      <c r="E1794" s="27"/>
      <c r="F1794" s="34"/>
      <c r="G1794" s="27"/>
      <c r="H1794" s="27"/>
      <c r="I1794" s="28" t="str">
        <f aca="false">IF(C1794="","",IFERROR(INDEX(Settings!$C$8:$C$19,MATCH(C1794,Settings!$B$8:$B$19,0)),"?"))</f>
        <v/>
      </c>
      <c r="J1794" s="28" t="str">
        <f aca="false">IF(G1794="","",IFERROR(INDEX(Settings!$C$8:$C$19,MATCH(G1794,Settings!$B$8:$B$19,0)),"?"))</f>
        <v/>
      </c>
      <c r="K1794" s="35" t="str">
        <f aca="false">IF(A1794="","",DATE(YEAR(A1794),MONTH(A1794),1))</f>
        <v/>
      </c>
      <c r="L1794" s="28" t="str">
        <f aca="false">IF(E1794="","",IFERROR(INDEX(Settings!$K$8:$K$38,MATCH(E1794,Settings!$H$8:$H$38,0))&amp;"",""))</f>
        <v/>
      </c>
    </row>
    <row r="1795" customFormat="false" ht="15" hidden="false" customHeight="false" outlineLevel="0" collapsed="false">
      <c r="A1795" s="33"/>
      <c r="B1795" s="27"/>
      <c r="C1795" s="27"/>
      <c r="D1795" s="27"/>
      <c r="E1795" s="27"/>
      <c r="F1795" s="34"/>
      <c r="G1795" s="27"/>
      <c r="H1795" s="27"/>
      <c r="I1795" s="28" t="str">
        <f aca="false">IF(C1795="","",IFERROR(INDEX(Settings!$C$8:$C$19,MATCH(C1795,Settings!$B$8:$B$19,0)),"?"))</f>
        <v/>
      </c>
      <c r="J1795" s="28" t="str">
        <f aca="false">IF(G1795="","",IFERROR(INDEX(Settings!$C$8:$C$19,MATCH(G1795,Settings!$B$8:$B$19,0)),"?"))</f>
        <v/>
      </c>
      <c r="K1795" s="35" t="str">
        <f aca="false">IF(A1795="","",DATE(YEAR(A1795),MONTH(A1795),1))</f>
        <v/>
      </c>
      <c r="L1795" s="28" t="str">
        <f aca="false">IF(E1795="","",IFERROR(INDEX(Settings!$K$8:$K$38,MATCH(E1795,Settings!$H$8:$H$38,0))&amp;"",""))</f>
        <v/>
      </c>
    </row>
    <row r="1796" customFormat="false" ht="15" hidden="false" customHeight="false" outlineLevel="0" collapsed="false">
      <c r="A1796" s="33"/>
      <c r="B1796" s="27"/>
      <c r="C1796" s="27"/>
      <c r="D1796" s="27"/>
      <c r="E1796" s="27"/>
      <c r="F1796" s="34"/>
      <c r="G1796" s="27"/>
      <c r="H1796" s="27"/>
      <c r="I1796" s="28" t="str">
        <f aca="false">IF(C1796="","",IFERROR(INDEX(Settings!$C$8:$C$19,MATCH(C1796,Settings!$B$8:$B$19,0)),"?"))</f>
        <v/>
      </c>
      <c r="J1796" s="28" t="str">
        <f aca="false">IF(G1796="","",IFERROR(INDEX(Settings!$C$8:$C$19,MATCH(G1796,Settings!$B$8:$B$19,0)),"?"))</f>
        <v/>
      </c>
      <c r="K1796" s="35" t="str">
        <f aca="false">IF(A1796="","",DATE(YEAR(A1796),MONTH(A1796),1))</f>
        <v/>
      </c>
      <c r="L1796" s="28" t="str">
        <f aca="false">IF(E1796="","",IFERROR(INDEX(Settings!$K$8:$K$38,MATCH(E1796,Settings!$H$8:$H$38,0))&amp;"",""))</f>
        <v/>
      </c>
    </row>
    <row r="1797" customFormat="false" ht="15" hidden="false" customHeight="false" outlineLevel="0" collapsed="false">
      <c r="A1797" s="33"/>
      <c r="B1797" s="27"/>
      <c r="C1797" s="27"/>
      <c r="D1797" s="27"/>
      <c r="E1797" s="27"/>
      <c r="F1797" s="34"/>
      <c r="G1797" s="27"/>
      <c r="H1797" s="27"/>
      <c r="I1797" s="28" t="str">
        <f aca="false">IF(C1797="","",IFERROR(INDEX(Settings!$C$8:$C$19,MATCH(C1797,Settings!$B$8:$B$19,0)),"?"))</f>
        <v/>
      </c>
      <c r="J1797" s="28" t="str">
        <f aca="false">IF(G1797="","",IFERROR(INDEX(Settings!$C$8:$C$19,MATCH(G1797,Settings!$B$8:$B$19,0)),"?"))</f>
        <v/>
      </c>
      <c r="K1797" s="35" t="str">
        <f aca="false">IF(A1797="","",DATE(YEAR(A1797),MONTH(A1797),1))</f>
        <v/>
      </c>
      <c r="L1797" s="28" t="str">
        <f aca="false">IF(E1797="","",IFERROR(INDEX(Settings!$K$8:$K$38,MATCH(E1797,Settings!$H$8:$H$38,0))&amp;"",""))</f>
        <v/>
      </c>
    </row>
    <row r="1798" customFormat="false" ht="15" hidden="false" customHeight="false" outlineLevel="0" collapsed="false">
      <c r="A1798" s="33"/>
      <c r="B1798" s="27"/>
      <c r="C1798" s="27"/>
      <c r="D1798" s="27"/>
      <c r="E1798" s="27"/>
      <c r="F1798" s="34"/>
      <c r="G1798" s="27"/>
      <c r="H1798" s="27"/>
      <c r="I1798" s="28" t="str">
        <f aca="false">IF(C1798="","",IFERROR(INDEX(Settings!$C$8:$C$19,MATCH(C1798,Settings!$B$8:$B$19,0)),"?"))</f>
        <v/>
      </c>
      <c r="J1798" s="28" t="str">
        <f aca="false">IF(G1798="","",IFERROR(INDEX(Settings!$C$8:$C$19,MATCH(G1798,Settings!$B$8:$B$19,0)),"?"))</f>
        <v/>
      </c>
      <c r="K1798" s="35" t="str">
        <f aca="false">IF(A1798="","",DATE(YEAR(A1798),MONTH(A1798),1))</f>
        <v/>
      </c>
      <c r="L1798" s="28" t="str">
        <f aca="false">IF(E1798="","",IFERROR(INDEX(Settings!$K$8:$K$38,MATCH(E1798,Settings!$H$8:$H$38,0))&amp;"",""))</f>
        <v/>
      </c>
    </row>
    <row r="1799" customFormat="false" ht="15" hidden="false" customHeight="false" outlineLevel="0" collapsed="false">
      <c r="A1799" s="33"/>
      <c r="B1799" s="27"/>
      <c r="C1799" s="27"/>
      <c r="D1799" s="27"/>
      <c r="E1799" s="27"/>
      <c r="F1799" s="34"/>
      <c r="G1799" s="27"/>
      <c r="H1799" s="27"/>
      <c r="I1799" s="28" t="str">
        <f aca="false">IF(C1799="","",IFERROR(INDEX(Settings!$C$8:$C$19,MATCH(C1799,Settings!$B$8:$B$19,0)),"?"))</f>
        <v/>
      </c>
      <c r="J1799" s="28" t="str">
        <f aca="false">IF(G1799="","",IFERROR(INDEX(Settings!$C$8:$C$19,MATCH(G1799,Settings!$B$8:$B$19,0)),"?"))</f>
        <v/>
      </c>
      <c r="K1799" s="35" t="str">
        <f aca="false">IF(A1799="","",DATE(YEAR(A1799),MONTH(A1799),1))</f>
        <v/>
      </c>
      <c r="L1799" s="28" t="str">
        <f aca="false">IF(E1799="","",IFERROR(INDEX(Settings!$K$8:$K$38,MATCH(E1799,Settings!$H$8:$H$38,0))&amp;"",""))</f>
        <v/>
      </c>
    </row>
    <row r="1800" customFormat="false" ht="15" hidden="false" customHeight="false" outlineLevel="0" collapsed="false">
      <c r="A1800" s="33"/>
      <c r="B1800" s="27"/>
      <c r="C1800" s="27"/>
      <c r="D1800" s="27"/>
      <c r="E1800" s="27"/>
      <c r="F1800" s="34"/>
      <c r="G1800" s="27"/>
      <c r="H1800" s="27"/>
      <c r="I1800" s="28" t="str">
        <f aca="false">IF(C1800="","",IFERROR(INDEX(Settings!$C$8:$C$19,MATCH(C1800,Settings!$B$8:$B$19,0)),"?"))</f>
        <v/>
      </c>
      <c r="J1800" s="28" t="str">
        <f aca="false">IF(G1800="","",IFERROR(INDEX(Settings!$C$8:$C$19,MATCH(G1800,Settings!$B$8:$B$19,0)),"?"))</f>
        <v/>
      </c>
      <c r="K1800" s="35" t="str">
        <f aca="false">IF(A1800="","",DATE(YEAR(A1800),MONTH(A1800),1))</f>
        <v/>
      </c>
      <c r="L1800" s="28" t="str">
        <f aca="false">IF(E1800="","",IFERROR(INDEX(Settings!$K$8:$K$38,MATCH(E1800,Settings!$H$8:$H$38,0))&amp;"",""))</f>
        <v/>
      </c>
    </row>
    <row r="1801" customFormat="false" ht="15" hidden="false" customHeight="false" outlineLevel="0" collapsed="false">
      <c r="A1801" s="33"/>
      <c r="B1801" s="27"/>
      <c r="C1801" s="27"/>
      <c r="D1801" s="27"/>
      <c r="E1801" s="27"/>
      <c r="F1801" s="34"/>
      <c r="G1801" s="27"/>
      <c r="H1801" s="27"/>
      <c r="I1801" s="28" t="str">
        <f aca="false">IF(C1801="","",IFERROR(INDEX(Settings!$C$8:$C$19,MATCH(C1801,Settings!$B$8:$B$19,0)),"?"))</f>
        <v/>
      </c>
      <c r="J1801" s="28" t="str">
        <f aca="false">IF(G1801="","",IFERROR(INDEX(Settings!$C$8:$C$19,MATCH(G1801,Settings!$B$8:$B$19,0)),"?"))</f>
        <v/>
      </c>
      <c r="K1801" s="35" t="str">
        <f aca="false">IF(A1801="","",DATE(YEAR(A1801),MONTH(A1801),1))</f>
        <v/>
      </c>
      <c r="L1801" s="28" t="str">
        <f aca="false">IF(E1801="","",IFERROR(INDEX(Settings!$K$8:$K$38,MATCH(E1801,Settings!$H$8:$H$38,0))&amp;"",""))</f>
        <v/>
      </c>
    </row>
    <row r="1802" customFormat="false" ht="15" hidden="false" customHeight="false" outlineLevel="0" collapsed="false">
      <c r="A1802" s="33"/>
      <c r="B1802" s="27"/>
      <c r="C1802" s="27"/>
      <c r="D1802" s="27"/>
      <c r="E1802" s="27"/>
      <c r="F1802" s="34"/>
      <c r="G1802" s="27"/>
      <c r="H1802" s="27"/>
      <c r="I1802" s="28" t="str">
        <f aca="false">IF(C1802="","",IFERROR(INDEX(Settings!$C$8:$C$19,MATCH(C1802,Settings!$B$8:$B$19,0)),"?"))</f>
        <v/>
      </c>
      <c r="J1802" s="28" t="str">
        <f aca="false">IF(G1802="","",IFERROR(INDEX(Settings!$C$8:$C$19,MATCH(G1802,Settings!$B$8:$B$19,0)),"?"))</f>
        <v/>
      </c>
      <c r="K1802" s="35" t="str">
        <f aca="false">IF(A1802="","",DATE(YEAR(A1802),MONTH(A1802),1))</f>
        <v/>
      </c>
      <c r="L1802" s="28" t="str">
        <f aca="false">IF(E1802="","",IFERROR(INDEX(Settings!$K$8:$K$38,MATCH(E1802,Settings!$H$8:$H$38,0))&amp;"",""))</f>
        <v/>
      </c>
    </row>
    <row r="1803" customFormat="false" ht="15" hidden="false" customHeight="false" outlineLevel="0" collapsed="false">
      <c r="A1803" s="33"/>
      <c r="B1803" s="27"/>
      <c r="C1803" s="27"/>
      <c r="D1803" s="27"/>
      <c r="E1803" s="27"/>
      <c r="F1803" s="34"/>
      <c r="G1803" s="27"/>
      <c r="H1803" s="27"/>
      <c r="I1803" s="28" t="str">
        <f aca="false">IF(C1803="","",IFERROR(INDEX(Settings!$C$8:$C$19,MATCH(C1803,Settings!$B$8:$B$19,0)),"?"))</f>
        <v/>
      </c>
      <c r="J1803" s="28" t="str">
        <f aca="false">IF(G1803="","",IFERROR(INDEX(Settings!$C$8:$C$19,MATCH(G1803,Settings!$B$8:$B$19,0)),"?"))</f>
        <v/>
      </c>
      <c r="K1803" s="35" t="str">
        <f aca="false">IF(A1803="","",DATE(YEAR(A1803),MONTH(A1803),1))</f>
        <v/>
      </c>
      <c r="L1803" s="28" t="str">
        <f aca="false">IF(E1803="","",IFERROR(INDEX(Settings!$K$8:$K$38,MATCH(E1803,Settings!$H$8:$H$38,0))&amp;"",""))</f>
        <v/>
      </c>
    </row>
    <row r="1804" customFormat="false" ht="15" hidden="false" customHeight="false" outlineLevel="0" collapsed="false">
      <c r="A1804" s="33"/>
      <c r="B1804" s="27"/>
      <c r="C1804" s="27"/>
      <c r="D1804" s="27"/>
      <c r="E1804" s="27"/>
      <c r="F1804" s="34"/>
      <c r="G1804" s="27"/>
      <c r="H1804" s="27"/>
      <c r="I1804" s="28" t="str">
        <f aca="false">IF(C1804="","",IFERROR(INDEX(Settings!$C$8:$C$19,MATCH(C1804,Settings!$B$8:$B$19,0)),"?"))</f>
        <v/>
      </c>
      <c r="J1804" s="28" t="str">
        <f aca="false">IF(G1804="","",IFERROR(INDEX(Settings!$C$8:$C$19,MATCH(G1804,Settings!$B$8:$B$19,0)),"?"))</f>
        <v/>
      </c>
      <c r="K1804" s="35" t="str">
        <f aca="false">IF(A1804="","",DATE(YEAR(A1804),MONTH(A1804),1))</f>
        <v/>
      </c>
      <c r="L1804" s="28" t="str">
        <f aca="false">IF(E1804="","",IFERROR(INDEX(Settings!$K$8:$K$38,MATCH(E1804,Settings!$H$8:$H$38,0))&amp;"",""))</f>
        <v/>
      </c>
    </row>
    <row r="1805" customFormat="false" ht="15" hidden="false" customHeight="false" outlineLevel="0" collapsed="false">
      <c r="A1805" s="33"/>
      <c r="B1805" s="27"/>
      <c r="C1805" s="27"/>
      <c r="D1805" s="27"/>
      <c r="E1805" s="27"/>
      <c r="F1805" s="34"/>
      <c r="G1805" s="27"/>
      <c r="H1805" s="27"/>
      <c r="I1805" s="28" t="str">
        <f aca="false">IF(C1805="","",IFERROR(INDEX(Settings!$C$8:$C$19,MATCH(C1805,Settings!$B$8:$B$19,0)),"?"))</f>
        <v/>
      </c>
      <c r="J1805" s="28" t="str">
        <f aca="false">IF(G1805="","",IFERROR(INDEX(Settings!$C$8:$C$19,MATCH(G1805,Settings!$B$8:$B$19,0)),"?"))</f>
        <v/>
      </c>
      <c r="K1805" s="35" t="str">
        <f aca="false">IF(A1805="","",DATE(YEAR(A1805),MONTH(A1805),1))</f>
        <v/>
      </c>
      <c r="L1805" s="28" t="str">
        <f aca="false">IF(E1805="","",IFERROR(INDEX(Settings!$K$8:$K$38,MATCH(E1805,Settings!$H$8:$H$38,0))&amp;"",""))</f>
        <v/>
      </c>
    </row>
    <row r="1806" customFormat="false" ht="15" hidden="false" customHeight="false" outlineLevel="0" collapsed="false">
      <c r="A1806" s="33"/>
      <c r="B1806" s="27"/>
      <c r="C1806" s="27"/>
      <c r="D1806" s="27"/>
      <c r="E1806" s="27"/>
      <c r="F1806" s="34"/>
      <c r="G1806" s="27"/>
      <c r="H1806" s="27"/>
      <c r="I1806" s="28" t="str">
        <f aca="false">IF(C1806="","",IFERROR(INDEX(Settings!$C$8:$C$19,MATCH(C1806,Settings!$B$8:$B$19,0)),"?"))</f>
        <v/>
      </c>
      <c r="J1806" s="28" t="str">
        <f aca="false">IF(G1806="","",IFERROR(INDEX(Settings!$C$8:$C$19,MATCH(G1806,Settings!$B$8:$B$19,0)),"?"))</f>
        <v/>
      </c>
      <c r="K1806" s="35" t="str">
        <f aca="false">IF(A1806="","",DATE(YEAR(A1806),MONTH(A1806),1))</f>
        <v/>
      </c>
      <c r="L1806" s="28" t="str">
        <f aca="false">IF(E1806="","",IFERROR(INDEX(Settings!$K$8:$K$38,MATCH(E1806,Settings!$H$8:$H$38,0))&amp;"",""))</f>
        <v/>
      </c>
    </row>
    <row r="1807" customFormat="false" ht="15" hidden="false" customHeight="false" outlineLevel="0" collapsed="false">
      <c r="A1807" s="33"/>
      <c r="B1807" s="27"/>
      <c r="C1807" s="27"/>
      <c r="D1807" s="27"/>
      <c r="E1807" s="27"/>
      <c r="F1807" s="34"/>
      <c r="G1807" s="27"/>
      <c r="H1807" s="27"/>
      <c r="I1807" s="28" t="str">
        <f aca="false">IF(C1807="","",IFERROR(INDEX(Settings!$C$8:$C$19,MATCH(C1807,Settings!$B$8:$B$19,0)),"?"))</f>
        <v/>
      </c>
      <c r="J1807" s="28" t="str">
        <f aca="false">IF(G1807="","",IFERROR(INDEX(Settings!$C$8:$C$19,MATCH(G1807,Settings!$B$8:$B$19,0)),"?"))</f>
        <v/>
      </c>
      <c r="K1807" s="35" t="str">
        <f aca="false">IF(A1807="","",DATE(YEAR(A1807),MONTH(A1807),1))</f>
        <v/>
      </c>
      <c r="L1807" s="28" t="str">
        <f aca="false">IF(E1807="","",IFERROR(INDEX(Settings!$K$8:$K$38,MATCH(E1807,Settings!$H$8:$H$38,0))&amp;"",""))</f>
        <v/>
      </c>
    </row>
    <row r="1808" customFormat="false" ht="15" hidden="false" customHeight="false" outlineLevel="0" collapsed="false">
      <c r="A1808" s="33"/>
      <c r="B1808" s="27"/>
      <c r="C1808" s="27"/>
      <c r="D1808" s="27"/>
      <c r="E1808" s="27"/>
      <c r="F1808" s="34"/>
      <c r="G1808" s="27"/>
      <c r="H1808" s="27"/>
      <c r="I1808" s="28" t="str">
        <f aca="false">IF(C1808="","",IFERROR(INDEX(Settings!$C$8:$C$19,MATCH(C1808,Settings!$B$8:$B$19,0)),"?"))</f>
        <v/>
      </c>
      <c r="J1808" s="28" t="str">
        <f aca="false">IF(G1808="","",IFERROR(INDEX(Settings!$C$8:$C$19,MATCH(G1808,Settings!$B$8:$B$19,0)),"?"))</f>
        <v/>
      </c>
      <c r="K1808" s="35" t="str">
        <f aca="false">IF(A1808="","",DATE(YEAR(A1808),MONTH(A1808),1))</f>
        <v/>
      </c>
      <c r="L1808" s="28" t="str">
        <f aca="false">IF(E1808="","",IFERROR(INDEX(Settings!$K$8:$K$38,MATCH(E1808,Settings!$H$8:$H$38,0))&amp;"",""))</f>
        <v/>
      </c>
    </row>
    <row r="1809" customFormat="false" ht="15" hidden="false" customHeight="false" outlineLevel="0" collapsed="false">
      <c r="A1809" s="33"/>
      <c r="B1809" s="27"/>
      <c r="C1809" s="27"/>
      <c r="D1809" s="27"/>
      <c r="E1809" s="27"/>
      <c r="F1809" s="34"/>
      <c r="G1809" s="27"/>
      <c r="H1809" s="27"/>
      <c r="I1809" s="28" t="str">
        <f aca="false">IF(C1809="","",IFERROR(INDEX(Settings!$C$8:$C$19,MATCH(C1809,Settings!$B$8:$B$19,0)),"?"))</f>
        <v/>
      </c>
      <c r="J1809" s="28" t="str">
        <f aca="false">IF(G1809="","",IFERROR(INDEX(Settings!$C$8:$C$19,MATCH(G1809,Settings!$B$8:$B$19,0)),"?"))</f>
        <v/>
      </c>
      <c r="K1809" s="35" t="str">
        <f aca="false">IF(A1809="","",DATE(YEAR(A1809),MONTH(A1809),1))</f>
        <v/>
      </c>
      <c r="L1809" s="28" t="str">
        <f aca="false">IF(E1809="","",IFERROR(INDEX(Settings!$K$8:$K$38,MATCH(E1809,Settings!$H$8:$H$38,0))&amp;"",""))</f>
        <v/>
      </c>
    </row>
    <row r="1810" customFormat="false" ht="15" hidden="false" customHeight="false" outlineLevel="0" collapsed="false">
      <c r="A1810" s="33"/>
      <c r="B1810" s="27"/>
      <c r="C1810" s="27"/>
      <c r="D1810" s="27"/>
      <c r="E1810" s="27"/>
      <c r="F1810" s="34"/>
      <c r="G1810" s="27"/>
      <c r="H1810" s="27"/>
      <c r="I1810" s="28" t="str">
        <f aca="false">IF(C1810="","",IFERROR(INDEX(Settings!$C$8:$C$19,MATCH(C1810,Settings!$B$8:$B$19,0)),"?"))</f>
        <v/>
      </c>
      <c r="J1810" s="28" t="str">
        <f aca="false">IF(G1810="","",IFERROR(INDEX(Settings!$C$8:$C$19,MATCH(G1810,Settings!$B$8:$B$19,0)),"?"))</f>
        <v/>
      </c>
      <c r="K1810" s="35" t="str">
        <f aca="false">IF(A1810="","",DATE(YEAR(A1810),MONTH(A1810),1))</f>
        <v/>
      </c>
      <c r="L1810" s="28" t="str">
        <f aca="false">IF(E1810="","",IFERROR(INDEX(Settings!$K$8:$K$38,MATCH(E1810,Settings!$H$8:$H$38,0))&amp;"",""))</f>
        <v/>
      </c>
    </row>
    <row r="1811" customFormat="false" ht="15" hidden="false" customHeight="false" outlineLevel="0" collapsed="false">
      <c r="A1811" s="33"/>
      <c r="B1811" s="27"/>
      <c r="C1811" s="27"/>
      <c r="D1811" s="27"/>
      <c r="E1811" s="27"/>
      <c r="F1811" s="34"/>
      <c r="G1811" s="27"/>
      <c r="H1811" s="27"/>
      <c r="I1811" s="28" t="str">
        <f aca="false">IF(C1811="","",IFERROR(INDEX(Settings!$C$8:$C$19,MATCH(C1811,Settings!$B$8:$B$19,0)),"?"))</f>
        <v/>
      </c>
      <c r="J1811" s="28" t="str">
        <f aca="false">IF(G1811="","",IFERROR(INDEX(Settings!$C$8:$C$19,MATCH(G1811,Settings!$B$8:$B$19,0)),"?"))</f>
        <v/>
      </c>
      <c r="K1811" s="35" t="str">
        <f aca="false">IF(A1811="","",DATE(YEAR(A1811),MONTH(A1811),1))</f>
        <v/>
      </c>
      <c r="L1811" s="28" t="str">
        <f aca="false">IF(E1811="","",IFERROR(INDEX(Settings!$K$8:$K$38,MATCH(E1811,Settings!$H$8:$H$38,0))&amp;"",""))</f>
        <v/>
      </c>
    </row>
    <row r="1812" customFormat="false" ht="15" hidden="false" customHeight="false" outlineLevel="0" collapsed="false">
      <c r="A1812" s="33"/>
      <c r="B1812" s="27"/>
      <c r="C1812" s="27"/>
      <c r="D1812" s="27"/>
      <c r="E1812" s="27"/>
      <c r="F1812" s="34"/>
      <c r="G1812" s="27"/>
      <c r="H1812" s="27"/>
      <c r="I1812" s="28" t="str">
        <f aca="false">IF(C1812="","",IFERROR(INDEX(Settings!$C$8:$C$19,MATCH(C1812,Settings!$B$8:$B$19,0)),"?"))</f>
        <v/>
      </c>
      <c r="J1812" s="28" t="str">
        <f aca="false">IF(G1812="","",IFERROR(INDEX(Settings!$C$8:$C$19,MATCH(G1812,Settings!$B$8:$B$19,0)),"?"))</f>
        <v/>
      </c>
      <c r="K1812" s="35" t="str">
        <f aca="false">IF(A1812="","",DATE(YEAR(A1812),MONTH(A1812),1))</f>
        <v/>
      </c>
      <c r="L1812" s="28" t="str">
        <f aca="false">IF(E1812="","",IFERROR(INDEX(Settings!$K$8:$K$38,MATCH(E1812,Settings!$H$8:$H$38,0))&amp;"",""))</f>
        <v/>
      </c>
    </row>
    <row r="1813" customFormat="false" ht="15" hidden="false" customHeight="false" outlineLevel="0" collapsed="false">
      <c r="A1813" s="33"/>
      <c r="B1813" s="27"/>
      <c r="C1813" s="27"/>
      <c r="D1813" s="27"/>
      <c r="E1813" s="27"/>
      <c r="F1813" s="34"/>
      <c r="G1813" s="27"/>
      <c r="H1813" s="27"/>
      <c r="I1813" s="28" t="str">
        <f aca="false">IF(C1813="","",IFERROR(INDEX(Settings!$C$8:$C$19,MATCH(C1813,Settings!$B$8:$B$19,0)),"?"))</f>
        <v/>
      </c>
      <c r="J1813" s="28" t="str">
        <f aca="false">IF(G1813="","",IFERROR(INDEX(Settings!$C$8:$C$19,MATCH(G1813,Settings!$B$8:$B$19,0)),"?"))</f>
        <v/>
      </c>
      <c r="K1813" s="35" t="str">
        <f aca="false">IF(A1813="","",DATE(YEAR(A1813),MONTH(A1813),1))</f>
        <v/>
      </c>
      <c r="L1813" s="28" t="str">
        <f aca="false">IF(E1813="","",IFERROR(INDEX(Settings!$K$8:$K$38,MATCH(E1813,Settings!$H$8:$H$38,0))&amp;"",""))</f>
        <v/>
      </c>
    </row>
    <row r="1814" customFormat="false" ht="15" hidden="false" customHeight="false" outlineLevel="0" collapsed="false">
      <c r="A1814" s="33"/>
      <c r="B1814" s="27"/>
      <c r="C1814" s="27"/>
      <c r="D1814" s="27"/>
      <c r="E1814" s="27"/>
      <c r="F1814" s="34"/>
      <c r="G1814" s="27"/>
      <c r="H1814" s="27"/>
      <c r="I1814" s="28" t="str">
        <f aca="false">IF(C1814="","",IFERROR(INDEX(Settings!$C$8:$C$19,MATCH(C1814,Settings!$B$8:$B$19,0)),"?"))</f>
        <v/>
      </c>
      <c r="J1814" s="28" t="str">
        <f aca="false">IF(G1814="","",IFERROR(INDEX(Settings!$C$8:$C$19,MATCH(G1814,Settings!$B$8:$B$19,0)),"?"))</f>
        <v/>
      </c>
      <c r="K1814" s="35" t="str">
        <f aca="false">IF(A1814="","",DATE(YEAR(A1814),MONTH(A1814),1))</f>
        <v/>
      </c>
      <c r="L1814" s="28" t="str">
        <f aca="false">IF(E1814="","",IFERROR(INDEX(Settings!$K$8:$K$38,MATCH(E1814,Settings!$H$8:$H$38,0))&amp;"",""))</f>
        <v/>
      </c>
    </row>
    <row r="1815" customFormat="false" ht="15" hidden="false" customHeight="false" outlineLevel="0" collapsed="false">
      <c r="A1815" s="33"/>
      <c r="B1815" s="27"/>
      <c r="C1815" s="27"/>
      <c r="D1815" s="27"/>
      <c r="E1815" s="27"/>
      <c r="F1815" s="34"/>
      <c r="G1815" s="27"/>
      <c r="H1815" s="27"/>
      <c r="I1815" s="28" t="str">
        <f aca="false">IF(C1815="","",IFERROR(INDEX(Settings!$C$8:$C$19,MATCH(C1815,Settings!$B$8:$B$19,0)),"?"))</f>
        <v/>
      </c>
      <c r="J1815" s="28" t="str">
        <f aca="false">IF(G1815="","",IFERROR(INDEX(Settings!$C$8:$C$19,MATCH(G1815,Settings!$B$8:$B$19,0)),"?"))</f>
        <v/>
      </c>
      <c r="K1815" s="35" t="str">
        <f aca="false">IF(A1815="","",DATE(YEAR(A1815),MONTH(A1815),1))</f>
        <v/>
      </c>
      <c r="L1815" s="28" t="str">
        <f aca="false">IF(E1815="","",IFERROR(INDEX(Settings!$K$8:$K$38,MATCH(E1815,Settings!$H$8:$H$38,0))&amp;"",""))</f>
        <v/>
      </c>
    </row>
    <row r="1816" customFormat="false" ht="15" hidden="false" customHeight="false" outlineLevel="0" collapsed="false">
      <c r="A1816" s="33"/>
      <c r="B1816" s="27"/>
      <c r="C1816" s="27"/>
      <c r="D1816" s="27"/>
      <c r="E1816" s="27"/>
      <c r="F1816" s="34"/>
      <c r="G1816" s="27"/>
      <c r="H1816" s="27"/>
      <c r="I1816" s="28" t="str">
        <f aca="false">IF(C1816="","",IFERROR(INDEX(Settings!$C$8:$C$19,MATCH(C1816,Settings!$B$8:$B$19,0)),"?"))</f>
        <v/>
      </c>
      <c r="J1816" s="28" t="str">
        <f aca="false">IF(G1816="","",IFERROR(INDEX(Settings!$C$8:$C$19,MATCH(G1816,Settings!$B$8:$B$19,0)),"?"))</f>
        <v/>
      </c>
      <c r="K1816" s="35" t="str">
        <f aca="false">IF(A1816="","",DATE(YEAR(A1816),MONTH(A1816),1))</f>
        <v/>
      </c>
      <c r="L1816" s="28" t="str">
        <f aca="false">IF(E1816="","",IFERROR(INDEX(Settings!$K$8:$K$38,MATCH(E1816,Settings!$H$8:$H$38,0))&amp;"",""))</f>
        <v/>
      </c>
    </row>
    <row r="1817" customFormat="false" ht="15" hidden="false" customHeight="false" outlineLevel="0" collapsed="false">
      <c r="A1817" s="33"/>
      <c r="B1817" s="27"/>
      <c r="C1817" s="27"/>
      <c r="D1817" s="27"/>
      <c r="E1817" s="27"/>
      <c r="F1817" s="34"/>
      <c r="G1817" s="27"/>
      <c r="H1817" s="27"/>
      <c r="I1817" s="28" t="str">
        <f aca="false">IF(C1817="","",IFERROR(INDEX(Settings!$C$8:$C$19,MATCH(C1817,Settings!$B$8:$B$19,0)),"?"))</f>
        <v/>
      </c>
      <c r="J1817" s="28" t="str">
        <f aca="false">IF(G1817="","",IFERROR(INDEX(Settings!$C$8:$C$19,MATCH(G1817,Settings!$B$8:$B$19,0)),"?"))</f>
        <v/>
      </c>
      <c r="K1817" s="35" t="str">
        <f aca="false">IF(A1817="","",DATE(YEAR(A1817),MONTH(A1817),1))</f>
        <v/>
      </c>
      <c r="L1817" s="28" t="str">
        <f aca="false">IF(E1817="","",IFERROR(INDEX(Settings!$K$8:$K$38,MATCH(E1817,Settings!$H$8:$H$38,0))&amp;"",""))</f>
        <v/>
      </c>
    </row>
    <row r="1818" customFormat="false" ht="15" hidden="false" customHeight="false" outlineLevel="0" collapsed="false">
      <c r="A1818" s="33"/>
      <c r="B1818" s="27"/>
      <c r="C1818" s="27"/>
      <c r="D1818" s="27"/>
      <c r="E1818" s="27"/>
      <c r="F1818" s="34"/>
      <c r="G1818" s="27"/>
      <c r="H1818" s="27"/>
      <c r="I1818" s="28" t="str">
        <f aca="false">IF(C1818="","",IFERROR(INDEX(Settings!$C$8:$C$19,MATCH(C1818,Settings!$B$8:$B$19,0)),"?"))</f>
        <v/>
      </c>
      <c r="J1818" s="28" t="str">
        <f aca="false">IF(G1818="","",IFERROR(INDEX(Settings!$C$8:$C$19,MATCH(G1818,Settings!$B$8:$B$19,0)),"?"))</f>
        <v/>
      </c>
      <c r="K1818" s="35" t="str">
        <f aca="false">IF(A1818="","",DATE(YEAR(A1818),MONTH(A1818),1))</f>
        <v/>
      </c>
      <c r="L1818" s="28" t="str">
        <f aca="false">IF(E1818="","",IFERROR(INDEX(Settings!$K$8:$K$38,MATCH(E1818,Settings!$H$8:$H$38,0))&amp;"",""))</f>
        <v/>
      </c>
    </row>
    <row r="1819" customFormat="false" ht="15" hidden="false" customHeight="false" outlineLevel="0" collapsed="false">
      <c r="A1819" s="33"/>
      <c r="B1819" s="27"/>
      <c r="C1819" s="27"/>
      <c r="D1819" s="27"/>
      <c r="E1819" s="27"/>
      <c r="F1819" s="34"/>
      <c r="G1819" s="27"/>
      <c r="H1819" s="27"/>
      <c r="I1819" s="28" t="str">
        <f aca="false">IF(C1819="","",IFERROR(INDEX(Settings!$C$8:$C$19,MATCH(C1819,Settings!$B$8:$B$19,0)),"?"))</f>
        <v/>
      </c>
      <c r="J1819" s="28" t="str">
        <f aca="false">IF(G1819="","",IFERROR(INDEX(Settings!$C$8:$C$19,MATCH(G1819,Settings!$B$8:$B$19,0)),"?"))</f>
        <v/>
      </c>
      <c r="K1819" s="35" t="str">
        <f aca="false">IF(A1819="","",DATE(YEAR(A1819),MONTH(A1819),1))</f>
        <v/>
      </c>
      <c r="L1819" s="28" t="str">
        <f aca="false">IF(E1819="","",IFERROR(INDEX(Settings!$K$8:$K$38,MATCH(E1819,Settings!$H$8:$H$38,0))&amp;"",""))</f>
        <v/>
      </c>
    </row>
    <row r="1820" customFormat="false" ht="15" hidden="false" customHeight="false" outlineLevel="0" collapsed="false">
      <c r="A1820" s="33"/>
      <c r="B1820" s="27"/>
      <c r="C1820" s="27"/>
      <c r="D1820" s="27"/>
      <c r="E1820" s="27"/>
      <c r="F1820" s="34"/>
      <c r="G1820" s="27"/>
      <c r="H1820" s="27"/>
      <c r="I1820" s="28" t="str">
        <f aca="false">IF(C1820="","",IFERROR(INDEX(Settings!$C$8:$C$19,MATCH(C1820,Settings!$B$8:$B$19,0)),"?"))</f>
        <v/>
      </c>
      <c r="J1820" s="28" t="str">
        <f aca="false">IF(G1820="","",IFERROR(INDEX(Settings!$C$8:$C$19,MATCH(G1820,Settings!$B$8:$B$19,0)),"?"))</f>
        <v/>
      </c>
      <c r="K1820" s="35" t="str">
        <f aca="false">IF(A1820="","",DATE(YEAR(A1820),MONTH(A1820),1))</f>
        <v/>
      </c>
      <c r="L1820" s="28" t="str">
        <f aca="false">IF(E1820="","",IFERROR(INDEX(Settings!$K$8:$K$38,MATCH(E1820,Settings!$H$8:$H$38,0))&amp;"",""))</f>
        <v/>
      </c>
    </row>
    <row r="1821" customFormat="false" ht="15" hidden="false" customHeight="false" outlineLevel="0" collapsed="false">
      <c r="A1821" s="33"/>
      <c r="B1821" s="27"/>
      <c r="C1821" s="27"/>
      <c r="D1821" s="27"/>
      <c r="E1821" s="27"/>
      <c r="F1821" s="34"/>
      <c r="G1821" s="27"/>
      <c r="H1821" s="27"/>
      <c r="I1821" s="28" t="str">
        <f aca="false">IF(C1821="","",IFERROR(INDEX(Settings!$C$8:$C$19,MATCH(C1821,Settings!$B$8:$B$19,0)),"?"))</f>
        <v/>
      </c>
      <c r="J1821" s="28" t="str">
        <f aca="false">IF(G1821="","",IFERROR(INDEX(Settings!$C$8:$C$19,MATCH(G1821,Settings!$B$8:$B$19,0)),"?"))</f>
        <v/>
      </c>
      <c r="K1821" s="35" t="str">
        <f aca="false">IF(A1821="","",DATE(YEAR(A1821),MONTH(A1821),1))</f>
        <v/>
      </c>
      <c r="L1821" s="28" t="str">
        <f aca="false">IF(E1821="","",IFERROR(INDEX(Settings!$K$8:$K$38,MATCH(E1821,Settings!$H$8:$H$38,0))&amp;"",""))</f>
        <v/>
      </c>
    </row>
    <row r="1822" customFormat="false" ht="15" hidden="false" customHeight="false" outlineLevel="0" collapsed="false">
      <c r="A1822" s="33"/>
      <c r="B1822" s="27"/>
      <c r="C1822" s="27"/>
      <c r="D1822" s="27"/>
      <c r="E1822" s="27"/>
      <c r="F1822" s="34"/>
      <c r="G1822" s="27"/>
      <c r="H1822" s="27"/>
      <c r="I1822" s="28" t="str">
        <f aca="false">IF(C1822="","",IFERROR(INDEX(Settings!$C$8:$C$19,MATCH(C1822,Settings!$B$8:$B$19,0)),"?"))</f>
        <v/>
      </c>
      <c r="J1822" s="28" t="str">
        <f aca="false">IF(G1822="","",IFERROR(INDEX(Settings!$C$8:$C$19,MATCH(G1822,Settings!$B$8:$B$19,0)),"?"))</f>
        <v/>
      </c>
      <c r="K1822" s="35" t="str">
        <f aca="false">IF(A1822="","",DATE(YEAR(A1822),MONTH(A1822),1))</f>
        <v/>
      </c>
      <c r="L1822" s="28" t="str">
        <f aca="false">IF(E1822="","",IFERROR(INDEX(Settings!$K$8:$K$38,MATCH(E1822,Settings!$H$8:$H$38,0))&amp;"",""))</f>
        <v/>
      </c>
    </row>
    <row r="1823" customFormat="false" ht="15" hidden="false" customHeight="false" outlineLevel="0" collapsed="false">
      <c r="A1823" s="33"/>
      <c r="B1823" s="27"/>
      <c r="C1823" s="27"/>
      <c r="D1823" s="27"/>
      <c r="E1823" s="27"/>
      <c r="F1823" s="34"/>
      <c r="G1823" s="27"/>
      <c r="H1823" s="27"/>
      <c r="I1823" s="28" t="str">
        <f aca="false">IF(C1823="","",IFERROR(INDEX(Settings!$C$8:$C$19,MATCH(C1823,Settings!$B$8:$B$19,0)),"?"))</f>
        <v/>
      </c>
      <c r="J1823" s="28" t="str">
        <f aca="false">IF(G1823="","",IFERROR(INDEX(Settings!$C$8:$C$19,MATCH(G1823,Settings!$B$8:$B$19,0)),"?"))</f>
        <v/>
      </c>
      <c r="K1823" s="35" t="str">
        <f aca="false">IF(A1823="","",DATE(YEAR(A1823),MONTH(A1823),1))</f>
        <v/>
      </c>
      <c r="L1823" s="28" t="str">
        <f aca="false">IF(E1823="","",IFERROR(INDEX(Settings!$K$8:$K$38,MATCH(E1823,Settings!$H$8:$H$38,0))&amp;"",""))</f>
        <v/>
      </c>
    </row>
    <row r="1824" customFormat="false" ht="15" hidden="false" customHeight="false" outlineLevel="0" collapsed="false">
      <c r="A1824" s="33"/>
      <c r="B1824" s="27"/>
      <c r="C1824" s="27"/>
      <c r="D1824" s="27"/>
      <c r="E1824" s="27"/>
      <c r="F1824" s="34"/>
      <c r="G1824" s="27"/>
      <c r="H1824" s="27"/>
      <c r="I1824" s="28" t="str">
        <f aca="false">IF(C1824="","",IFERROR(INDEX(Settings!$C$8:$C$19,MATCH(C1824,Settings!$B$8:$B$19,0)),"?"))</f>
        <v/>
      </c>
      <c r="J1824" s="28" t="str">
        <f aca="false">IF(G1824="","",IFERROR(INDEX(Settings!$C$8:$C$19,MATCH(G1824,Settings!$B$8:$B$19,0)),"?"))</f>
        <v/>
      </c>
      <c r="K1824" s="35" t="str">
        <f aca="false">IF(A1824="","",DATE(YEAR(A1824),MONTH(A1824),1))</f>
        <v/>
      </c>
      <c r="L1824" s="28" t="str">
        <f aca="false">IF(E1824="","",IFERROR(INDEX(Settings!$K$8:$K$38,MATCH(E1824,Settings!$H$8:$H$38,0))&amp;"",""))</f>
        <v/>
      </c>
    </row>
    <row r="1825" customFormat="false" ht="15" hidden="false" customHeight="false" outlineLevel="0" collapsed="false">
      <c r="A1825" s="33"/>
      <c r="B1825" s="27"/>
      <c r="C1825" s="27"/>
      <c r="D1825" s="27"/>
      <c r="E1825" s="27"/>
      <c r="F1825" s="34"/>
      <c r="G1825" s="27"/>
      <c r="H1825" s="27"/>
      <c r="I1825" s="28" t="str">
        <f aca="false">IF(C1825="","",IFERROR(INDEX(Settings!$C$8:$C$19,MATCH(C1825,Settings!$B$8:$B$19,0)),"?"))</f>
        <v/>
      </c>
      <c r="J1825" s="28" t="str">
        <f aca="false">IF(G1825="","",IFERROR(INDEX(Settings!$C$8:$C$19,MATCH(G1825,Settings!$B$8:$B$19,0)),"?"))</f>
        <v/>
      </c>
      <c r="K1825" s="35" t="str">
        <f aca="false">IF(A1825="","",DATE(YEAR(A1825),MONTH(A1825),1))</f>
        <v/>
      </c>
      <c r="L1825" s="28" t="str">
        <f aca="false">IF(E1825="","",IFERROR(INDEX(Settings!$K$8:$K$38,MATCH(E1825,Settings!$H$8:$H$38,0))&amp;"",""))</f>
        <v/>
      </c>
    </row>
    <row r="1826" customFormat="false" ht="15" hidden="false" customHeight="false" outlineLevel="0" collapsed="false">
      <c r="A1826" s="33"/>
      <c r="B1826" s="27"/>
      <c r="C1826" s="27"/>
      <c r="D1826" s="27"/>
      <c r="E1826" s="27"/>
      <c r="F1826" s="34"/>
      <c r="G1826" s="27"/>
      <c r="H1826" s="27"/>
      <c r="I1826" s="28" t="str">
        <f aca="false">IF(C1826="","",IFERROR(INDEX(Settings!$C$8:$C$19,MATCH(C1826,Settings!$B$8:$B$19,0)),"?"))</f>
        <v/>
      </c>
      <c r="J1826" s="28" t="str">
        <f aca="false">IF(G1826="","",IFERROR(INDEX(Settings!$C$8:$C$19,MATCH(G1826,Settings!$B$8:$B$19,0)),"?"))</f>
        <v/>
      </c>
      <c r="K1826" s="35" t="str">
        <f aca="false">IF(A1826="","",DATE(YEAR(A1826),MONTH(A1826),1))</f>
        <v/>
      </c>
      <c r="L1826" s="28" t="str">
        <f aca="false">IF(E1826="","",IFERROR(INDEX(Settings!$K$8:$K$38,MATCH(E1826,Settings!$H$8:$H$38,0))&amp;"",""))</f>
        <v/>
      </c>
    </row>
    <row r="1827" customFormat="false" ht="15" hidden="false" customHeight="false" outlineLevel="0" collapsed="false">
      <c r="A1827" s="33"/>
      <c r="B1827" s="27"/>
      <c r="C1827" s="27"/>
      <c r="D1827" s="27"/>
      <c r="E1827" s="27"/>
      <c r="F1827" s="34"/>
      <c r="G1827" s="27"/>
      <c r="H1827" s="27"/>
      <c r="I1827" s="28" t="str">
        <f aca="false">IF(C1827="","",IFERROR(INDEX(Settings!$C$8:$C$19,MATCH(C1827,Settings!$B$8:$B$19,0)),"?"))</f>
        <v/>
      </c>
      <c r="J1827" s="28" t="str">
        <f aca="false">IF(G1827="","",IFERROR(INDEX(Settings!$C$8:$C$19,MATCH(G1827,Settings!$B$8:$B$19,0)),"?"))</f>
        <v/>
      </c>
      <c r="K1827" s="35" t="str">
        <f aca="false">IF(A1827="","",DATE(YEAR(A1827),MONTH(A1827),1))</f>
        <v/>
      </c>
      <c r="L1827" s="28" t="str">
        <f aca="false">IF(E1827="","",IFERROR(INDEX(Settings!$K$8:$K$38,MATCH(E1827,Settings!$H$8:$H$38,0))&amp;"",""))</f>
        <v/>
      </c>
    </row>
    <row r="1828" customFormat="false" ht="15" hidden="false" customHeight="false" outlineLevel="0" collapsed="false">
      <c r="A1828" s="33"/>
      <c r="B1828" s="27"/>
      <c r="C1828" s="27"/>
      <c r="D1828" s="27"/>
      <c r="E1828" s="27"/>
      <c r="F1828" s="34"/>
      <c r="G1828" s="27"/>
      <c r="H1828" s="27"/>
      <c r="I1828" s="28" t="str">
        <f aca="false">IF(C1828="","",IFERROR(INDEX(Settings!$C$8:$C$19,MATCH(C1828,Settings!$B$8:$B$19,0)),"?"))</f>
        <v/>
      </c>
      <c r="J1828" s="28" t="str">
        <f aca="false">IF(G1828="","",IFERROR(INDEX(Settings!$C$8:$C$19,MATCH(G1828,Settings!$B$8:$B$19,0)),"?"))</f>
        <v/>
      </c>
      <c r="K1828" s="35" t="str">
        <f aca="false">IF(A1828="","",DATE(YEAR(A1828),MONTH(A1828),1))</f>
        <v/>
      </c>
      <c r="L1828" s="28" t="str">
        <f aca="false">IF(E1828="","",IFERROR(INDEX(Settings!$K$8:$K$38,MATCH(E1828,Settings!$H$8:$H$38,0))&amp;"",""))</f>
        <v/>
      </c>
    </row>
    <row r="1829" customFormat="false" ht="15" hidden="false" customHeight="false" outlineLevel="0" collapsed="false">
      <c r="A1829" s="33"/>
      <c r="B1829" s="27"/>
      <c r="C1829" s="27"/>
      <c r="D1829" s="27"/>
      <c r="E1829" s="27"/>
      <c r="F1829" s="34"/>
      <c r="G1829" s="27"/>
      <c r="H1829" s="27"/>
      <c r="I1829" s="28" t="str">
        <f aca="false">IF(C1829="","",IFERROR(INDEX(Settings!$C$8:$C$19,MATCH(C1829,Settings!$B$8:$B$19,0)),"?"))</f>
        <v/>
      </c>
      <c r="J1829" s="28" t="str">
        <f aca="false">IF(G1829="","",IFERROR(INDEX(Settings!$C$8:$C$19,MATCH(G1829,Settings!$B$8:$B$19,0)),"?"))</f>
        <v/>
      </c>
      <c r="K1829" s="35" t="str">
        <f aca="false">IF(A1829="","",DATE(YEAR(A1829),MONTH(A1829),1))</f>
        <v/>
      </c>
      <c r="L1829" s="28" t="str">
        <f aca="false">IF(E1829="","",IFERROR(INDEX(Settings!$K$8:$K$38,MATCH(E1829,Settings!$H$8:$H$38,0))&amp;"",""))</f>
        <v/>
      </c>
    </row>
    <row r="1830" customFormat="false" ht="15" hidden="false" customHeight="false" outlineLevel="0" collapsed="false">
      <c r="A1830" s="33"/>
      <c r="B1830" s="27"/>
      <c r="C1830" s="27"/>
      <c r="D1830" s="27"/>
      <c r="E1830" s="27"/>
      <c r="F1830" s="34"/>
      <c r="G1830" s="27"/>
      <c r="H1830" s="27"/>
      <c r="I1830" s="28" t="str">
        <f aca="false">IF(C1830="","",IFERROR(INDEX(Settings!$C$8:$C$19,MATCH(C1830,Settings!$B$8:$B$19,0)),"?"))</f>
        <v/>
      </c>
      <c r="J1830" s="28" t="str">
        <f aca="false">IF(G1830="","",IFERROR(INDEX(Settings!$C$8:$C$19,MATCH(G1830,Settings!$B$8:$B$19,0)),"?"))</f>
        <v/>
      </c>
      <c r="K1830" s="35" t="str">
        <f aca="false">IF(A1830="","",DATE(YEAR(A1830),MONTH(A1830),1))</f>
        <v/>
      </c>
      <c r="L1830" s="28" t="str">
        <f aca="false">IF(E1830="","",IFERROR(INDEX(Settings!$K$8:$K$38,MATCH(E1830,Settings!$H$8:$H$38,0))&amp;"",""))</f>
        <v/>
      </c>
    </row>
    <row r="1831" customFormat="false" ht="15" hidden="false" customHeight="false" outlineLevel="0" collapsed="false">
      <c r="A1831" s="33"/>
      <c r="B1831" s="27"/>
      <c r="C1831" s="27"/>
      <c r="D1831" s="27"/>
      <c r="E1831" s="27"/>
      <c r="F1831" s="34"/>
      <c r="G1831" s="27"/>
      <c r="H1831" s="27"/>
      <c r="I1831" s="28" t="str">
        <f aca="false">IF(C1831="","",IFERROR(INDEX(Settings!$C$8:$C$19,MATCH(C1831,Settings!$B$8:$B$19,0)),"?"))</f>
        <v/>
      </c>
      <c r="J1831" s="28" t="str">
        <f aca="false">IF(G1831="","",IFERROR(INDEX(Settings!$C$8:$C$19,MATCH(G1831,Settings!$B$8:$B$19,0)),"?"))</f>
        <v/>
      </c>
      <c r="K1831" s="35" t="str">
        <f aca="false">IF(A1831="","",DATE(YEAR(A1831),MONTH(A1831),1))</f>
        <v/>
      </c>
      <c r="L1831" s="28" t="str">
        <f aca="false">IF(E1831="","",IFERROR(INDEX(Settings!$K$8:$K$38,MATCH(E1831,Settings!$H$8:$H$38,0))&amp;"",""))</f>
        <v/>
      </c>
    </row>
    <row r="1832" customFormat="false" ht="15" hidden="false" customHeight="false" outlineLevel="0" collapsed="false">
      <c r="A1832" s="33"/>
      <c r="B1832" s="27"/>
      <c r="C1832" s="27"/>
      <c r="D1832" s="27"/>
      <c r="E1832" s="27"/>
      <c r="F1832" s="34"/>
      <c r="G1832" s="27"/>
      <c r="H1832" s="27"/>
      <c r="I1832" s="28" t="str">
        <f aca="false">IF(C1832="","",IFERROR(INDEX(Settings!$C$8:$C$19,MATCH(C1832,Settings!$B$8:$B$19,0)),"?"))</f>
        <v/>
      </c>
      <c r="J1832" s="28" t="str">
        <f aca="false">IF(G1832="","",IFERROR(INDEX(Settings!$C$8:$C$19,MATCH(G1832,Settings!$B$8:$B$19,0)),"?"))</f>
        <v/>
      </c>
      <c r="K1832" s="35" t="str">
        <f aca="false">IF(A1832="","",DATE(YEAR(A1832),MONTH(A1832),1))</f>
        <v/>
      </c>
      <c r="L1832" s="28" t="str">
        <f aca="false">IF(E1832="","",IFERROR(INDEX(Settings!$K$8:$K$38,MATCH(E1832,Settings!$H$8:$H$38,0))&amp;"",""))</f>
        <v/>
      </c>
    </row>
    <row r="1833" customFormat="false" ht="15" hidden="false" customHeight="false" outlineLevel="0" collapsed="false">
      <c r="A1833" s="33"/>
      <c r="B1833" s="27"/>
      <c r="C1833" s="27"/>
      <c r="D1833" s="27"/>
      <c r="E1833" s="27"/>
      <c r="F1833" s="34"/>
      <c r="G1833" s="27"/>
      <c r="H1833" s="27"/>
      <c r="I1833" s="28" t="str">
        <f aca="false">IF(C1833="","",IFERROR(INDEX(Settings!$C$8:$C$19,MATCH(C1833,Settings!$B$8:$B$19,0)),"?"))</f>
        <v/>
      </c>
      <c r="J1833" s="28" t="str">
        <f aca="false">IF(G1833="","",IFERROR(INDEX(Settings!$C$8:$C$19,MATCH(G1833,Settings!$B$8:$B$19,0)),"?"))</f>
        <v/>
      </c>
      <c r="K1833" s="35" t="str">
        <f aca="false">IF(A1833="","",DATE(YEAR(A1833),MONTH(A1833),1))</f>
        <v/>
      </c>
      <c r="L1833" s="28" t="str">
        <f aca="false">IF(E1833="","",IFERROR(INDEX(Settings!$K$8:$K$38,MATCH(E1833,Settings!$H$8:$H$38,0))&amp;"",""))</f>
        <v/>
      </c>
    </row>
    <row r="1834" customFormat="false" ht="15" hidden="false" customHeight="false" outlineLevel="0" collapsed="false">
      <c r="A1834" s="33"/>
      <c r="B1834" s="27"/>
      <c r="C1834" s="27"/>
      <c r="D1834" s="27"/>
      <c r="E1834" s="27"/>
      <c r="F1834" s="34"/>
      <c r="G1834" s="27"/>
      <c r="H1834" s="27"/>
      <c r="I1834" s="28" t="str">
        <f aca="false">IF(C1834="","",IFERROR(INDEX(Settings!$C$8:$C$19,MATCH(C1834,Settings!$B$8:$B$19,0)),"?"))</f>
        <v/>
      </c>
      <c r="J1834" s="28" t="str">
        <f aca="false">IF(G1834="","",IFERROR(INDEX(Settings!$C$8:$C$19,MATCH(G1834,Settings!$B$8:$B$19,0)),"?"))</f>
        <v/>
      </c>
      <c r="K1834" s="35" t="str">
        <f aca="false">IF(A1834="","",DATE(YEAR(A1834),MONTH(A1834),1))</f>
        <v/>
      </c>
      <c r="L1834" s="28" t="str">
        <f aca="false">IF(E1834="","",IFERROR(INDEX(Settings!$K$8:$K$38,MATCH(E1834,Settings!$H$8:$H$38,0))&amp;"",""))</f>
        <v/>
      </c>
    </row>
    <row r="1835" customFormat="false" ht="15" hidden="false" customHeight="false" outlineLevel="0" collapsed="false">
      <c r="A1835" s="33"/>
      <c r="B1835" s="27"/>
      <c r="C1835" s="27"/>
      <c r="D1835" s="27"/>
      <c r="E1835" s="27"/>
      <c r="F1835" s="34"/>
      <c r="G1835" s="27"/>
      <c r="H1835" s="27"/>
      <c r="I1835" s="28" t="str">
        <f aca="false">IF(C1835="","",IFERROR(INDEX(Settings!$C$8:$C$19,MATCH(C1835,Settings!$B$8:$B$19,0)),"?"))</f>
        <v/>
      </c>
      <c r="J1835" s="28" t="str">
        <f aca="false">IF(G1835="","",IFERROR(INDEX(Settings!$C$8:$C$19,MATCH(G1835,Settings!$B$8:$B$19,0)),"?"))</f>
        <v/>
      </c>
      <c r="K1835" s="35" t="str">
        <f aca="false">IF(A1835="","",DATE(YEAR(A1835),MONTH(A1835),1))</f>
        <v/>
      </c>
      <c r="L1835" s="28" t="str">
        <f aca="false">IF(E1835="","",IFERROR(INDEX(Settings!$K$8:$K$38,MATCH(E1835,Settings!$H$8:$H$38,0))&amp;"",""))</f>
        <v/>
      </c>
    </row>
    <row r="1836" customFormat="false" ht="15" hidden="false" customHeight="false" outlineLevel="0" collapsed="false">
      <c r="A1836" s="33"/>
      <c r="B1836" s="27"/>
      <c r="C1836" s="27"/>
      <c r="D1836" s="27"/>
      <c r="E1836" s="27"/>
      <c r="F1836" s="34"/>
      <c r="G1836" s="27"/>
      <c r="H1836" s="27"/>
      <c r="I1836" s="28" t="str">
        <f aca="false">IF(C1836="","",IFERROR(INDEX(Settings!$C$8:$C$19,MATCH(C1836,Settings!$B$8:$B$19,0)),"?"))</f>
        <v/>
      </c>
      <c r="J1836" s="28" t="str">
        <f aca="false">IF(G1836="","",IFERROR(INDEX(Settings!$C$8:$C$19,MATCH(G1836,Settings!$B$8:$B$19,0)),"?"))</f>
        <v/>
      </c>
      <c r="K1836" s="35" t="str">
        <f aca="false">IF(A1836="","",DATE(YEAR(A1836),MONTH(A1836),1))</f>
        <v/>
      </c>
      <c r="L1836" s="28" t="str">
        <f aca="false">IF(E1836="","",IFERROR(INDEX(Settings!$K$8:$K$38,MATCH(E1836,Settings!$H$8:$H$38,0))&amp;"",""))</f>
        <v/>
      </c>
    </row>
    <row r="1837" customFormat="false" ht="15" hidden="false" customHeight="false" outlineLevel="0" collapsed="false">
      <c r="A1837" s="33"/>
      <c r="B1837" s="27"/>
      <c r="C1837" s="27"/>
      <c r="D1837" s="27"/>
      <c r="E1837" s="27"/>
      <c r="F1837" s="34"/>
      <c r="G1837" s="27"/>
      <c r="H1837" s="27"/>
      <c r="I1837" s="28" t="str">
        <f aca="false">IF(C1837="","",IFERROR(INDEX(Settings!$C$8:$C$19,MATCH(C1837,Settings!$B$8:$B$19,0)),"?"))</f>
        <v/>
      </c>
      <c r="J1837" s="28" t="str">
        <f aca="false">IF(G1837="","",IFERROR(INDEX(Settings!$C$8:$C$19,MATCH(G1837,Settings!$B$8:$B$19,0)),"?"))</f>
        <v/>
      </c>
      <c r="K1837" s="35" t="str">
        <f aca="false">IF(A1837="","",DATE(YEAR(A1837),MONTH(A1837),1))</f>
        <v/>
      </c>
      <c r="L1837" s="28" t="str">
        <f aca="false">IF(E1837="","",IFERROR(INDEX(Settings!$K$8:$K$38,MATCH(E1837,Settings!$H$8:$H$38,0))&amp;"",""))</f>
        <v/>
      </c>
    </row>
    <row r="1838" customFormat="false" ht="15" hidden="false" customHeight="false" outlineLevel="0" collapsed="false">
      <c r="A1838" s="33"/>
      <c r="B1838" s="27"/>
      <c r="C1838" s="27"/>
      <c r="D1838" s="27"/>
      <c r="E1838" s="27"/>
      <c r="F1838" s="34"/>
      <c r="G1838" s="27"/>
      <c r="H1838" s="27"/>
      <c r="I1838" s="28" t="str">
        <f aca="false">IF(C1838="","",IFERROR(INDEX(Settings!$C$8:$C$19,MATCH(C1838,Settings!$B$8:$B$19,0)),"?"))</f>
        <v/>
      </c>
      <c r="J1838" s="28" t="str">
        <f aca="false">IF(G1838="","",IFERROR(INDEX(Settings!$C$8:$C$19,MATCH(G1838,Settings!$B$8:$B$19,0)),"?"))</f>
        <v/>
      </c>
      <c r="K1838" s="35" t="str">
        <f aca="false">IF(A1838="","",DATE(YEAR(A1838),MONTH(A1838),1))</f>
        <v/>
      </c>
      <c r="L1838" s="28" t="str">
        <f aca="false">IF(E1838="","",IFERROR(INDEX(Settings!$K$8:$K$38,MATCH(E1838,Settings!$H$8:$H$38,0))&amp;"",""))</f>
        <v/>
      </c>
    </row>
    <row r="1839" customFormat="false" ht="15" hidden="false" customHeight="false" outlineLevel="0" collapsed="false">
      <c r="A1839" s="33"/>
      <c r="B1839" s="27"/>
      <c r="C1839" s="27"/>
      <c r="D1839" s="27"/>
      <c r="E1839" s="27"/>
      <c r="F1839" s="34"/>
      <c r="G1839" s="27"/>
      <c r="H1839" s="27"/>
      <c r="I1839" s="28" t="str">
        <f aca="false">IF(C1839="","",IFERROR(INDEX(Settings!$C$8:$C$19,MATCH(C1839,Settings!$B$8:$B$19,0)),"?"))</f>
        <v/>
      </c>
      <c r="J1839" s="28" t="str">
        <f aca="false">IF(G1839="","",IFERROR(INDEX(Settings!$C$8:$C$19,MATCH(G1839,Settings!$B$8:$B$19,0)),"?"))</f>
        <v/>
      </c>
      <c r="K1839" s="35" t="str">
        <f aca="false">IF(A1839="","",DATE(YEAR(A1839),MONTH(A1839),1))</f>
        <v/>
      </c>
      <c r="L1839" s="28" t="str">
        <f aca="false">IF(E1839="","",IFERROR(INDEX(Settings!$K$8:$K$38,MATCH(E1839,Settings!$H$8:$H$38,0))&amp;"",""))</f>
        <v/>
      </c>
    </row>
    <row r="1840" customFormat="false" ht="15" hidden="false" customHeight="false" outlineLevel="0" collapsed="false">
      <c r="A1840" s="33"/>
      <c r="B1840" s="27"/>
      <c r="C1840" s="27"/>
      <c r="D1840" s="27"/>
      <c r="E1840" s="27"/>
      <c r="F1840" s="34"/>
      <c r="G1840" s="27"/>
      <c r="H1840" s="27"/>
      <c r="I1840" s="28" t="str">
        <f aca="false">IF(C1840="","",IFERROR(INDEX(Settings!$C$8:$C$19,MATCH(C1840,Settings!$B$8:$B$19,0)),"?"))</f>
        <v/>
      </c>
      <c r="J1840" s="28" t="str">
        <f aca="false">IF(G1840="","",IFERROR(INDEX(Settings!$C$8:$C$19,MATCH(G1840,Settings!$B$8:$B$19,0)),"?"))</f>
        <v/>
      </c>
      <c r="K1840" s="35" t="str">
        <f aca="false">IF(A1840="","",DATE(YEAR(A1840),MONTH(A1840),1))</f>
        <v/>
      </c>
      <c r="L1840" s="28" t="str">
        <f aca="false">IF(E1840="","",IFERROR(INDEX(Settings!$K$8:$K$38,MATCH(E1840,Settings!$H$8:$H$38,0))&amp;"",""))</f>
        <v/>
      </c>
    </row>
    <row r="1841" customFormat="false" ht="15" hidden="false" customHeight="false" outlineLevel="0" collapsed="false">
      <c r="A1841" s="33"/>
      <c r="B1841" s="27"/>
      <c r="C1841" s="27"/>
      <c r="D1841" s="27"/>
      <c r="E1841" s="27"/>
      <c r="F1841" s="34"/>
      <c r="G1841" s="27"/>
      <c r="H1841" s="27"/>
      <c r="I1841" s="28" t="str">
        <f aca="false">IF(C1841="","",IFERROR(INDEX(Settings!$C$8:$C$19,MATCH(C1841,Settings!$B$8:$B$19,0)),"?"))</f>
        <v/>
      </c>
      <c r="J1841" s="28" t="str">
        <f aca="false">IF(G1841="","",IFERROR(INDEX(Settings!$C$8:$C$19,MATCH(G1841,Settings!$B$8:$B$19,0)),"?"))</f>
        <v/>
      </c>
      <c r="K1841" s="35" t="str">
        <f aca="false">IF(A1841="","",DATE(YEAR(A1841),MONTH(A1841),1))</f>
        <v/>
      </c>
      <c r="L1841" s="28" t="str">
        <f aca="false">IF(E1841="","",IFERROR(INDEX(Settings!$K$8:$K$38,MATCH(E1841,Settings!$H$8:$H$38,0))&amp;"",""))</f>
        <v/>
      </c>
    </row>
    <row r="1842" customFormat="false" ht="15" hidden="false" customHeight="false" outlineLevel="0" collapsed="false">
      <c r="A1842" s="33"/>
      <c r="B1842" s="27"/>
      <c r="C1842" s="27"/>
      <c r="D1842" s="27"/>
      <c r="E1842" s="27"/>
      <c r="F1842" s="34"/>
      <c r="G1842" s="27"/>
      <c r="H1842" s="27"/>
      <c r="I1842" s="28" t="str">
        <f aca="false">IF(C1842="","",IFERROR(INDEX(Settings!$C$8:$C$19,MATCH(C1842,Settings!$B$8:$B$19,0)),"?"))</f>
        <v/>
      </c>
      <c r="J1842" s="28" t="str">
        <f aca="false">IF(G1842="","",IFERROR(INDEX(Settings!$C$8:$C$19,MATCH(G1842,Settings!$B$8:$B$19,0)),"?"))</f>
        <v/>
      </c>
      <c r="K1842" s="35" t="str">
        <f aca="false">IF(A1842="","",DATE(YEAR(A1842),MONTH(A1842),1))</f>
        <v/>
      </c>
      <c r="L1842" s="28" t="str">
        <f aca="false">IF(E1842="","",IFERROR(INDEX(Settings!$K$8:$K$38,MATCH(E1842,Settings!$H$8:$H$38,0))&amp;"",""))</f>
        <v/>
      </c>
    </row>
    <row r="1843" customFormat="false" ht="15" hidden="false" customHeight="false" outlineLevel="0" collapsed="false">
      <c r="A1843" s="33"/>
      <c r="B1843" s="27"/>
      <c r="C1843" s="27"/>
      <c r="D1843" s="27"/>
      <c r="E1843" s="27"/>
      <c r="F1843" s="34"/>
      <c r="G1843" s="27"/>
      <c r="H1843" s="27"/>
      <c r="I1843" s="28" t="str">
        <f aca="false">IF(C1843="","",IFERROR(INDEX(Settings!$C$8:$C$19,MATCH(C1843,Settings!$B$8:$B$19,0)),"?"))</f>
        <v/>
      </c>
      <c r="J1843" s="28" t="str">
        <f aca="false">IF(G1843="","",IFERROR(INDEX(Settings!$C$8:$C$19,MATCH(G1843,Settings!$B$8:$B$19,0)),"?"))</f>
        <v/>
      </c>
      <c r="K1843" s="35" t="str">
        <f aca="false">IF(A1843="","",DATE(YEAR(A1843),MONTH(A1843),1))</f>
        <v/>
      </c>
      <c r="L1843" s="28" t="str">
        <f aca="false">IF(E1843="","",IFERROR(INDEX(Settings!$K$8:$K$38,MATCH(E1843,Settings!$H$8:$H$38,0))&amp;"",""))</f>
        <v/>
      </c>
    </row>
    <row r="1844" customFormat="false" ht="15" hidden="false" customHeight="false" outlineLevel="0" collapsed="false">
      <c r="A1844" s="33"/>
      <c r="B1844" s="27"/>
      <c r="C1844" s="27"/>
      <c r="D1844" s="27"/>
      <c r="E1844" s="27"/>
      <c r="F1844" s="34"/>
      <c r="G1844" s="27"/>
      <c r="H1844" s="27"/>
      <c r="I1844" s="28" t="str">
        <f aca="false">IF(C1844="","",IFERROR(INDEX(Settings!$C$8:$C$19,MATCH(C1844,Settings!$B$8:$B$19,0)),"?"))</f>
        <v/>
      </c>
      <c r="J1844" s="28" t="str">
        <f aca="false">IF(G1844="","",IFERROR(INDEX(Settings!$C$8:$C$19,MATCH(G1844,Settings!$B$8:$B$19,0)),"?"))</f>
        <v/>
      </c>
      <c r="K1844" s="35" t="str">
        <f aca="false">IF(A1844="","",DATE(YEAR(A1844),MONTH(A1844),1))</f>
        <v/>
      </c>
      <c r="L1844" s="28" t="str">
        <f aca="false">IF(E1844="","",IFERROR(INDEX(Settings!$K$8:$K$38,MATCH(E1844,Settings!$H$8:$H$38,0))&amp;"",""))</f>
        <v/>
      </c>
    </row>
    <row r="1845" customFormat="false" ht="15" hidden="false" customHeight="false" outlineLevel="0" collapsed="false">
      <c r="A1845" s="33"/>
      <c r="B1845" s="27"/>
      <c r="C1845" s="27"/>
      <c r="D1845" s="27"/>
      <c r="E1845" s="27"/>
      <c r="F1845" s="34"/>
      <c r="G1845" s="27"/>
      <c r="H1845" s="27"/>
      <c r="I1845" s="28" t="str">
        <f aca="false">IF(C1845="","",IFERROR(INDEX(Settings!$C$8:$C$19,MATCH(C1845,Settings!$B$8:$B$19,0)),"?"))</f>
        <v/>
      </c>
      <c r="J1845" s="28" t="str">
        <f aca="false">IF(G1845="","",IFERROR(INDEX(Settings!$C$8:$C$19,MATCH(G1845,Settings!$B$8:$B$19,0)),"?"))</f>
        <v/>
      </c>
      <c r="K1845" s="35" t="str">
        <f aca="false">IF(A1845="","",DATE(YEAR(A1845),MONTH(A1845),1))</f>
        <v/>
      </c>
      <c r="L1845" s="28" t="str">
        <f aca="false">IF(E1845="","",IFERROR(INDEX(Settings!$K$8:$K$38,MATCH(E1845,Settings!$H$8:$H$38,0))&amp;"",""))</f>
        <v/>
      </c>
    </row>
    <row r="1846" customFormat="false" ht="15" hidden="false" customHeight="false" outlineLevel="0" collapsed="false">
      <c r="A1846" s="33"/>
      <c r="B1846" s="27"/>
      <c r="C1846" s="27"/>
      <c r="D1846" s="27"/>
      <c r="E1846" s="27"/>
      <c r="F1846" s="34"/>
      <c r="G1846" s="27"/>
      <c r="H1846" s="27"/>
      <c r="I1846" s="28" t="str">
        <f aca="false">IF(C1846="","",IFERROR(INDEX(Settings!$C$8:$C$19,MATCH(C1846,Settings!$B$8:$B$19,0)),"?"))</f>
        <v/>
      </c>
      <c r="J1846" s="28" t="str">
        <f aca="false">IF(G1846="","",IFERROR(INDEX(Settings!$C$8:$C$19,MATCH(G1846,Settings!$B$8:$B$19,0)),"?"))</f>
        <v/>
      </c>
      <c r="K1846" s="35" t="str">
        <f aca="false">IF(A1846="","",DATE(YEAR(A1846),MONTH(A1846),1))</f>
        <v/>
      </c>
      <c r="L1846" s="28" t="str">
        <f aca="false">IF(E1846="","",IFERROR(INDEX(Settings!$K$8:$K$38,MATCH(E1846,Settings!$H$8:$H$38,0))&amp;"",""))</f>
        <v/>
      </c>
    </row>
    <row r="1847" customFormat="false" ht="15" hidden="false" customHeight="false" outlineLevel="0" collapsed="false">
      <c r="A1847" s="33"/>
      <c r="B1847" s="27"/>
      <c r="C1847" s="27"/>
      <c r="D1847" s="27"/>
      <c r="E1847" s="27"/>
      <c r="F1847" s="34"/>
      <c r="G1847" s="27"/>
      <c r="H1847" s="27"/>
      <c r="I1847" s="28" t="str">
        <f aca="false">IF(C1847="","",IFERROR(INDEX(Settings!$C$8:$C$19,MATCH(C1847,Settings!$B$8:$B$19,0)),"?"))</f>
        <v/>
      </c>
      <c r="J1847" s="28" t="str">
        <f aca="false">IF(G1847="","",IFERROR(INDEX(Settings!$C$8:$C$19,MATCH(G1847,Settings!$B$8:$B$19,0)),"?"))</f>
        <v/>
      </c>
      <c r="K1847" s="35" t="str">
        <f aca="false">IF(A1847="","",DATE(YEAR(A1847),MONTH(A1847),1))</f>
        <v/>
      </c>
      <c r="L1847" s="28" t="str">
        <f aca="false">IF(E1847="","",IFERROR(INDEX(Settings!$K$8:$K$38,MATCH(E1847,Settings!$H$8:$H$38,0))&amp;"",""))</f>
        <v/>
      </c>
    </row>
    <row r="1848" customFormat="false" ht="15" hidden="false" customHeight="false" outlineLevel="0" collapsed="false">
      <c r="A1848" s="33"/>
      <c r="B1848" s="27"/>
      <c r="C1848" s="27"/>
      <c r="D1848" s="27"/>
      <c r="E1848" s="27"/>
      <c r="F1848" s="34"/>
      <c r="G1848" s="27"/>
      <c r="H1848" s="27"/>
      <c r="I1848" s="28" t="str">
        <f aca="false">IF(C1848="","",IFERROR(INDEX(Settings!$C$8:$C$19,MATCH(C1848,Settings!$B$8:$B$19,0)),"?"))</f>
        <v/>
      </c>
      <c r="J1848" s="28" t="str">
        <f aca="false">IF(G1848="","",IFERROR(INDEX(Settings!$C$8:$C$19,MATCH(G1848,Settings!$B$8:$B$19,0)),"?"))</f>
        <v/>
      </c>
      <c r="K1848" s="35" t="str">
        <f aca="false">IF(A1848="","",DATE(YEAR(A1848),MONTH(A1848),1))</f>
        <v/>
      </c>
      <c r="L1848" s="28" t="str">
        <f aca="false">IF(E1848="","",IFERROR(INDEX(Settings!$K$8:$K$38,MATCH(E1848,Settings!$H$8:$H$38,0))&amp;"",""))</f>
        <v/>
      </c>
    </row>
    <row r="1849" customFormat="false" ht="15" hidden="false" customHeight="false" outlineLevel="0" collapsed="false">
      <c r="A1849" s="33"/>
      <c r="B1849" s="27"/>
      <c r="C1849" s="27"/>
      <c r="D1849" s="27"/>
      <c r="E1849" s="27"/>
      <c r="F1849" s="34"/>
      <c r="G1849" s="27"/>
      <c r="H1849" s="27"/>
      <c r="I1849" s="28" t="str">
        <f aca="false">IF(C1849="","",IFERROR(INDEX(Settings!$C$8:$C$19,MATCH(C1849,Settings!$B$8:$B$19,0)),"?"))</f>
        <v/>
      </c>
      <c r="J1849" s="28" t="str">
        <f aca="false">IF(G1849="","",IFERROR(INDEX(Settings!$C$8:$C$19,MATCH(G1849,Settings!$B$8:$B$19,0)),"?"))</f>
        <v/>
      </c>
      <c r="K1849" s="35" t="str">
        <f aca="false">IF(A1849="","",DATE(YEAR(A1849),MONTH(A1849),1))</f>
        <v/>
      </c>
      <c r="L1849" s="28" t="str">
        <f aca="false">IF(E1849="","",IFERROR(INDEX(Settings!$K$8:$K$38,MATCH(E1849,Settings!$H$8:$H$38,0))&amp;"",""))</f>
        <v/>
      </c>
    </row>
    <row r="1850" customFormat="false" ht="15" hidden="false" customHeight="false" outlineLevel="0" collapsed="false">
      <c r="A1850" s="33"/>
      <c r="B1850" s="27"/>
      <c r="C1850" s="27"/>
      <c r="D1850" s="27"/>
      <c r="E1850" s="27"/>
      <c r="F1850" s="34"/>
      <c r="G1850" s="27"/>
      <c r="H1850" s="27"/>
      <c r="I1850" s="28" t="str">
        <f aca="false">IF(C1850="","",IFERROR(INDEX(Settings!$C$8:$C$19,MATCH(C1850,Settings!$B$8:$B$19,0)),"?"))</f>
        <v/>
      </c>
      <c r="J1850" s="28" t="str">
        <f aca="false">IF(G1850="","",IFERROR(INDEX(Settings!$C$8:$C$19,MATCH(G1850,Settings!$B$8:$B$19,0)),"?"))</f>
        <v/>
      </c>
      <c r="K1850" s="35" t="str">
        <f aca="false">IF(A1850="","",DATE(YEAR(A1850),MONTH(A1850),1))</f>
        <v/>
      </c>
      <c r="L1850" s="28" t="str">
        <f aca="false">IF(E1850="","",IFERROR(INDEX(Settings!$K$8:$K$38,MATCH(E1850,Settings!$H$8:$H$38,0))&amp;"",""))</f>
        <v/>
      </c>
    </row>
    <row r="1851" customFormat="false" ht="15" hidden="false" customHeight="false" outlineLevel="0" collapsed="false">
      <c r="A1851" s="33"/>
      <c r="B1851" s="27"/>
      <c r="C1851" s="27"/>
      <c r="D1851" s="27"/>
      <c r="E1851" s="27"/>
      <c r="F1851" s="34"/>
      <c r="G1851" s="27"/>
      <c r="H1851" s="27"/>
      <c r="I1851" s="28" t="str">
        <f aca="false">IF(C1851="","",IFERROR(INDEX(Settings!$C$8:$C$19,MATCH(C1851,Settings!$B$8:$B$19,0)),"?"))</f>
        <v/>
      </c>
      <c r="J1851" s="28" t="str">
        <f aca="false">IF(G1851="","",IFERROR(INDEX(Settings!$C$8:$C$19,MATCH(G1851,Settings!$B$8:$B$19,0)),"?"))</f>
        <v/>
      </c>
      <c r="K1851" s="35" t="str">
        <f aca="false">IF(A1851="","",DATE(YEAR(A1851),MONTH(A1851),1))</f>
        <v/>
      </c>
      <c r="L1851" s="28" t="str">
        <f aca="false">IF(E1851="","",IFERROR(INDEX(Settings!$K$8:$K$38,MATCH(E1851,Settings!$H$8:$H$38,0))&amp;"",""))</f>
        <v/>
      </c>
    </row>
    <row r="1852" customFormat="false" ht="15" hidden="false" customHeight="false" outlineLevel="0" collapsed="false">
      <c r="A1852" s="33"/>
      <c r="B1852" s="27"/>
      <c r="C1852" s="27"/>
      <c r="D1852" s="27"/>
      <c r="E1852" s="27"/>
      <c r="F1852" s="34"/>
      <c r="G1852" s="27"/>
      <c r="H1852" s="27"/>
      <c r="I1852" s="28" t="str">
        <f aca="false">IF(C1852="","",IFERROR(INDEX(Settings!$C$8:$C$19,MATCH(C1852,Settings!$B$8:$B$19,0)),"?"))</f>
        <v/>
      </c>
      <c r="J1852" s="28" t="str">
        <f aca="false">IF(G1852="","",IFERROR(INDEX(Settings!$C$8:$C$19,MATCH(G1852,Settings!$B$8:$B$19,0)),"?"))</f>
        <v/>
      </c>
      <c r="K1852" s="35" t="str">
        <f aca="false">IF(A1852="","",DATE(YEAR(A1852),MONTH(A1852),1))</f>
        <v/>
      </c>
      <c r="L1852" s="28" t="str">
        <f aca="false">IF(E1852="","",IFERROR(INDEX(Settings!$K$8:$K$38,MATCH(E1852,Settings!$H$8:$H$38,0))&amp;"",""))</f>
        <v/>
      </c>
    </row>
    <row r="1853" customFormat="false" ht="15" hidden="false" customHeight="false" outlineLevel="0" collapsed="false">
      <c r="A1853" s="33"/>
      <c r="B1853" s="27"/>
      <c r="C1853" s="27"/>
      <c r="D1853" s="27"/>
      <c r="E1853" s="27"/>
      <c r="F1853" s="34"/>
      <c r="G1853" s="27"/>
      <c r="H1853" s="27"/>
      <c r="I1853" s="28" t="str">
        <f aca="false">IF(C1853="","",IFERROR(INDEX(Settings!$C$8:$C$19,MATCH(C1853,Settings!$B$8:$B$19,0)),"?"))</f>
        <v/>
      </c>
      <c r="J1853" s="28" t="str">
        <f aca="false">IF(G1853="","",IFERROR(INDEX(Settings!$C$8:$C$19,MATCH(G1853,Settings!$B$8:$B$19,0)),"?"))</f>
        <v/>
      </c>
      <c r="K1853" s="35" t="str">
        <f aca="false">IF(A1853="","",DATE(YEAR(A1853),MONTH(A1853),1))</f>
        <v/>
      </c>
      <c r="L1853" s="28" t="str">
        <f aca="false">IF(E1853="","",IFERROR(INDEX(Settings!$K$8:$K$38,MATCH(E1853,Settings!$H$8:$H$38,0))&amp;"",""))</f>
        <v/>
      </c>
    </row>
    <row r="1854" customFormat="false" ht="15" hidden="false" customHeight="false" outlineLevel="0" collapsed="false">
      <c r="A1854" s="33"/>
      <c r="B1854" s="27"/>
      <c r="C1854" s="27"/>
      <c r="D1854" s="27"/>
      <c r="E1854" s="27"/>
      <c r="F1854" s="34"/>
      <c r="G1854" s="27"/>
      <c r="H1854" s="27"/>
      <c r="I1854" s="28" t="str">
        <f aca="false">IF(C1854="","",IFERROR(INDEX(Settings!$C$8:$C$19,MATCH(C1854,Settings!$B$8:$B$19,0)),"?"))</f>
        <v/>
      </c>
      <c r="J1854" s="28" t="str">
        <f aca="false">IF(G1854="","",IFERROR(INDEX(Settings!$C$8:$C$19,MATCH(G1854,Settings!$B$8:$B$19,0)),"?"))</f>
        <v/>
      </c>
      <c r="K1854" s="35" t="str">
        <f aca="false">IF(A1854="","",DATE(YEAR(A1854),MONTH(A1854),1))</f>
        <v/>
      </c>
      <c r="L1854" s="28" t="str">
        <f aca="false">IF(E1854="","",IFERROR(INDEX(Settings!$K$8:$K$38,MATCH(E1854,Settings!$H$8:$H$38,0))&amp;"",""))</f>
        <v/>
      </c>
    </row>
    <row r="1855" customFormat="false" ht="15" hidden="false" customHeight="false" outlineLevel="0" collapsed="false">
      <c r="A1855" s="33"/>
      <c r="B1855" s="27"/>
      <c r="C1855" s="27"/>
      <c r="D1855" s="27"/>
      <c r="E1855" s="27"/>
      <c r="F1855" s="34"/>
      <c r="G1855" s="27"/>
      <c r="H1855" s="27"/>
      <c r="I1855" s="28" t="str">
        <f aca="false">IF(C1855="","",IFERROR(INDEX(Settings!$C$8:$C$19,MATCH(C1855,Settings!$B$8:$B$19,0)),"?"))</f>
        <v/>
      </c>
      <c r="J1855" s="28" t="str">
        <f aca="false">IF(G1855="","",IFERROR(INDEX(Settings!$C$8:$C$19,MATCH(G1855,Settings!$B$8:$B$19,0)),"?"))</f>
        <v/>
      </c>
      <c r="K1855" s="35" t="str">
        <f aca="false">IF(A1855="","",DATE(YEAR(A1855),MONTH(A1855),1))</f>
        <v/>
      </c>
      <c r="L1855" s="28" t="str">
        <f aca="false">IF(E1855="","",IFERROR(INDEX(Settings!$K$8:$K$38,MATCH(E1855,Settings!$H$8:$H$38,0))&amp;"",""))</f>
        <v/>
      </c>
    </row>
    <row r="1856" customFormat="false" ht="15" hidden="false" customHeight="false" outlineLevel="0" collapsed="false">
      <c r="A1856" s="33"/>
      <c r="B1856" s="27"/>
      <c r="C1856" s="27"/>
      <c r="D1856" s="27"/>
      <c r="E1856" s="27"/>
      <c r="F1856" s="34"/>
      <c r="G1856" s="27"/>
      <c r="H1856" s="27"/>
      <c r="I1856" s="28" t="str">
        <f aca="false">IF(C1856="","",IFERROR(INDEX(Settings!$C$8:$C$19,MATCH(C1856,Settings!$B$8:$B$19,0)),"?"))</f>
        <v/>
      </c>
      <c r="J1856" s="28" t="str">
        <f aca="false">IF(G1856="","",IFERROR(INDEX(Settings!$C$8:$C$19,MATCH(G1856,Settings!$B$8:$B$19,0)),"?"))</f>
        <v/>
      </c>
      <c r="K1856" s="35" t="str">
        <f aca="false">IF(A1856="","",DATE(YEAR(A1856),MONTH(A1856),1))</f>
        <v/>
      </c>
      <c r="L1856" s="28" t="str">
        <f aca="false">IF(E1856="","",IFERROR(INDEX(Settings!$K$8:$K$38,MATCH(E1856,Settings!$H$8:$H$38,0))&amp;"",""))</f>
        <v/>
      </c>
    </row>
    <row r="1857" customFormat="false" ht="15" hidden="false" customHeight="false" outlineLevel="0" collapsed="false">
      <c r="A1857" s="33"/>
      <c r="B1857" s="27"/>
      <c r="C1857" s="27"/>
      <c r="D1857" s="27"/>
      <c r="E1857" s="27"/>
      <c r="F1857" s="34"/>
      <c r="G1857" s="27"/>
      <c r="H1857" s="27"/>
      <c r="I1857" s="28" t="str">
        <f aca="false">IF(C1857="","",IFERROR(INDEX(Settings!$C$8:$C$19,MATCH(C1857,Settings!$B$8:$B$19,0)),"?"))</f>
        <v/>
      </c>
      <c r="J1857" s="28" t="str">
        <f aca="false">IF(G1857="","",IFERROR(INDEX(Settings!$C$8:$C$19,MATCH(G1857,Settings!$B$8:$B$19,0)),"?"))</f>
        <v/>
      </c>
      <c r="K1857" s="35" t="str">
        <f aca="false">IF(A1857="","",DATE(YEAR(A1857),MONTH(A1857),1))</f>
        <v/>
      </c>
      <c r="L1857" s="28" t="str">
        <f aca="false">IF(E1857="","",IFERROR(INDEX(Settings!$K$8:$K$38,MATCH(E1857,Settings!$H$8:$H$38,0))&amp;"",""))</f>
        <v/>
      </c>
    </row>
    <row r="1858" customFormat="false" ht="15" hidden="false" customHeight="false" outlineLevel="0" collapsed="false">
      <c r="A1858" s="33"/>
      <c r="B1858" s="27"/>
      <c r="C1858" s="27"/>
      <c r="D1858" s="27"/>
      <c r="E1858" s="27"/>
      <c r="F1858" s="34"/>
      <c r="G1858" s="27"/>
      <c r="H1858" s="27"/>
      <c r="I1858" s="28" t="str">
        <f aca="false">IF(C1858="","",IFERROR(INDEX(Settings!$C$8:$C$19,MATCH(C1858,Settings!$B$8:$B$19,0)),"?"))</f>
        <v/>
      </c>
      <c r="J1858" s="28" t="str">
        <f aca="false">IF(G1858="","",IFERROR(INDEX(Settings!$C$8:$C$19,MATCH(G1858,Settings!$B$8:$B$19,0)),"?"))</f>
        <v/>
      </c>
      <c r="K1858" s="35" t="str">
        <f aca="false">IF(A1858="","",DATE(YEAR(A1858),MONTH(A1858),1))</f>
        <v/>
      </c>
      <c r="L1858" s="28" t="str">
        <f aca="false">IF(E1858="","",IFERROR(INDEX(Settings!$K$8:$K$38,MATCH(E1858,Settings!$H$8:$H$38,0))&amp;"",""))</f>
        <v/>
      </c>
    </row>
    <row r="1859" customFormat="false" ht="15" hidden="false" customHeight="false" outlineLevel="0" collapsed="false">
      <c r="A1859" s="33"/>
      <c r="B1859" s="27"/>
      <c r="C1859" s="27"/>
      <c r="D1859" s="27"/>
      <c r="E1859" s="27"/>
      <c r="F1859" s="34"/>
      <c r="G1859" s="27"/>
      <c r="H1859" s="27"/>
      <c r="I1859" s="28" t="str">
        <f aca="false">IF(C1859="","",IFERROR(INDEX(Settings!$C$8:$C$19,MATCH(C1859,Settings!$B$8:$B$19,0)),"?"))</f>
        <v/>
      </c>
      <c r="J1859" s="28" t="str">
        <f aca="false">IF(G1859="","",IFERROR(INDEX(Settings!$C$8:$C$19,MATCH(G1859,Settings!$B$8:$B$19,0)),"?"))</f>
        <v/>
      </c>
      <c r="K1859" s="35" t="str">
        <f aca="false">IF(A1859="","",DATE(YEAR(A1859),MONTH(A1859),1))</f>
        <v/>
      </c>
      <c r="L1859" s="28" t="str">
        <f aca="false">IF(E1859="","",IFERROR(INDEX(Settings!$K$8:$K$38,MATCH(E1859,Settings!$H$8:$H$38,0))&amp;"",""))</f>
        <v/>
      </c>
    </row>
    <row r="1860" customFormat="false" ht="15" hidden="false" customHeight="false" outlineLevel="0" collapsed="false">
      <c r="A1860" s="33"/>
      <c r="B1860" s="27"/>
      <c r="C1860" s="27"/>
      <c r="D1860" s="27"/>
      <c r="E1860" s="27"/>
      <c r="F1860" s="34"/>
      <c r="G1860" s="27"/>
      <c r="H1860" s="27"/>
      <c r="I1860" s="28" t="str">
        <f aca="false">IF(C1860="","",IFERROR(INDEX(Settings!$C$8:$C$19,MATCH(C1860,Settings!$B$8:$B$19,0)),"?"))</f>
        <v/>
      </c>
      <c r="J1860" s="28" t="str">
        <f aca="false">IF(G1860="","",IFERROR(INDEX(Settings!$C$8:$C$19,MATCH(G1860,Settings!$B$8:$B$19,0)),"?"))</f>
        <v/>
      </c>
      <c r="K1860" s="35" t="str">
        <f aca="false">IF(A1860="","",DATE(YEAR(A1860),MONTH(A1860),1))</f>
        <v/>
      </c>
      <c r="L1860" s="28" t="str">
        <f aca="false">IF(E1860="","",IFERROR(INDEX(Settings!$K$8:$K$38,MATCH(E1860,Settings!$H$8:$H$38,0))&amp;"",""))</f>
        <v/>
      </c>
    </row>
    <row r="1861" customFormat="false" ht="15" hidden="false" customHeight="false" outlineLevel="0" collapsed="false">
      <c r="A1861" s="33"/>
      <c r="B1861" s="27"/>
      <c r="C1861" s="27"/>
      <c r="D1861" s="27"/>
      <c r="E1861" s="27"/>
      <c r="F1861" s="34"/>
      <c r="G1861" s="27"/>
      <c r="H1861" s="27"/>
      <c r="I1861" s="28" t="str">
        <f aca="false">IF(C1861="","",IFERROR(INDEX(Settings!$C$8:$C$19,MATCH(C1861,Settings!$B$8:$B$19,0)),"?"))</f>
        <v/>
      </c>
      <c r="J1861" s="28" t="str">
        <f aca="false">IF(G1861="","",IFERROR(INDEX(Settings!$C$8:$C$19,MATCH(G1861,Settings!$B$8:$B$19,0)),"?"))</f>
        <v/>
      </c>
      <c r="K1861" s="35" t="str">
        <f aca="false">IF(A1861="","",DATE(YEAR(A1861),MONTH(A1861),1))</f>
        <v/>
      </c>
      <c r="L1861" s="28" t="str">
        <f aca="false">IF(E1861="","",IFERROR(INDEX(Settings!$K$8:$K$38,MATCH(E1861,Settings!$H$8:$H$38,0))&amp;"",""))</f>
        <v/>
      </c>
    </row>
    <row r="1862" customFormat="false" ht="15" hidden="false" customHeight="false" outlineLevel="0" collapsed="false">
      <c r="A1862" s="33"/>
      <c r="B1862" s="27"/>
      <c r="C1862" s="27"/>
      <c r="D1862" s="27"/>
      <c r="E1862" s="27"/>
      <c r="F1862" s="34"/>
      <c r="G1862" s="27"/>
      <c r="H1862" s="27"/>
      <c r="I1862" s="28" t="str">
        <f aca="false">IF(C1862="","",IFERROR(INDEX(Settings!$C$8:$C$19,MATCH(C1862,Settings!$B$8:$B$19,0)),"?"))</f>
        <v/>
      </c>
      <c r="J1862" s="28" t="str">
        <f aca="false">IF(G1862="","",IFERROR(INDEX(Settings!$C$8:$C$19,MATCH(G1862,Settings!$B$8:$B$19,0)),"?"))</f>
        <v/>
      </c>
      <c r="K1862" s="35" t="str">
        <f aca="false">IF(A1862="","",DATE(YEAR(A1862),MONTH(A1862),1))</f>
        <v/>
      </c>
      <c r="L1862" s="28" t="str">
        <f aca="false">IF(E1862="","",IFERROR(INDEX(Settings!$K$8:$K$38,MATCH(E1862,Settings!$H$8:$H$38,0))&amp;"",""))</f>
        <v/>
      </c>
    </row>
    <row r="1863" customFormat="false" ht="15" hidden="false" customHeight="false" outlineLevel="0" collapsed="false">
      <c r="A1863" s="33"/>
      <c r="B1863" s="27"/>
      <c r="C1863" s="27"/>
      <c r="D1863" s="27"/>
      <c r="E1863" s="27"/>
      <c r="F1863" s="34"/>
      <c r="G1863" s="27"/>
      <c r="H1863" s="27"/>
      <c r="I1863" s="28" t="str">
        <f aca="false">IF(C1863="","",IFERROR(INDEX(Settings!$C$8:$C$19,MATCH(C1863,Settings!$B$8:$B$19,0)),"?"))</f>
        <v/>
      </c>
      <c r="J1863" s="28" t="str">
        <f aca="false">IF(G1863="","",IFERROR(INDEX(Settings!$C$8:$C$19,MATCH(G1863,Settings!$B$8:$B$19,0)),"?"))</f>
        <v/>
      </c>
      <c r="K1863" s="35" t="str">
        <f aca="false">IF(A1863="","",DATE(YEAR(A1863),MONTH(A1863),1))</f>
        <v/>
      </c>
      <c r="L1863" s="28" t="str">
        <f aca="false">IF(E1863="","",IFERROR(INDEX(Settings!$K$8:$K$38,MATCH(E1863,Settings!$H$8:$H$38,0))&amp;"",""))</f>
        <v/>
      </c>
    </row>
    <row r="1864" customFormat="false" ht="15" hidden="false" customHeight="false" outlineLevel="0" collapsed="false">
      <c r="A1864" s="33"/>
      <c r="B1864" s="27"/>
      <c r="C1864" s="27"/>
      <c r="D1864" s="27"/>
      <c r="E1864" s="27"/>
      <c r="F1864" s="34"/>
      <c r="G1864" s="27"/>
      <c r="H1864" s="27"/>
      <c r="I1864" s="28" t="str">
        <f aca="false">IF(C1864="","",IFERROR(INDEX(Settings!$C$8:$C$19,MATCH(C1864,Settings!$B$8:$B$19,0)),"?"))</f>
        <v/>
      </c>
      <c r="J1864" s="28" t="str">
        <f aca="false">IF(G1864="","",IFERROR(INDEX(Settings!$C$8:$C$19,MATCH(G1864,Settings!$B$8:$B$19,0)),"?"))</f>
        <v/>
      </c>
      <c r="K1864" s="35" t="str">
        <f aca="false">IF(A1864="","",DATE(YEAR(A1864),MONTH(A1864),1))</f>
        <v/>
      </c>
      <c r="L1864" s="28" t="str">
        <f aca="false">IF(E1864="","",IFERROR(INDEX(Settings!$K$8:$K$38,MATCH(E1864,Settings!$H$8:$H$38,0))&amp;"",""))</f>
        <v/>
      </c>
    </row>
    <row r="1865" customFormat="false" ht="15" hidden="false" customHeight="false" outlineLevel="0" collapsed="false">
      <c r="A1865" s="33"/>
      <c r="B1865" s="27"/>
      <c r="C1865" s="27"/>
      <c r="D1865" s="27"/>
      <c r="E1865" s="27"/>
      <c r="F1865" s="34"/>
      <c r="G1865" s="27"/>
      <c r="H1865" s="27"/>
      <c r="I1865" s="28" t="str">
        <f aca="false">IF(C1865="","",IFERROR(INDEX(Settings!$C$8:$C$19,MATCH(C1865,Settings!$B$8:$B$19,0)),"?"))</f>
        <v/>
      </c>
      <c r="J1865" s="28" t="str">
        <f aca="false">IF(G1865="","",IFERROR(INDEX(Settings!$C$8:$C$19,MATCH(G1865,Settings!$B$8:$B$19,0)),"?"))</f>
        <v/>
      </c>
      <c r="K1865" s="35" t="str">
        <f aca="false">IF(A1865="","",DATE(YEAR(A1865),MONTH(A1865),1))</f>
        <v/>
      </c>
      <c r="L1865" s="28" t="str">
        <f aca="false">IF(E1865="","",IFERROR(INDEX(Settings!$K$8:$K$38,MATCH(E1865,Settings!$H$8:$H$38,0))&amp;"",""))</f>
        <v/>
      </c>
    </row>
    <row r="1866" customFormat="false" ht="15" hidden="false" customHeight="false" outlineLevel="0" collapsed="false">
      <c r="A1866" s="33"/>
      <c r="B1866" s="27"/>
      <c r="C1866" s="27"/>
      <c r="D1866" s="27"/>
      <c r="E1866" s="27"/>
      <c r="F1866" s="34"/>
      <c r="G1866" s="27"/>
      <c r="H1866" s="27"/>
      <c r="I1866" s="28" t="str">
        <f aca="false">IF(C1866="","",IFERROR(INDEX(Settings!$C$8:$C$19,MATCH(C1866,Settings!$B$8:$B$19,0)),"?"))</f>
        <v/>
      </c>
      <c r="J1866" s="28" t="str">
        <f aca="false">IF(G1866="","",IFERROR(INDEX(Settings!$C$8:$C$19,MATCH(G1866,Settings!$B$8:$B$19,0)),"?"))</f>
        <v/>
      </c>
      <c r="K1866" s="35" t="str">
        <f aca="false">IF(A1866="","",DATE(YEAR(A1866),MONTH(A1866),1))</f>
        <v/>
      </c>
      <c r="L1866" s="28" t="str">
        <f aca="false">IF(E1866="","",IFERROR(INDEX(Settings!$K$8:$K$38,MATCH(E1866,Settings!$H$8:$H$38,0))&amp;"",""))</f>
        <v/>
      </c>
    </row>
    <row r="1867" customFormat="false" ht="15" hidden="false" customHeight="false" outlineLevel="0" collapsed="false">
      <c r="A1867" s="33"/>
      <c r="B1867" s="27"/>
      <c r="C1867" s="27"/>
      <c r="D1867" s="27"/>
      <c r="E1867" s="27"/>
      <c r="F1867" s="34"/>
      <c r="G1867" s="27"/>
      <c r="H1867" s="27"/>
      <c r="I1867" s="28" t="str">
        <f aca="false">IF(C1867="","",IFERROR(INDEX(Settings!$C$8:$C$19,MATCH(C1867,Settings!$B$8:$B$19,0)),"?"))</f>
        <v/>
      </c>
      <c r="J1867" s="28" t="str">
        <f aca="false">IF(G1867="","",IFERROR(INDEX(Settings!$C$8:$C$19,MATCH(G1867,Settings!$B$8:$B$19,0)),"?"))</f>
        <v/>
      </c>
      <c r="K1867" s="35" t="str">
        <f aca="false">IF(A1867="","",DATE(YEAR(A1867),MONTH(A1867),1))</f>
        <v/>
      </c>
      <c r="L1867" s="28" t="str">
        <f aca="false">IF(E1867="","",IFERROR(INDEX(Settings!$K$8:$K$38,MATCH(E1867,Settings!$H$8:$H$38,0))&amp;"",""))</f>
        <v/>
      </c>
    </row>
    <row r="1868" customFormat="false" ht="15" hidden="false" customHeight="false" outlineLevel="0" collapsed="false">
      <c r="A1868" s="33"/>
      <c r="B1868" s="27"/>
      <c r="C1868" s="27"/>
      <c r="D1868" s="27"/>
      <c r="E1868" s="27"/>
      <c r="F1868" s="34"/>
      <c r="G1868" s="27"/>
      <c r="H1868" s="27"/>
      <c r="I1868" s="28" t="str">
        <f aca="false">IF(C1868="","",IFERROR(INDEX(Settings!$C$8:$C$19,MATCH(C1868,Settings!$B$8:$B$19,0)),"?"))</f>
        <v/>
      </c>
      <c r="J1868" s="28" t="str">
        <f aca="false">IF(G1868="","",IFERROR(INDEX(Settings!$C$8:$C$19,MATCH(G1868,Settings!$B$8:$B$19,0)),"?"))</f>
        <v/>
      </c>
      <c r="K1868" s="35" t="str">
        <f aca="false">IF(A1868="","",DATE(YEAR(A1868),MONTH(A1868),1))</f>
        <v/>
      </c>
      <c r="L1868" s="28" t="str">
        <f aca="false">IF(E1868="","",IFERROR(INDEX(Settings!$K$8:$K$38,MATCH(E1868,Settings!$H$8:$H$38,0))&amp;"",""))</f>
        <v/>
      </c>
    </row>
    <row r="1869" customFormat="false" ht="15" hidden="false" customHeight="false" outlineLevel="0" collapsed="false">
      <c r="A1869" s="33"/>
      <c r="B1869" s="27"/>
      <c r="C1869" s="27"/>
      <c r="D1869" s="27"/>
      <c r="E1869" s="27"/>
      <c r="F1869" s="34"/>
      <c r="G1869" s="27"/>
      <c r="H1869" s="27"/>
      <c r="I1869" s="28" t="str">
        <f aca="false">IF(C1869="","",IFERROR(INDEX(Settings!$C$8:$C$19,MATCH(C1869,Settings!$B$8:$B$19,0)),"?"))</f>
        <v/>
      </c>
      <c r="J1869" s="28" t="str">
        <f aca="false">IF(G1869="","",IFERROR(INDEX(Settings!$C$8:$C$19,MATCH(G1869,Settings!$B$8:$B$19,0)),"?"))</f>
        <v/>
      </c>
      <c r="K1869" s="35" t="str">
        <f aca="false">IF(A1869="","",DATE(YEAR(A1869),MONTH(A1869),1))</f>
        <v/>
      </c>
      <c r="L1869" s="28" t="str">
        <f aca="false">IF(E1869="","",IFERROR(INDEX(Settings!$K$8:$K$38,MATCH(E1869,Settings!$H$8:$H$38,0))&amp;"",""))</f>
        <v/>
      </c>
    </row>
    <row r="1870" customFormat="false" ht="15" hidden="false" customHeight="false" outlineLevel="0" collapsed="false">
      <c r="A1870" s="33"/>
      <c r="B1870" s="27"/>
      <c r="C1870" s="27"/>
      <c r="D1870" s="27"/>
      <c r="E1870" s="27"/>
      <c r="F1870" s="34"/>
      <c r="G1870" s="27"/>
      <c r="H1870" s="27"/>
      <c r="I1870" s="28" t="str">
        <f aca="false">IF(C1870="","",IFERROR(INDEX(Settings!$C$8:$C$19,MATCH(C1870,Settings!$B$8:$B$19,0)),"?"))</f>
        <v/>
      </c>
      <c r="J1870" s="28" t="str">
        <f aca="false">IF(G1870="","",IFERROR(INDEX(Settings!$C$8:$C$19,MATCH(G1870,Settings!$B$8:$B$19,0)),"?"))</f>
        <v/>
      </c>
      <c r="K1870" s="35" t="str">
        <f aca="false">IF(A1870="","",DATE(YEAR(A1870),MONTH(A1870),1))</f>
        <v/>
      </c>
      <c r="L1870" s="28" t="str">
        <f aca="false">IF(E1870="","",IFERROR(INDEX(Settings!$K$8:$K$38,MATCH(E1870,Settings!$H$8:$H$38,0))&amp;"",""))</f>
        <v/>
      </c>
    </row>
    <row r="1871" customFormat="false" ht="15" hidden="false" customHeight="false" outlineLevel="0" collapsed="false">
      <c r="A1871" s="33"/>
      <c r="B1871" s="27"/>
      <c r="C1871" s="27"/>
      <c r="D1871" s="27"/>
      <c r="E1871" s="27"/>
      <c r="F1871" s="34"/>
      <c r="G1871" s="27"/>
      <c r="H1871" s="27"/>
      <c r="I1871" s="28" t="str">
        <f aca="false">IF(C1871="","",IFERROR(INDEX(Settings!$C$8:$C$19,MATCH(C1871,Settings!$B$8:$B$19,0)),"?"))</f>
        <v/>
      </c>
      <c r="J1871" s="28" t="str">
        <f aca="false">IF(G1871="","",IFERROR(INDEX(Settings!$C$8:$C$19,MATCH(G1871,Settings!$B$8:$B$19,0)),"?"))</f>
        <v/>
      </c>
      <c r="K1871" s="35" t="str">
        <f aca="false">IF(A1871="","",DATE(YEAR(A1871),MONTH(A1871),1))</f>
        <v/>
      </c>
      <c r="L1871" s="28" t="str">
        <f aca="false">IF(E1871="","",IFERROR(INDEX(Settings!$K$8:$K$38,MATCH(E1871,Settings!$H$8:$H$38,0))&amp;"",""))</f>
        <v/>
      </c>
    </row>
    <row r="1872" customFormat="false" ht="15" hidden="false" customHeight="false" outlineLevel="0" collapsed="false">
      <c r="A1872" s="33"/>
      <c r="B1872" s="27"/>
      <c r="C1872" s="27"/>
      <c r="D1872" s="27"/>
      <c r="E1872" s="27"/>
      <c r="F1872" s="34"/>
      <c r="G1872" s="27"/>
      <c r="H1872" s="27"/>
      <c r="I1872" s="28" t="str">
        <f aca="false">IF(C1872="","",IFERROR(INDEX(Settings!$C$8:$C$19,MATCH(C1872,Settings!$B$8:$B$19,0)),"?"))</f>
        <v/>
      </c>
      <c r="J1872" s="28" t="str">
        <f aca="false">IF(G1872="","",IFERROR(INDEX(Settings!$C$8:$C$19,MATCH(G1872,Settings!$B$8:$B$19,0)),"?"))</f>
        <v/>
      </c>
      <c r="K1872" s="35" t="str">
        <f aca="false">IF(A1872="","",DATE(YEAR(A1872),MONTH(A1872),1))</f>
        <v/>
      </c>
      <c r="L1872" s="28" t="str">
        <f aca="false">IF(E1872="","",IFERROR(INDEX(Settings!$K$8:$K$38,MATCH(E1872,Settings!$H$8:$H$38,0))&amp;"",""))</f>
        <v/>
      </c>
    </row>
    <row r="1873" customFormat="false" ht="15" hidden="false" customHeight="false" outlineLevel="0" collapsed="false">
      <c r="A1873" s="33"/>
      <c r="B1873" s="27"/>
      <c r="C1873" s="27"/>
      <c r="D1873" s="27"/>
      <c r="E1873" s="27"/>
      <c r="F1873" s="34"/>
      <c r="G1873" s="27"/>
      <c r="H1873" s="27"/>
      <c r="I1873" s="28" t="str">
        <f aca="false">IF(C1873="","",IFERROR(INDEX(Settings!$C$8:$C$19,MATCH(C1873,Settings!$B$8:$B$19,0)),"?"))</f>
        <v/>
      </c>
      <c r="J1873" s="28" t="str">
        <f aca="false">IF(G1873="","",IFERROR(INDEX(Settings!$C$8:$C$19,MATCH(G1873,Settings!$B$8:$B$19,0)),"?"))</f>
        <v/>
      </c>
      <c r="K1873" s="35" t="str">
        <f aca="false">IF(A1873="","",DATE(YEAR(A1873),MONTH(A1873),1))</f>
        <v/>
      </c>
      <c r="L1873" s="28" t="str">
        <f aca="false">IF(E1873="","",IFERROR(INDEX(Settings!$K$8:$K$38,MATCH(E1873,Settings!$H$8:$H$38,0))&amp;"",""))</f>
        <v/>
      </c>
    </row>
    <row r="1874" customFormat="false" ht="15" hidden="false" customHeight="false" outlineLevel="0" collapsed="false">
      <c r="A1874" s="33"/>
      <c r="B1874" s="27"/>
      <c r="C1874" s="27"/>
      <c r="D1874" s="27"/>
      <c r="E1874" s="27"/>
      <c r="F1874" s="34"/>
      <c r="G1874" s="27"/>
      <c r="H1874" s="27"/>
      <c r="I1874" s="28" t="str">
        <f aca="false">IF(C1874="","",IFERROR(INDEX(Settings!$C$8:$C$19,MATCH(C1874,Settings!$B$8:$B$19,0)),"?"))</f>
        <v/>
      </c>
      <c r="J1874" s="28" t="str">
        <f aca="false">IF(G1874="","",IFERROR(INDEX(Settings!$C$8:$C$19,MATCH(G1874,Settings!$B$8:$B$19,0)),"?"))</f>
        <v/>
      </c>
      <c r="K1874" s="35" t="str">
        <f aca="false">IF(A1874="","",DATE(YEAR(A1874),MONTH(A1874),1))</f>
        <v/>
      </c>
      <c r="L1874" s="28" t="str">
        <f aca="false">IF(E1874="","",IFERROR(INDEX(Settings!$K$8:$K$38,MATCH(E1874,Settings!$H$8:$H$38,0))&amp;"",""))</f>
        <v/>
      </c>
    </row>
    <row r="1875" customFormat="false" ht="15" hidden="false" customHeight="false" outlineLevel="0" collapsed="false">
      <c r="A1875" s="33"/>
      <c r="B1875" s="27"/>
      <c r="C1875" s="27"/>
      <c r="D1875" s="27"/>
      <c r="E1875" s="27"/>
      <c r="F1875" s="34"/>
      <c r="G1875" s="27"/>
      <c r="H1875" s="27"/>
      <c r="I1875" s="28" t="str">
        <f aca="false">IF(C1875="","",IFERROR(INDEX(Settings!$C$8:$C$19,MATCH(C1875,Settings!$B$8:$B$19,0)),"?"))</f>
        <v/>
      </c>
      <c r="J1875" s="28" t="str">
        <f aca="false">IF(G1875="","",IFERROR(INDEX(Settings!$C$8:$C$19,MATCH(G1875,Settings!$B$8:$B$19,0)),"?"))</f>
        <v/>
      </c>
      <c r="K1875" s="35" t="str">
        <f aca="false">IF(A1875="","",DATE(YEAR(A1875),MONTH(A1875),1))</f>
        <v/>
      </c>
      <c r="L1875" s="28" t="str">
        <f aca="false">IF(E1875="","",IFERROR(INDEX(Settings!$K$8:$K$38,MATCH(E1875,Settings!$H$8:$H$38,0))&amp;"",""))</f>
        <v/>
      </c>
    </row>
    <row r="1876" customFormat="false" ht="15" hidden="false" customHeight="false" outlineLevel="0" collapsed="false">
      <c r="A1876" s="33"/>
      <c r="B1876" s="27"/>
      <c r="C1876" s="27"/>
      <c r="D1876" s="27"/>
      <c r="E1876" s="27"/>
      <c r="F1876" s="34"/>
      <c r="G1876" s="27"/>
      <c r="H1876" s="27"/>
      <c r="I1876" s="28" t="str">
        <f aca="false">IF(C1876="","",IFERROR(INDEX(Settings!$C$8:$C$19,MATCH(C1876,Settings!$B$8:$B$19,0)),"?"))</f>
        <v/>
      </c>
      <c r="J1876" s="28" t="str">
        <f aca="false">IF(G1876="","",IFERROR(INDEX(Settings!$C$8:$C$19,MATCH(G1876,Settings!$B$8:$B$19,0)),"?"))</f>
        <v/>
      </c>
      <c r="K1876" s="35" t="str">
        <f aca="false">IF(A1876="","",DATE(YEAR(A1876),MONTH(A1876),1))</f>
        <v/>
      </c>
      <c r="L1876" s="28" t="str">
        <f aca="false">IF(E1876="","",IFERROR(INDEX(Settings!$K$8:$K$38,MATCH(E1876,Settings!$H$8:$H$38,0))&amp;"",""))</f>
        <v/>
      </c>
    </row>
    <row r="1877" customFormat="false" ht="15" hidden="false" customHeight="false" outlineLevel="0" collapsed="false">
      <c r="A1877" s="33"/>
      <c r="B1877" s="27"/>
      <c r="C1877" s="27"/>
      <c r="D1877" s="27"/>
      <c r="E1877" s="27"/>
      <c r="F1877" s="34"/>
      <c r="G1877" s="27"/>
      <c r="H1877" s="27"/>
      <c r="I1877" s="28" t="str">
        <f aca="false">IF(C1877="","",IFERROR(INDEX(Settings!$C$8:$C$19,MATCH(C1877,Settings!$B$8:$B$19,0)),"?"))</f>
        <v/>
      </c>
      <c r="J1877" s="28" t="str">
        <f aca="false">IF(G1877="","",IFERROR(INDEX(Settings!$C$8:$C$19,MATCH(G1877,Settings!$B$8:$B$19,0)),"?"))</f>
        <v/>
      </c>
      <c r="K1877" s="35" t="str">
        <f aca="false">IF(A1877="","",DATE(YEAR(A1877),MONTH(A1877),1))</f>
        <v/>
      </c>
      <c r="L1877" s="28" t="str">
        <f aca="false">IF(E1877="","",IFERROR(INDEX(Settings!$K$8:$K$38,MATCH(E1877,Settings!$H$8:$H$38,0))&amp;"",""))</f>
        <v/>
      </c>
    </row>
    <row r="1878" customFormat="false" ht="15" hidden="false" customHeight="false" outlineLevel="0" collapsed="false">
      <c r="A1878" s="33"/>
      <c r="B1878" s="27"/>
      <c r="C1878" s="27"/>
      <c r="D1878" s="27"/>
      <c r="E1878" s="27"/>
      <c r="F1878" s="34"/>
      <c r="G1878" s="27"/>
      <c r="H1878" s="27"/>
      <c r="I1878" s="28" t="str">
        <f aca="false">IF(C1878="","",IFERROR(INDEX(Settings!$C$8:$C$19,MATCH(C1878,Settings!$B$8:$B$19,0)),"?"))</f>
        <v/>
      </c>
      <c r="J1878" s="28" t="str">
        <f aca="false">IF(G1878="","",IFERROR(INDEX(Settings!$C$8:$C$19,MATCH(G1878,Settings!$B$8:$B$19,0)),"?"))</f>
        <v/>
      </c>
      <c r="K1878" s="35" t="str">
        <f aca="false">IF(A1878="","",DATE(YEAR(A1878),MONTH(A1878),1))</f>
        <v/>
      </c>
      <c r="L1878" s="28" t="str">
        <f aca="false">IF(E1878="","",IFERROR(INDEX(Settings!$K$8:$K$38,MATCH(E1878,Settings!$H$8:$H$38,0))&amp;"",""))</f>
        <v/>
      </c>
    </row>
    <row r="1879" customFormat="false" ht="15" hidden="false" customHeight="false" outlineLevel="0" collapsed="false">
      <c r="A1879" s="33"/>
      <c r="B1879" s="27"/>
      <c r="C1879" s="27"/>
      <c r="D1879" s="27"/>
      <c r="E1879" s="27"/>
      <c r="F1879" s="34"/>
      <c r="G1879" s="27"/>
      <c r="H1879" s="27"/>
      <c r="I1879" s="28" t="str">
        <f aca="false">IF(C1879="","",IFERROR(INDEX(Settings!$C$8:$C$19,MATCH(C1879,Settings!$B$8:$B$19,0)),"?"))</f>
        <v/>
      </c>
      <c r="J1879" s="28" t="str">
        <f aca="false">IF(G1879="","",IFERROR(INDEX(Settings!$C$8:$C$19,MATCH(G1879,Settings!$B$8:$B$19,0)),"?"))</f>
        <v/>
      </c>
      <c r="K1879" s="35" t="str">
        <f aca="false">IF(A1879="","",DATE(YEAR(A1879),MONTH(A1879),1))</f>
        <v/>
      </c>
      <c r="L1879" s="28" t="str">
        <f aca="false">IF(E1879="","",IFERROR(INDEX(Settings!$K$8:$K$38,MATCH(E1879,Settings!$H$8:$H$38,0))&amp;"",""))</f>
        <v/>
      </c>
    </row>
    <row r="1880" customFormat="false" ht="15" hidden="false" customHeight="false" outlineLevel="0" collapsed="false">
      <c r="A1880" s="33"/>
      <c r="B1880" s="27"/>
      <c r="C1880" s="27"/>
      <c r="D1880" s="27"/>
      <c r="E1880" s="27"/>
      <c r="F1880" s="34"/>
      <c r="G1880" s="27"/>
      <c r="H1880" s="27"/>
      <c r="I1880" s="28" t="str">
        <f aca="false">IF(C1880="","",IFERROR(INDEX(Settings!$C$8:$C$19,MATCH(C1880,Settings!$B$8:$B$19,0)),"?"))</f>
        <v/>
      </c>
      <c r="J1880" s="28" t="str">
        <f aca="false">IF(G1880="","",IFERROR(INDEX(Settings!$C$8:$C$19,MATCH(G1880,Settings!$B$8:$B$19,0)),"?"))</f>
        <v/>
      </c>
      <c r="K1880" s="35" t="str">
        <f aca="false">IF(A1880="","",DATE(YEAR(A1880),MONTH(A1880),1))</f>
        <v/>
      </c>
      <c r="L1880" s="28" t="str">
        <f aca="false">IF(E1880="","",IFERROR(INDEX(Settings!$K$8:$K$38,MATCH(E1880,Settings!$H$8:$H$38,0))&amp;"",""))</f>
        <v/>
      </c>
    </row>
    <row r="1881" customFormat="false" ht="15" hidden="false" customHeight="false" outlineLevel="0" collapsed="false">
      <c r="A1881" s="33"/>
      <c r="B1881" s="27"/>
      <c r="C1881" s="27"/>
      <c r="D1881" s="27"/>
      <c r="E1881" s="27"/>
      <c r="F1881" s="34"/>
      <c r="G1881" s="27"/>
      <c r="H1881" s="27"/>
      <c r="I1881" s="28" t="str">
        <f aca="false">IF(C1881="","",IFERROR(INDEX(Settings!$C$8:$C$19,MATCH(C1881,Settings!$B$8:$B$19,0)),"?"))</f>
        <v/>
      </c>
      <c r="J1881" s="28" t="str">
        <f aca="false">IF(G1881="","",IFERROR(INDEX(Settings!$C$8:$C$19,MATCH(G1881,Settings!$B$8:$B$19,0)),"?"))</f>
        <v/>
      </c>
      <c r="K1881" s="35" t="str">
        <f aca="false">IF(A1881="","",DATE(YEAR(A1881),MONTH(A1881),1))</f>
        <v/>
      </c>
      <c r="L1881" s="28" t="str">
        <f aca="false">IF(E1881="","",IFERROR(INDEX(Settings!$K$8:$K$38,MATCH(E1881,Settings!$H$8:$H$38,0))&amp;"",""))</f>
        <v/>
      </c>
    </row>
    <row r="1882" customFormat="false" ht="15" hidden="false" customHeight="false" outlineLevel="0" collapsed="false">
      <c r="A1882" s="33"/>
      <c r="B1882" s="27"/>
      <c r="C1882" s="27"/>
      <c r="D1882" s="27"/>
      <c r="E1882" s="27"/>
      <c r="F1882" s="34"/>
      <c r="G1882" s="27"/>
      <c r="H1882" s="27"/>
      <c r="I1882" s="28" t="str">
        <f aca="false">IF(C1882="","",IFERROR(INDEX(Settings!$C$8:$C$19,MATCH(C1882,Settings!$B$8:$B$19,0)),"?"))</f>
        <v/>
      </c>
      <c r="J1882" s="28" t="str">
        <f aca="false">IF(G1882="","",IFERROR(INDEX(Settings!$C$8:$C$19,MATCH(G1882,Settings!$B$8:$B$19,0)),"?"))</f>
        <v/>
      </c>
      <c r="K1882" s="35" t="str">
        <f aca="false">IF(A1882="","",DATE(YEAR(A1882),MONTH(A1882),1))</f>
        <v/>
      </c>
      <c r="L1882" s="28" t="str">
        <f aca="false">IF(E1882="","",IFERROR(INDEX(Settings!$K$8:$K$38,MATCH(E1882,Settings!$H$8:$H$38,0))&amp;"",""))</f>
        <v/>
      </c>
    </row>
    <row r="1883" customFormat="false" ht="15" hidden="false" customHeight="false" outlineLevel="0" collapsed="false">
      <c r="A1883" s="33"/>
      <c r="B1883" s="27"/>
      <c r="C1883" s="27"/>
      <c r="D1883" s="27"/>
      <c r="E1883" s="27"/>
      <c r="F1883" s="34"/>
      <c r="G1883" s="27"/>
      <c r="H1883" s="27"/>
      <c r="I1883" s="28" t="str">
        <f aca="false">IF(C1883="","",IFERROR(INDEX(Settings!$C$8:$C$19,MATCH(C1883,Settings!$B$8:$B$19,0)),"?"))</f>
        <v/>
      </c>
      <c r="J1883" s="28" t="str">
        <f aca="false">IF(G1883="","",IFERROR(INDEX(Settings!$C$8:$C$19,MATCH(G1883,Settings!$B$8:$B$19,0)),"?"))</f>
        <v/>
      </c>
      <c r="K1883" s="35" t="str">
        <f aca="false">IF(A1883="","",DATE(YEAR(A1883),MONTH(A1883),1))</f>
        <v/>
      </c>
      <c r="L1883" s="28" t="str">
        <f aca="false">IF(E1883="","",IFERROR(INDEX(Settings!$K$8:$K$38,MATCH(E1883,Settings!$H$8:$H$38,0))&amp;"",""))</f>
        <v/>
      </c>
    </row>
    <row r="1884" customFormat="false" ht="15" hidden="false" customHeight="false" outlineLevel="0" collapsed="false">
      <c r="A1884" s="33"/>
      <c r="B1884" s="27"/>
      <c r="C1884" s="27"/>
      <c r="D1884" s="27"/>
      <c r="E1884" s="27"/>
      <c r="F1884" s="34"/>
      <c r="G1884" s="27"/>
      <c r="H1884" s="27"/>
      <c r="I1884" s="28" t="str">
        <f aca="false">IF(C1884="","",IFERROR(INDEX(Settings!$C$8:$C$19,MATCH(C1884,Settings!$B$8:$B$19,0)),"?"))</f>
        <v/>
      </c>
      <c r="J1884" s="28" t="str">
        <f aca="false">IF(G1884="","",IFERROR(INDEX(Settings!$C$8:$C$19,MATCH(G1884,Settings!$B$8:$B$19,0)),"?"))</f>
        <v/>
      </c>
      <c r="K1884" s="35" t="str">
        <f aca="false">IF(A1884="","",DATE(YEAR(A1884),MONTH(A1884),1))</f>
        <v/>
      </c>
      <c r="L1884" s="28" t="str">
        <f aca="false">IF(E1884="","",IFERROR(INDEX(Settings!$K$8:$K$38,MATCH(E1884,Settings!$H$8:$H$38,0))&amp;"",""))</f>
        <v/>
      </c>
    </row>
    <row r="1885" customFormat="false" ht="15" hidden="false" customHeight="false" outlineLevel="0" collapsed="false">
      <c r="A1885" s="33"/>
      <c r="B1885" s="27"/>
      <c r="C1885" s="27"/>
      <c r="D1885" s="27"/>
      <c r="E1885" s="27"/>
      <c r="F1885" s="34"/>
      <c r="G1885" s="27"/>
      <c r="H1885" s="27"/>
      <c r="I1885" s="28" t="str">
        <f aca="false">IF(C1885="","",IFERROR(INDEX(Settings!$C$8:$C$19,MATCH(C1885,Settings!$B$8:$B$19,0)),"?"))</f>
        <v/>
      </c>
      <c r="J1885" s="28" t="str">
        <f aca="false">IF(G1885="","",IFERROR(INDEX(Settings!$C$8:$C$19,MATCH(G1885,Settings!$B$8:$B$19,0)),"?"))</f>
        <v/>
      </c>
      <c r="K1885" s="35" t="str">
        <f aca="false">IF(A1885="","",DATE(YEAR(A1885),MONTH(A1885),1))</f>
        <v/>
      </c>
      <c r="L1885" s="28" t="str">
        <f aca="false">IF(E1885="","",IFERROR(INDEX(Settings!$K$8:$K$38,MATCH(E1885,Settings!$H$8:$H$38,0))&amp;"",""))</f>
        <v/>
      </c>
    </row>
    <row r="1886" customFormat="false" ht="15" hidden="false" customHeight="false" outlineLevel="0" collapsed="false">
      <c r="A1886" s="33"/>
      <c r="B1886" s="27"/>
      <c r="C1886" s="27"/>
      <c r="D1886" s="27"/>
      <c r="E1886" s="27"/>
      <c r="F1886" s="34"/>
      <c r="G1886" s="27"/>
      <c r="H1886" s="27"/>
      <c r="I1886" s="28" t="str">
        <f aca="false">IF(C1886="","",IFERROR(INDEX(Settings!$C$8:$C$19,MATCH(C1886,Settings!$B$8:$B$19,0)),"?"))</f>
        <v/>
      </c>
      <c r="J1886" s="28" t="str">
        <f aca="false">IF(G1886="","",IFERROR(INDEX(Settings!$C$8:$C$19,MATCH(G1886,Settings!$B$8:$B$19,0)),"?"))</f>
        <v/>
      </c>
      <c r="K1886" s="35" t="str">
        <f aca="false">IF(A1886="","",DATE(YEAR(A1886),MONTH(A1886),1))</f>
        <v/>
      </c>
      <c r="L1886" s="28" t="str">
        <f aca="false">IF(E1886="","",IFERROR(INDEX(Settings!$K$8:$K$38,MATCH(E1886,Settings!$H$8:$H$38,0))&amp;"",""))</f>
        <v/>
      </c>
    </row>
    <row r="1887" customFormat="false" ht="15" hidden="false" customHeight="false" outlineLevel="0" collapsed="false">
      <c r="A1887" s="33"/>
      <c r="B1887" s="27"/>
      <c r="C1887" s="27"/>
      <c r="D1887" s="27"/>
      <c r="E1887" s="27"/>
      <c r="F1887" s="34"/>
      <c r="G1887" s="27"/>
      <c r="H1887" s="27"/>
      <c r="I1887" s="28" t="str">
        <f aca="false">IF(C1887="","",IFERROR(INDEX(Settings!$C$8:$C$19,MATCH(C1887,Settings!$B$8:$B$19,0)),"?"))</f>
        <v/>
      </c>
      <c r="J1887" s="28" t="str">
        <f aca="false">IF(G1887="","",IFERROR(INDEX(Settings!$C$8:$C$19,MATCH(G1887,Settings!$B$8:$B$19,0)),"?"))</f>
        <v/>
      </c>
      <c r="K1887" s="35" t="str">
        <f aca="false">IF(A1887="","",DATE(YEAR(A1887),MONTH(A1887),1))</f>
        <v/>
      </c>
      <c r="L1887" s="28" t="str">
        <f aca="false">IF(E1887="","",IFERROR(INDEX(Settings!$K$8:$K$38,MATCH(E1887,Settings!$H$8:$H$38,0))&amp;"",""))</f>
        <v/>
      </c>
    </row>
    <row r="1888" customFormat="false" ht="15" hidden="false" customHeight="false" outlineLevel="0" collapsed="false">
      <c r="A1888" s="33"/>
      <c r="B1888" s="27"/>
      <c r="C1888" s="27"/>
      <c r="D1888" s="27"/>
      <c r="E1888" s="27"/>
      <c r="F1888" s="34"/>
      <c r="G1888" s="27"/>
      <c r="H1888" s="27"/>
      <c r="I1888" s="28" t="str">
        <f aca="false">IF(C1888="","",IFERROR(INDEX(Settings!$C$8:$C$19,MATCH(C1888,Settings!$B$8:$B$19,0)),"?"))</f>
        <v/>
      </c>
      <c r="J1888" s="28" t="str">
        <f aca="false">IF(G1888="","",IFERROR(INDEX(Settings!$C$8:$C$19,MATCH(G1888,Settings!$B$8:$B$19,0)),"?"))</f>
        <v/>
      </c>
      <c r="K1888" s="35" t="str">
        <f aca="false">IF(A1888="","",DATE(YEAR(A1888),MONTH(A1888),1))</f>
        <v/>
      </c>
      <c r="L1888" s="28" t="str">
        <f aca="false">IF(E1888="","",IFERROR(INDEX(Settings!$K$8:$K$38,MATCH(E1888,Settings!$H$8:$H$38,0))&amp;"",""))</f>
        <v/>
      </c>
    </row>
    <row r="1889" customFormat="false" ht="15" hidden="false" customHeight="false" outlineLevel="0" collapsed="false">
      <c r="A1889" s="33"/>
      <c r="B1889" s="27"/>
      <c r="C1889" s="27"/>
      <c r="D1889" s="27"/>
      <c r="E1889" s="27"/>
      <c r="F1889" s="34"/>
      <c r="G1889" s="27"/>
      <c r="H1889" s="27"/>
      <c r="I1889" s="28" t="str">
        <f aca="false">IF(C1889="","",IFERROR(INDEX(Settings!$C$8:$C$19,MATCH(C1889,Settings!$B$8:$B$19,0)),"?"))</f>
        <v/>
      </c>
      <c r="J1889" s="28" t="str">
        <f aca="false">IF(G1889="","",IFERROR(INDEX(Settings!$C$8:$C$19,MATCH(G1889,Settings!$B$8:$B$19,0)),"?"))</f>
        <v/>
      </c>
      <c r="K1889" s="35" t="str">
        <f aca="false">IF(A1889="","",DATE(YEAR(A1889),MONTH(A1889),1))</f>
        <v/>
      </c>
      <c r="L1889" s="28" t="str">
        <f aca="false">IF(E1889="","",IFERROR(INDEX(Settings!$K$8:$K$38,MATCH(E1889,Settings!$H$8:$H$38,0))&amp;"",""))</f>
        <v/>
      </c>
    </row>
    <row r="1890" customFormat="false" ht="15" hidden="false" customHeight="false" outlineLevel="0" collapsed="false">
      <c r="A1890" s="33"/>
      <c r="B1890" s="27"/>
      <c r="C1890" s="27"/>
      <c r="D1890" s="27"/>
      <c r="E1890" s="27"/>
      <c r="F1890" s="34"/>
      <c r="G1890" s="27"/>
      <c r="H1890" s="27"/>
      <c r="I1890" s="28" t="str">
        <f aca="false">IF(C1890="","",IFERROR(INDEX(Settings!$C$8:$C$19,MATCH(C1890,Settings!$B$8:$B$19,0)),"?"))</f>
        <v/>
      </c>
      <c r="J1890" s="28" t="str">
        <f aca="false">IF(G1890="","",IFERROR(INDEX(Settings!$C$8:$C$19,MATCH(G1890,Settings!$B$8:$B$19,0)),"?"))</f>
        <v/>
      </c>
      <c r="K1890" s="35" t="str">
        <f aca="false">IF(A1890="","",DATE(YEAR(A1890),MONTH(A1890),1))</f>
        <v/>
      </c>
      <c r="L1890" s="28" t="str">
        <f aca="false">IF(E1890="","",IFERROR(INDEX(Settings!$K$8:$K$38,MATCH(E1890,Settings!$H$8:$H$38,0))&amp;"",""))</f>
        <v/>
      </c>
    </row>
    <row r="1891" customFormat="false" ht="15" hidden="false" customHeight="false" outlineLevel="0" collapsed="false">
      <c r="A1891" s="33"/>
      <c r="B1891" s="27"/>
      <c r="C1891" s="27"/>
      <c r="D1891" s="27"/>
      <c r="E1891" s="27"/>
      <c r="F1891" s="34"/>
      <c r="G1891" s="27"/>
      <c r="H1891" s="27"/>
      <c r="I1891" s="28" t="str">
        <f aca="false">IF(C1891="","",IFERROR(INDEX(Settings!$C$8:$C$19,MATCH(C1891,Settings!$B$8:$B$19,0)),"?"))</f>
        <v/>
      </c>
      <c r="J1891" s="28" t="str">
        <f aca="false">IF(G1891="","",IFERROR(INDEX(Settings!$C$8:$C$19,MATCH(G1891,Settings!$B$8:$B$19,0)),"?"))</f>
        <v/>
      </c>
      <c r="K1891" s="35" t="str">
        <f aca="false">IF(A1891="","",DATE(YEAR(A1891),MONTH(A1891),1))</f>
        <v/>
      </c>
      <c r="L1891" s="28" t="str">
        <f aca="false">IF(E1891="","",IFERROR(INDEX(Settings!$K$8:$K$38,MATCH(E1891,Settings!$H$8:$H$38,0))&amp;"",""))</f>
        <v/>
      </c>
    </row>
    <row r="1892" customFormat="false" ht="15" hidden="false" customHeight="false" outlineLevel="0" collapsed="false">
      <c r="A1892" s="33"/>
      <c r="B1892" s="27"/>
      <c r="C1892" s="27"/>
      <c r="D1892" s="27"/>
      <c r="E1892" s="27"/>
      <c r="F1892" s="34"/>
      <c r="G1892" s="27"/>
      <c r="H1892" s="27"/>
      <c r="I1892" s="28" t="str">
        <f aca="false">IF(C1892="","",IFERROR(INDEX(Settings!$C$8:$C$19,MATCH(C1892,Settings!$B$8:$B$19,0)),"?"))</f>
        <v/>
      </c>
      <c r="J1892" s="28" t="str">
        <f aca="false">IF(G1892="","",IFERROR(INDEX(Settings!$C$8:$C$19,MATCH(G1892,Settings!$B$8:$B$19,0)),"?"))</f>
        <v/>
      </c>
      <c r="K1892" s="35" t="str">
        <f aca="false">IF(A1892="","",DATE(YEAR(A1892),MONTH(A1892),1))</f>
        <v/>
      </c>
      <c r="L1892" s="28" t="str">
        <f aca="false">IF(E1892="","",IFERROR(INDEX(Settings!$K$8:$K$38,MATCH(E1892,Settings!$H$8:$H$38,0))&amp;"",""))</f>
        <v/>
      </c>
    </row>
    <row r="1893" customFormat="false" ht="15" hidden="false" customHeight="false" outlineLevel="0" collapsed="false">
      <c r="A1893" s="33"/>
      <c r="B1893" s="27"/>
      <c r="C1893" s="27"/>
      <c r="D1893" s="27"/>
      <c r="E1893" s="27"/>
      <c r="F1893" s="34"/>
      <c r="G1893" s="27"/>
      <c r="H1893" s="27"/>
      <c r="I1893" s="28" t="str">
        <f aca="false">IF(C1893="","",IFERROR(INDEX(Settings!$C$8:$C$19,MATCH(C1893,Settings!$B$8:$B$19,0)),"?"))</f>
        <v/>
      </c>
      <c r="J1893" s="28" t="str">
        <f aca="false">IF(G1893="","",IFERROR(INDEX(Settings!$C$8:$C$19,MATCH(G1893,Settings!$B$8:$B$19,0)),"?"))</f>
        <v/>
      </c>
      <c r="K1893" s="35" t="str">
        <f aca="false">IF(A1893="","",DATE(YEAR(A1893),MONTH(A1893),1))</f>
        <v/>
      </c>
      <c r="L1893" s="28" t="str">
        <f aca="false">IF(E1893="","",IFERROR(INDEX(Settings!$K$8:$K$38,MATCH(E1893,Settings!$H$8:$H$38,0))&amp;"",""))</f>
        <v/>
      </c>
    </row>
    <row r="1894" customFormat="false" ht="15" hidden="false" customHeight="false" outlineLevel="0" collapsed="false">
      <c r="A1894" s="33"/>
      <c r="B1894" s="27"/>
      <c r="C1894" s="27"/>
      <c r="D1894" s="27"/>
      <c r="E1894" s="27"/>
      <c r="F1894" s="34"/>
      <c r="G1894" s="27"/>
      <c r="H1894" s="27"/>
      <c r="I1894" s="28" t="str">
        <f aca="false">IF(C1894="","",IFERROR(INDEX(Settings!$C$8:$C$19,MATCH(C1894,Settings!$B$8:$B$19,0)),"?"))</f>
        <v/>
      </c>
      <c r="J1894" s="28" t="str">
        <f aca="false">IF(G1894="","",IFERROR(INDEX(Settings!$C$8:$C$19,MATCH(G1894,Settings!$B$8:$B$19,0)),"?"))</f>
        <v/>
      </c>
      <c r="K1894" s="35" t="str">
        <f aca="false">IF(A1894="","",DATE(YEAR(A1894),MONTH(A1894),1))</f>
        <v/>
      </c>
      <c r="L1894" s="28" t="str">
        <f aca="false">IF(E1894="","",IFERROR(INDEX(Settings!$K$8:$K$38,MATCH(E1894,Settings!$H$8:$H$38,0))&amp;"",""))</f>
        <v/>
      </c>
    </row>
    <row r="1895" customFormat="false" ht="15" hidden="false" customHeight="false" outlineLevel="0" collapsed="false">
      <c r="A1895" s="33"/>
      <c r="B1895" s="27"/>
      <c r="C1895" s="27"/>
      <c r="D1895" s="27"/>
      <c r="E1895" s="27"/>
      <c r="F1895" s="34"/>
      <c r="G1895" s="27"/>
      <c r="H1895" s="27"/>
      <c r="I1895" s="28" t="str">
        <f aca="false">IF(C1895="","",IFERROR(INDEX(Settings!$C$8:$C$19,MATCH(C1895,Settings!$B$8:$B$19,0)),"?"))</f>
        <v/>
      </c>
      <c r="J1895" s="28" t="str">
        <f aca="false">IF(G1895="","",IFERROR(INDEX(Settings!$C$8:$C$19,MATCH(G1895,Settings!$B$8:$B$19,0)),"?"))</f>
        <v/>
      </c>
      <c r="K1895" s="35" t="str">
        <f aca="false">IF(A1895="","",DATE(YEAR(A1895),MONTH(A1895),1))</f>
        <v/>
      </c>
      <c r="L1895" s="28" t="str">
        <f aca="false">IF(E1895="","",IFERROR(INDEX(Settings!$K$8:$K$38,MATCH(E1895,Settings!$H$8:$H$38,0))&amp;"",""))</f>
        <v/>
      </c>
    </row>
    <row r="1896" customFormat="false" ht="15" hidden="false" customHeight="false" outlineLevel="0" collapsed="false">
      <c r="A1896" s="33"/>
      <c r="B1896" s="27"/>
      <c r="C1896" s="27"/>
      <c r="D1896" s="27"/>
      <c r="E1896" s="27"/>
      <c r="F1896" s="34"/>
      <c r="G1896" s="27"/>
      <c r="H1896" s="27"/>
      <c r="I1896" s="28" t="str">
        <f aca="false">IF(C1896="","",IFERROR(INDEX(Settings!$C$8:$C$19,MATCH(C1896,Settings!$B$8:$B$19,0)),"?"))</f>
        <v/>
      </c>
      <c r="J1896" s="28" t="str">
        <f aca="false">IF(G1896="","",IFERROR(INDEX(Settings!$C$8:$C$19,MATCH(G1896,Settings!$B$8:$B$19,0)),"?"))</f>
        <v/>
      </c>
      <c r="K1896" s="35" t="str">
        <f aca="false">IF(A1896="","",DATE(YEAR(A1896),MONTH(A1896),1))</f>
        <v/>
      </c>
      <c r="L1896" s="28" t="str">
        <f aca="false">IF(E1896="","",IFERROR(INDEX(Settings!$K$8:$K$38,MATCH(E1896,Settings!$H$8:$H$38,0))&amp;"",""))</f>
        <v/>
      </c>
    </row>
    <row r="1897" customFormat="false" ht="15" hidden="false" customHeight="false" outlineLevel="0" collapsed="false">
      <c r="A1897" s="33"/>
      <c r="B1897" s="27"/>
      <c r="C1897" s="27"/>
      <c r="D1897" s="27"/>
      <c r="E1897" s="27"/>
      <c r="F1897" s="34"/>
      <c r="G1897" s="27"/>
      <c r="H1897" s="27"/>
      <c r="I1897" s="28" t="str">
        <f aca="false">IF(C1897="","",IFERROR(INDEX(Settings!$C$8:$C$19,MATCH(C1897,Settings!$B$8:$B$19,0)),"?"))</f>
        <v/>
      </c>
      <c r="J1897" s="28" t="str">
        <f aca="false">IF(G1897="","",IFERROR(INDEX(Settings!$C$8:$C$19,MATCH(G1897,Settings!$B$8:$B$19,0)),"?"))</f>
        <v/>
      </c>
      <c r="K1897" s="35" t="str">
        <f aca="false">IF(A1897="","",DATE(YEAR(A1897),MONTH(A1897),1))</f>
        <v/>
      </c>
      <c r="L1897" s="28" t="str">
        <f aca="false">IF(E1897="","",IFERROR(INDEX(Settings!$K$8:$K$38,MATCH(E1897,Settings!$H$8:$H$38,0))&amp;"",""))</f>
        <v/>
      </c>
    </row>
    <row r="1898" customFormat="false" ht="15" hidden="false" customHeight="false" outlineLevel="0" collapsed="false">
      <c r="A1898" s="33"/>
      <c r="B1898" s="27"/>
      <c r="C1898" s="27"/>
      <c r="D1898" s="27"/>
      <c r="E1898" s="27"/>
      <c r="F1898" s="34"/>
      <c r="G1898" s="27"/>
      <c r="H1898" s="27"/>
      <c r="I1898" s="28" t="str">
        <f aca="false">IF(C1898="","",IFERROR(INDEX(Settings!$C$8:$C$19,MATCH(C1898,Settings!$B$8:$B$19,0)),"?"))</f>
        <v/>
      </c>
      <c r="J1898" s="28" t="str">
        <f aca="false">IF(G1898="","",IFERROR(INDEX(Settings!$C$8:$C$19,MATCH(G1898,Settings!$B$8:$B$19,0)),"?"))</f>
        <v/>
      </c>
      <c r="K1898" s="35" t="str">
        <f aca="false">IF(A1898="","",DATE(YEAR(A1898),MONTH(A1898),1))</f>
        <v/>
      </c>
      <c r="L1898" s="28" t="str">
        <f aca="false">IF(E1898="","",IFERROR(INDEX(Settings!$K$8:$K$38,MATCH(E1898,Settings!$H$8:$H$38,0))&amp;"",""))</f>
        <v/>
      </c>
    </row>
    <row r="1899" customFormat="false" ht="15" hidden="false" customHeight="false" outlineLevel="0" collapsed="false">
      <c r="A1899" s="33"/>
      <c r="B1899" s="27"/>
      <c r="C1899" s="27"/>
      <c r="D1899" s="27"/>
      <c r="E1899" s="27"/>
      <c r="F1899" s="34"/>
      <c r="G1899" s="27"/>
      <c r="H1899" s="27"/>
      <c r="I1899" s="28" t="str">
        <f aca="false">IF(C1899="","",IFERROR(INDEX(Settings!$C$8:$C$19,MATCH(C1899,Settings!$B$8:$B$19,0)),"?"))</f>
        <v/>
      </c>
      <c r="J1899" s="28" t="str">
        <f aca="false">IF(G1899="","",IFERROR(INDEX(Settings!$C$8:$C$19,MATCH(G1899,Settings!$B$8:$B$19,0)),"?"))</f>
        <v/>
      </c>
      <c r="K1899" s="35" t="str">
        <f aca="false">IF(A1899="","",DATE(YEAR(A1899),MONTH(A1899),1))</f>
        <v/>
      </c>
      <c r="L1899" s="28" t="str">
        <f aca="false">IF(E1899="","",IFERROR(INDEX(Settings!$K$8:$K$38,MATCH(E1899,Settings!$H$8:$H$38,0))&amp;"",""))</f>
        <v/>
      </c>
    </row>
    <row r="1900" customFormat="false" ht="15" hidden="false" customHeight="false" outlineLevel="0" collapsed="false">
      <c r="A1900" s="33"/>
      <c r="B1900" s="27"/>
      <c r="C1900" s="27"/>
      <c r="D1900" s="27"/>
      <c r="E1900" s="27"/>
      <c r="F1900" s="34"/>
      <c r="G1900" s="27"/>
      <c r="H1900" s="27"/>
      <c r="I1900" s="28" t="str">
        <f aca="false">IF(C1900="","",IFERROR(INDEX(Settings!$C$8:$C$19,MATCH(C1900,Settings!$B$8:$B$19,0)),"?"))</f>
        <v/>
      </c>
      <c r="J1900" s="28" t="str">
        <f aca="false">IF(G1900="","",IFERROR(INDEX(Settings!$C$8:$C$19,MATCH(G1900,Settings!$B$8:$B$19,0)),"?"))</f>
        <v/>
      </c>
      <c r="K1900" s="35" t="str">
        <f aca="false">IF(A1900="","",DATE(YEAR(A1900),MONTH(A1900),1))</f>
        <v/>
      </c>
      <c r="L1900" s="28" t="str">
        <f aca="false">IF(E1900="","",IFERROR(INDEX(Settings!$K$8:$K$38,MATCH(E1900,Settings!$H$8:$H$38,0))&amp;"",""))</f>
        <v/>
      </c>
    </row>
    <row r="1901" customFormat="false" ht="15" hidden="false" customHeight="false" outlineLevel="0" collapsed="false">
      <c r="A1901" s="33"/>
      <c r="B1901" s="27"/>
      <c r="C1901" s="27"/>
      <c r="D1901" s="27"/>
      <c r="E1901" s="27"/>
      <c r="F1901" s="34"/>
      <c r="G1901" s="27"/>
      <c r="H1901" s="27"/>
      <c r="I1901" s="28" t="str">
        <f aca="false">IF(C1901="","",IFERROR(INDEX(Settings!$C$8:$C$19,MATCH(C1901,Settings!$B$8:$B$19,0)),"?"))</f>
        <v/>
      </c>
      <c r="J1901" s="28" t="str">
        <f aca="false">IF(G1901="","",IFERROR(INDEX(Settings!$C$8:$C$19,MATCH(G1901,Settings!$B$8:$B$19,0)),"?"))</f>
        <v/>
      </c>
      <c r="K1901" s="35" t="str">
        <f aca="false">IF(A1901="","",DATE(YEAR(A1901),MONTH(A1901),1))</f>
        <v/>
      </c>
      <c r="L1901" s="28" t="str">
        <f aca="false">IF(E1901="","",IFERROR(INDEX(Settings!$K$8:$K$38,MATCH(E1901,Settings!$H$8:$H$38,0))&amp;"",""))</f>
        <v/>
      </c>
    </row>
    <row r="1902" customFormat="false" ht="15" hidden="false" customHeight="false" outlineLevel="0" collapsed="false">
      <c r="A1902" s="33"/>
      <c r="B1902" s="27"/>
      <c r="C1902" s="27"/>
      <c r="D1902" s="27"/>
      <c r="E1902" s="27"/>
      <c r="F1902" s="34"/>
      <c r="G1902" s="27"/>
      <c r="H1902" s="27"/>
      <c r="I1902" s="28" t="str">
        <f aca="false">IF(C1902="","",IFERROR(INDEX(Settings!$C$8:$C$19,MATCH(C1902,Settings!$B$8:$B$19,0)),"?"))</f>
        <v/>
      </c>
      <c r="J1902" s="28" t="str">
        <f aca="false">IF(G1902="","",IFERROR(INDEX(Settings!$C$8:$C$19,MATCH(G1902,Settings!$B$8:$B$19,0)),"?"))</f>
        <v/>
      </c>
      <c r="K1902" s="35" t="str">
        <f aca="false">IF(A1902="","",DATE(YEAR(A1902),MONTH(A1902),1))</f>
        <v/>
      </c>
      <c r="L1902" s="28" t="str">
        <f aca="false">IF(E1902="","",IFERROR(INDEX(Settings!$K$8:$K$38,MATCH(E1902,Settings!$H$8:$H$38,0))&amp;"",""))</f>
        <v/>
      </c>
    </row>
    <row r="1903" customFormat="false" ht="15" hidden="false" customHeight="false" outlineLevel="0" collapsed="false">
      <c r="A1903" s="33"/>
      <c r="B1903" s="27"/>
      <c r="C1903" s="27"/>
      <c r="D1903" s="27"/>
      <c r="E1903" s="27"/>
      <c r="F1903" s="34"/>
      <c r="G1903" s="27"/>
      <c r="H1903" s="27"/>
      <c r="I1903" s="28" t="str">
        <f aca="false">IF(C1903="","",IFERROR(INDEX(Settings!$C$8:$C$19,MATCH(C1903,Settings!$B$8:$B$19,0)),"?"))</f>
        <v/>
      </c>
      <c r="J1903" s="28" t="str">
        <f aca="false">IF(G1903="","",IFERROR(INDEX(Settings!$C$8:$C$19,MATCH(G1903,Settings!$B$8:$B$19,0)),"?"))</f>
        <v/>
      </c>
      <c r="K1903" s="35" t="str">
        <f aca="false">IF(A1903="","",DATE(YEAR(A1903),MONTH(A1903),1))</f>
        <v/>
      </c>
      <c r="L1903" s="28" t="str">
        <f aca="false">IF(E1903="","",IFERROR(INDEX(Settings!$K$8:$K$38,MATCH(E1903,Settings!$H$8:$H$38,0))&amp;"",""))</f>
        <v/>
      </c>
    </row>
    <row r="1904" customFormat="false" ht="15" hidden="false" customHeight="false" outlineLevel="0" collapsed="false">
      <c r="A1904" s="33"/>
      <c r="B1904" s="27"/>
      <c r="C1904" s="27"/>
      <c r="D1904" s="27"/>
      <c r="E1904" s="27"/>
      <c r="F1904" s="34"/>
      <c r="G1904" s="27"/>
      <c r="H1904" s="27"/>
      <c r="I1904" s="28" t="str">
        <f aca="false">IF(C1904="","",IFERROR(INDEX(Settings!$C$8:$C$19,MATCH(C1904,Settings!$B$8:$B$19,0)),"?"))</f>
        <v/>
      </c>
      <c r="J1904" s="28" t="str">
        <f aca="false">IF(G1904="","",IFERROR(INDEX(Settings!$C$8:$C$19,MATCH(G1904,Settings!$B$8:$B$19,0)),"?"))</f>
        <v/>
      </c>
      <c r="K1904" s="35" t="str">
        <f aca="false">IF(A1904="","",DATE(YEAR(A1904),MONTH(A1904),1))</f>
        <v/>
      </c>
      <c r="L1904" s="28" t="str">
        <f aca="false">IF(E1904="","",IFERROR(INDEX(Settings!$K$8:$K$38,MATCH(E1904,Settings!$H$8:$H$38,0))&amp;"",""))</f>
        <v/>
      </c>
    </row>
    <row r="1905" customFormat="false" ht="15" hidden="false" customHeight="false" outlineLevel="0" collapsed="false">
      <c r="A1905" s="33"/>
      <c r="B1905" s="27"/>
      <c r="C1905" s="27"/>
      <c r="D1905" s="27"/>
      <c r="E1905" s="27"/>
      <c r="F1905" s="34"/>
      <c r="G1905" s="27"/>
      <c r="H1905" s="27"/>
      <c r="I1905" s="28" t="str">
        <f aca="false">IF(C1905="","",IFERROR(INDEX(Settings!$C$8:$C$19,MATCH(C1905,Settings!$B$8:$B$19,0)),"?"))</f>
        <v/>
      </c>
      <c r="J1905" s="28" t="str">
        <f aca="false">IF(G1905="","",IFERROR(INDEX(Settings!$C$8:$C$19,MATCH(G1905,Settings!$B$8:$B$19,0)),"?"))</f>
        <v/>
      </c>
      <c r="K1905" s="35" t="str">
        <f aca="false">IF(A1905="","",DATE(YEAR(A1905),MONTH(A1905),1))</f>
        <v/>
      </c>
      <c r="L1905" s="28" t="str">
        <f aca="false">IF(E1905="","",IFERROR(INDEX(Settings!$K$8:$K$38,MATCH(E1905,Settings!$H$8:$H$38,0))&amp;"",""))</f>
        <v/>
      </c>
    </row>
    <row r="1906" customFormat="false" ht="15" hidden="false" customHeight="false" outlineLevel="0" collapsed="false">
      <c r="A1906" s="33"/>
      <c r="B1906" s="27"/>
      <c r="C1906" s="27"/>
      <c r="D1906" s="27"/>
      <c r="E1906" s="27"/>
      <c r="F1906" s="34"/>
      <c r="G1906" s="27"/>
      <c r="H1906" s="27"/>
      <c r="I1906" s="28" t="str">
        <f aca="false">IF(C1906="","",IFERROR(INDEX(Settings!$C$8:$C$19,MATCH(C1906,Settings!$B$8:$B$19,0)),"?"))</f>
        <v/>
      </c>
      <c r="J1906" s="28" t="str">
        <f aca="false">IF(G1906="","",IFERROR(INDEX(Settings!$C$8:$C$19,MATCH(G1906,Settings!$B$8:$B$19,0)),"?"))</f>
        <v/>
      </c>
      <c r="K1906" s="35" t="str">
        <f aca="false">IF(A1906="","",DATE(YEAR(A1906),MONTH(A1906),1))</f>
        <v/>
      </c>
      <c r="L1906" s="28" t="str">
        <f aca="false">IF(E1906="","",IFERROR(INDEX(Settings!$K$8:$K$38,MATCH(E1906,Settings!$H$8:$H$38,0))&amp;"",""))</f>
        <v/>
      </c>
    </row>
    <row r="1907" customFormat="false" ht="15" hidden="false" customHeight="false" outlineLevel="0" collapsed="false">
      <c r="A1907" s="33"/>
      <c r="B1907" s="27"/>
      <c r="C1907" s="27"/>
      <c r="D1907" s="27"/>
      <c r="E1907" s="27"/>
      <c r="F1907" s="34"/>
      <c r="G1907" s="27"/>
      <c r="H1907" s="27"/>
      <c r="I1907" s="28" t="str">
        <f aca="false">IF(C1907="","",IFERROR(INDEX(Settings!$C$8:$C$19,MATCH(C1907,Settings!$B$8:$B$19,0)),"?"))</f>
        <v/>
      </c>
      <c r="J1907" s="28" t="str">
        <f aca="false">IF(G1907="","",IFERROR(INDEX(Settings!$C$8:$C$19,MATCH(G1907,Settings!$B$8:$B$19,0)),"?"))</f>
        <v/>
      </c>
      <c r="K1907" s="35" t="str">
        <f aca="false">IF(A1907="","",DATE(YEAR(A1907),MONTH(A1907),1))</f>
        <v/>
      </c>
      <c r="L1907" s="28" t="str">
        <f aca="false">IF(E1907="","",IFERROR(INDEX(Settings!$K$8:$K$38,MATCH(E1907,Settings!$H$8:$H$38,0))&amp;"",""))</f>
        <v/>
      </c>
    </row>
    <row r="1908" customFormat="false" ht="15" hidden="false" customHeight="false" outlineLevel="0" collapsed="false">
      <c r="A1908" s="33"/>
      <c r="B1908" s="27"/>
      <c r="C1908" s="27"/>
      <c r="D1908" s="27"/>
      <c r="E1908" s="27"/>
      <c r="F1908" s="34"/>
      <c r="G1908" s="27"/>
      <c r="H1908" s="27"/>
      <c r="I1908" s="28" t="str">
        <f aca="false">IF(C1908="","",IFERROR(INDEX(Settings!$C$8:$C$19,MATCH(C1908,Settings!$B$8:$B$19,0)),"?"))</f>
        <v/>
      </c>
      <c r="J1908" s="28" t="str">
        <f aca="false">IF(G1908="","",IFERROR(INDEX(Settings!$C$8:$C$19,MATCH(G1908,Settings!$B$8:$B$19,0)),"?"))</f>
        <v/>
      </c>
      <c r="K1908" s="35" t="str">
        <f aca="false">IF(A1908="","",DATE(YEAR(A1908),MONTH(A1908),1))</f>
        <v/>
      </c>
      <c r="L1908" s="28" t="str">
        <f aca="false">IF(E1908="","",IFERROR(INDEX(Settings!$K$8:$K$38,MATCH(E1908,Settings!$H$8:$H$38,0))&amp;"",""))</f>
        <v/>
      </c>
    </row>
    <row r="1909" customFormat="false" ht="15" hidden="false" customHeight="false" outlineLevel="0" collapsed="false">
      <c r="A1909" s="33"/>
      <c r="B1909" s="27"/>
      <c r="C1909" s="27"/>
      <c r="D1909" s="27"/>
      <c r="E1909" s="27"/>
      <c r="F1909" s="34"/>
      <c r="G1909" s="27"/>
      <c r="H1909" s="27"/>
      <c r="I1909" s="28" t="str">
        <f aca="false">IF(C1909="","",IFERROR(INDEX(Settings!$C$8:$C$19,MATCH(C1909,Settings!$B$8:$B$19,0)),"?"))</f>
        <v/>
      </c>
      <c r="J1909" s="28" t="str">
        <f aca="false">IF(G1909="","",IFERROR(INDEX(Settings!$C$8:$C$19,MATCH(G1909,Settings!$B$8:$B$19,0)),"?"))</f>
        <v/>
      </c>
      <c r="K1909" s="35" t="str">
        <f aca="false">IF(A1909="","",DATE(YEAR(A1909),MONTH(A1909),1))</f>
        <v/>
      </c>
      <c r="L1909" s="28" t="str">
        <f aca="false">IF(E1909="","",IFERROR(INDEX(Settings!$K$8:$K$38,MATCH(E1909,Settings!$H$8:$H$38,0))&amp;"",""))</f>
        <v/>
      </c>
    </row>
    <row r="1910" customFormat="false" ht="15" hidden="false" customHeight="false" outlineLevel="0" collapsed="false">
      <c r="A1910" s="33"/>
      <c r="B1910" s="27"/>
      <c r="C1910" s="27"/>
      <c r="D1910" s="27"/>
      <c r="E1910" s="27"/>
      <c r="F1910" s="34"/>
      <c r="G1910" s="27"/>
      <c r="H1910" s="27"/>
      <c r="I1910" s="28" t="str">
        <f aca="false">IF(C1910="","",IFERROR(INDEX(Settings!$C$8:$C$19,MATCH(C1910,Settings!$B$8:$B$19,0)),"?"))</f>
        <v/>
      </c>
      <c r="J1910" s="28" t="str">
        <f aca="false">IF(G1910="","",IFERROR(INDEX(Settings!$C$8:$C$19,MATCH(G1910,Settings!$B$8:$B$19,0)),"?"))</f>
        <v/>
      </c>
      <c r="K1910" s="35" t="str">
        <f aca="false">IF(A1910="","",DATE(YEAR(A1910),MONTH(A1910),1))</f>
        <v/>
      </c>
      <c r="L1910" s="28" t="str">
        <f aca="false">IF(E1910="","",IFERROR(INDEX(Settings!$K$8:$K$38,MATCH(E1910,Settings!$H$8:$H$38,0))&amp;"",""))</f>
        <v/>
      </c>
    </row>
    <row r="1911" customFormat="false" ht="15" hidden="false" customHeight="false" outlineLevel="0" collapsed="false">
      <c r="A1911" s="33"/>
      <c r="B1911" s="27"/>
      <c r="C1911" s="27"/>
      <c r="D1911" s="27"/>
      <c r="E1911" s="27"/>
      <c r="F1911" s="34"/>
      <c r="G1911" s="27"/>
      <c r="H1911" s="27"/>
      <c r="I1911" s="28" t="str">
        <f aca="false">IF(C1911="","",IFERROR(INDEX(Settings!$C$8:$C$19,MATCH(C1911,Settings!$B$8:$B$19,0)),"?"))</f>
        <v/>
      </c>
      <c r="J1911" s="28" t="str">
        <f aca="false">IF(G1911="","",IFERROR(INDEX(Settings!$C$8:$C$19,MATCH(G1911,Settings!$B$8:$B$19,0)),"?"))</f>
        <v/>
      </c>
      <c r="K1911" s="35" t="str">
        <f aca="false">IF(A1911="","",DATE(YEAR(A1911),MONTH(A1911),1))</f>
        <v/>
      </c>
      <c r="L1911" s="28" t="str">
        <f aca="false">IF(E1911="","",IFERROR(INDEX(Settings!$K$8:$K$38,MATCH(E1911,Settings!$H$8:$H$38,0))&amp;"",""))</f>
        <v/>
      </c>
    </row>
    <row r="1912" customFormat="false" ht="15" hidden="false" customHeight="false" outlineLevel="0" collapsed="false">
      <c r="A1912" s="33"/>
      <c r="B1912" s="27"/>
      <c r="C1912" s="27"/>
      <c r="D1912" s="27"/>
      <c r="E1912" s="27"/>
      <c r="F1912" s="34"/>
      <c r="G1912" s="27"/>
      <c r="H1912" s="27"/>
      <c r="I1912" s="28" t="str">
        <f aca="false">IF(C1912="","",IFERROR(INDEX(Settings!$C$8:$C$19,MATCH(C1912,Settings!$B$8:$B$19,0)),"?"))</f>
        <v/>
      </c>
      <c r="J1912" s="28" t="str">
        <f aca="false">IF(G1912="","",IFERROR(INDEX(Settings!$C$8:$C$19,MATCH(G1912,Settings!$B$8:$B$19,0)),"?"))</f>
        <v/>
      </c>
      <c r="K1912" s="35" t="str">
        <f aca="false">IF(A1912="","",DATE(YEAR(A1912),MONTH(A1912),1))</f>
        <v/>
      </c>
      <c r="L1912" s="28" t="str">
        <f aca="false">IF(E1912="","",IFERROR(INDEX(Settings!$K$8:$K$38,MATCH(E1912,Settings!$H$8:$H$38,0))&amp;"",""))</f>
        <v/>
      </c>
    </row>
    <row r="1913" customFormat="false" ht="15" hidden="false" customHeight="false" outlineLevel="0" collapsed="false">
      <c r="A1913" s="33"/>
      <c r="B1913" s="27"/>
      <c r="C1913" s="27"/>
      <c r="D1913" s="27"/>
      <c r="E1913" s="27"/>
      <c r="F1913" s="34"/>
      <c r="G1913" s="27"/>
      <c r="H1913" s="27"/>
      <c r="I1913" s="28" t="str">
        <f aca="false">IF(C1913="","",IFERROR(INDEX(Settings!$C$8:$C$19,MATCH(C1913,Settings!$B$8:$B$19,0)),"?"))</f>
        <v/>
      </c>
      <c r="J1913" s="28" t="str">
        <f aca="false">IF(G1913="","",IFERROR(INDEX(Settings!$C$8:$C$19,MATCH(G1913,Settings!$B$8:$B$19,0)),"?"))</f>
        <v/>
      </c>
      <c r="K1913" s="35" t="str">
        <f aca="false">IF(A1913="","",DATE(YEAR(A1913),MONTH(A1913),1))</f>
        <v/>
      </c>
      <c r="L1913" s="28" t="str">
        <f aca="false">IF(E1913="","",IFERROR(INDEX(Settings!$K$8:$K$38,MATCH(E1913,Settings!$H$8:$H$38,0))&amp;"",""))</f>
        <v/>
      </c>
    </row>
    <row r="1914" customFormat="false" ht="15" hidden="false" customHeight="false" outlineLevel="0" collapsed="false">
      <c r="A1914" s="33"/>
      <c r="B1914" s="27"/>
      <c r="C1914" s="27"/>
      <c r="D1914" s="27"/>
      <c r="E1914" s="27"/>
      <c r="F1914" s="34"/>
      <c r="G1914" s="27"/>
      <c r="H1914" s="27"/>
      <c r="I1914" s="28" t="str">
        <f aca="false">IF(C1914="","",IFERROR(INDEX(Settings!$C$8:$C$19,MATCH(C1914,Settings!$B$8:$B$19,0)),"?"))</f>
        <v/>
      </c>
      <c r="J1914" s="28" t="str">
        <f aca="false">IF(G1914="","",IFERROR(INDEX(Settings!$C$8:$C$19,MATCH(G1914,Settings!$B$8:$B$19,0)),"?"))</f>
        <v/>
      </c>
      <c r="K1914" s="35" t="str">
        <f aca="false">IF(A1914="","",DATE(YEAR(A1914),MONTH(A1914),1))</f>
        <v/>
      </c>
      <c r="L1914" s="28" t="str">
        <f aca="false">IF(E1914="","",IFERROR(INDEX(Settings!$K$8:$K$38,MATCH(E1914,Settings!$H$8:$H$38,0))&amp;"",""))</f>
        <v/>
      </c>
    </row>
    <row r="1915" customFormat="false" ht="15" hidden="false" customHeight="false" outlineLevel="0" collapsed="false">
      <c r="A1915" s="33"/>
      <c r="B1915" s="27"/>
      <c r="C1915" s="27"/>
      <c r="D1915" s="27"/>
      <c r="E1915" s="27"/>
      <c r="F1915" s="34"/>
      <c r="G1915" s="27"/>
      <c r="H1915" s="27"/>
      <c r="I1915" s="28" t="str">
        <f aca="false">IF(C1915="","",IFERROR(INDEX(Settings!$C$8:$C$19,MATCH(C1915,Settings!$B$8:$B$19,0)),"?"))</f>
        <v/>
      </c>
      <c r="J1915" s="28" t="str">
        <f aca="false">IF(G1915="","",IFERROR(INDEX(Settings!$C$8:$C$19,MATCH(G1915,Settings!$B$8:$B$19,0)),"?"))</f>
        <v/>
      </c>
      <c r="K1915" s="35" t="str">
        <f aca="false">IF(A1915="","",DATE(YEAR(A1915),MONTH(A1915),1))</f>
        <v/>
      </c>
      <c r="L1915" s="28" t="str">
        <f aca="false">IF(E1915="","",IFERROR(INDEX(Settings!$K$8:$K$38,MATCH(E1915,Settings!$H$8:$H$38,0))&amp;"",""))</f>
        <v/>
      </c>
    </row>
    <row r="1916" customFormat="false" ht="15" hidden="false" customHeight="false" outlineLevel="0" collapsed="false">
      <c r="A1916" s="33"/>
      <c r="B1916" s="27"/>
      <c r="C1916" s="27"/>
      <c r="D1916" s="27"/>
      <c r="E1916" s="27"/>
      <c r="F1916" s="34"/>
      <c r="G1916" s="27"/>
      <c r="H1916" s="27"/>
      <c r="I1916" s="28" t="str">
        <f aca="false">IF(C1916="","",IFERROR(INDEX(Settings!$C$8:$C$19,MATCH(C1916,Settings!$B$8:$B$19,0)),"?"))</f>
        <v/>
      </c>
      <c r="J1916" s="28" t="str">
        <f aca="false">IF(G1916="","",IFERROR(INDEX(Settings!$C$8:$C$19,MATCH(G1916,Settings!$B$8:$B$19,0)),"?"))</f>
        <v/>
      </c>
      <c r="K1916" s="35" t="str">
        <f aca="false">IF(A1916="","",DATE(YEAR(A1916),MONTH(A1916),1))</f>
        <v/>
      </c>
      <c r="L1916" s="28" t="str">
        <f aca="false">IF(E1916="","",IFERROR(INDEX(Settings!$K$8:$K$38,MATCH(E1916,Settings!$H$8:$H$38,0))&amp;"",""))</f>
        <v/>
      </c>
    </row>
    <row r="1917" customFormat="false" ht="15" hidden="false" customHeight="false" outlineLevel="0" collapsed="false">
      <c r="A1917" s="33"/>
      <c r="B1917" s="27"/>
      <c r="C1917" s="27"/>
      <c r="D1917" s="27"/>
      <c r="E1917" s="27"/>
      <c r="F1917" s="34"/>
      <c r="G1917" s="27"/>
      <c r="H1917" s="27"/>
      <c r="I1917" s="28" t="str">
        <f aca="false">IF(C1917="","",IFERROR(INDEX(Settings!$C$8:$C$19,MATCH(C1917,Settings!$B$8:$B$19,0)),"?"))</f>
        <v/>
      </c>
      <c r="J1917" s="28" t="str">
        <f aca="false">IF(G1917="","",IFERROR(INDEX(Settings!$C$8:$C$19,MATCH(G1917,Settings!$B$8:$B$19,0)),"?"))</f>
        <v/>
      </c>
      <c r="K1917" s="35" t="str">
        <f aca="false">IF(A1917="","",DATE(YEAR(A1917),MONTH(A1917),1))</f>
        <v/>
      </c>
      <c r="L1917" s="28" t="str">
        <f aca="false">IF(E1917="","",IFERROR(INDEX(Settings!$K$8:$K$38,MATCH(E1917,Settings!$H$8:$H$38,0))&amp;"",""))</f>
        <v/>
      </c>
    </row>
    <row r="1918" customFormat="false" ht="15" hidden="false" customHeight="false" outlineLevel="0" collapsed="false">
      <c r="A1918" s="33"/>
      <c r="B1918" s="27"/>
      <c r="C1918" s="27"/>
      <c r="D1918" s="27"/>
      <c r="E1918" s="27"/>
      <c r="F1918" s="34"/>
      <c r="G1918" s="27"/>
      <c r="H1918" s="27"/>
      <c r="I1918" s="28" t="str">
        <f aca="false">IF(C1918="","",IFERROR(INDEX(Settings!$C$8:$C$19,MATCH(C1918,Settings!$B$8:$B$19,0)),"?"))</f>
        <v/>
      </c>
      <c r="J1918" s="28" t="str">
        <f aca="false">IF(G1918="","",IFERROR(INDEX(Settings!$C$8:$C$19,MATCH(G1918,Settings!$B$8:$B$19,0)),"?"))</f>
        <v/>
      </c>
      <c r="K1918" s="35" t="str">
        <f aca="false">IF(A1918="","",DATE(YEAR(A1918),MONTH(A1918),1))</f>
        <v/>
      </c>
      <c r="L1918" s="28" t="str">
        <f aca="false">IF(E1918="","",IFERROR(INDEX(Settings!$K$8:$K$38,MATCH(E1918,Settings!$H$8:$H$38,0))&amp;"",""))</f>
        <v/>
      </c>
    </row>
    <row r="1919" customFormat="false" ht="15" hidden="false" customHeight="false" outlineLevel="0" collapsed="false">
      <c r="A1919" s="33"/>
      <c r="B1919" s="27"/>
      <c r="C1919" s="27"/>
      <c r="D1919" s="27"/>
      <c r="E1919" s="27"/>
      <c r="F1919" s="34"/>
      <c r="G1919" s="27"/>
      <c r="H1919" s="27"/>
      <c r="I1919" s="28" t="str">
        <f aca="false">IF(C1919="","",IFERROR(INDEX(Settings!$C$8:$C$19,MATCH(C1919,Settings!$B$8:$B$19,0)),"?"))</f>
        <v/>
      </c>
      <c r="J1919" s="28" t="str">
        <f aca="false">IF(G1919="","",IFERROR(INDEX(Settings!$C$8:$C$19,MATCH(G1919,Settings!$B$8:$B$19,0)),"?"))</f>
        <v/>
      </c>
      <c r="K1919" s="35" t="str">
        <f aca="false">IF(A1919="","",DATE(YEAR(A1919),MONTH(A1919),1))</f>
        <v/>
      </c>
      <c r="L1919" s="28" t="str">
        <f aca="false">IF(E1919="","",IFERROR(INDEX(Settings!$K$8:$K$38,MATCH(E1919,Settings!$H$8:$H$38,0))&amp;"",""))</f>
        <v/>
      </c>
    </row>
    <row r="1920" customFormat="false" ht="15" hidden="false" customHeight="false" outlineLevel="0" collapsed="false">
      <c r="A1920" s="33"/>
      <c r="B1920" s="27"/>
      <c r="C1920" s="27"/>
      <c r="D1920" s="27"/>
      <c r="E1920" s="27"/>
      <c r="F1920" s="34"/>
      <c r="G1920" s="27"/>
      <c r="H1920" s="27"/>
      <c r="I1920" s="28" t="str">
        <f aca="false">IF(C1920="","",IFERROR(INDEX(Settings!$C$8:$C$19,MATCH(C1920,Settings!$B$8:$B$19,0)),"?"))</f>
        <v/>
      </c>
      <c r="J1920" s="28" t="str">
        <f aca="false">IF(G1920="","",IFERROR(INDEX(Settings!$C$8:$C$19,MATCH(G1920,Settings!$B$8:$B$19,0)),"?"))</f>
        <v/>
      </c>
      <c r="K1920" s="35" t="str">
        <f aca="false">IF(A1920="","",DATE(YEAR(A1920),MONTH(A1920),1))</f>
        <v/>
      </c>
      <c r="L1920" s="28" t="str">
        <f aca="false">IF(E1920="","",IFERROR(INDEX(Settings!$K$8:$K$38,MATCH(E1920,Settings!$H$8:$H$38,0))&amp;"",""))</f>
        <v/>
      </c>
    </row>
    <row r="1921" customFormat="false" ht="15" hidden="false" customHeight="false" outlineLevel="0" collapsed="false">
      <c r="A1921" s="33"/>
      <c r="B1921" s="27"/>
      <c r="C1921" s="27"/>
      <c r="D1921" s="27"/>
      <c r="E1921" s="27"/>
      <c r="F1921" s="34"/>
      <c r="G1921" s="27"/>
      <c r="H1921" s="27"/>
      <c r="I1921" s="28" t="str">
        <f aca="false">IF(C1921="","",IFERROR(INDEX(Settings!$C$8:$C$19,MATCH(C1921,Settings!$B$8:$B$19,0)),"?"))</f>
        <v/>
      </c>
      <c r="J1921" s="28" t="str">
        <f aca="false">IF(G1921="","",IFERROR(INDEX(Settings!$C$8:$C$19,MATCH(G1921,Settings!$B$8:$B$19,0)),"?"))</f>
        <v/>
      </c>
      <c r="K1921" s="35" t="str">
        <f aca="false">IF(A1921="","",DATE(YEAR(A1921),MONTH(A1921),1))</f>
        <v/>
      </c>
      <c r="L1921" s="28" t="str">
        <f aca="false">IF(E1921="","",IFERROR(INDEX(Settings!$K$8:$K$38,MATCH(E1921,Settings!$H$8:$H$38,0))&amp;"",""))</f>
        <v/>
      </c>
    </row>
    <row r="1922" customFormat="false" ht="15" hidden="false" customHeight="false" outlineLevel="0" collapsed="false">
      <c r="A1922" s="33"/>
      <c r="B1922" s="27"/>
      <c r="C1922" s="27"/>
      <c r="D1922" s="27"/>
      <c r="E1922" s="27"/>
      <c r="F1922" s="34"/>
      <c r="G1922" s="27"/>
      <c r="H1922" s="27"/>
      <c r="I1922" s="28" t="str">
        <f aca="false">IF(C1922="","",IFERROR(INDEX(Settings!$C$8:$C$19,MATCH(C1922,Settings!$B$8:$B$19,0)),"?"))</f>
        <v/>
      </c>
      <c r="J1922" s="28" t="str">
        <f aca="false">IF(G1922="","",IFERROR(INDEX(Settings!$C$8:$C$19,MATCH(G1922,Settings!$B$8:$B$19,0)),"?"))</f>
        <v/>
      </c>
      <c r="K1922" s="35" t="str">
        <f aca="false">IF(A1922="","",DATE(YEAR(A1922),MONTH(A1922),1))</f>
        <v/>
      </c>
      <c r="L1922" s="28" t="str">
        <f aca="false">IF(E1922="","",IFERROR(INDEX(Settings!$K$8:$K$38,MATCH(E1922,Settings!$H$8:$H$38,0))&amp;"",""))</f>
        <v/>
      </c>
    </row>
    <row r="1923" customFormat="false" ht="15" hidden="false" customHeight="false" outlineLevel="0" collapsed="false">
      <c r="A1923" s="33"/>
      <c r="B1923" s="27"/>
      <c r="C1923" s="27"/>
      <c r="D1923" s="27"/>
      <c r="E1923" s="27"/>
      <c r="F1923" s="34"/>
      <c r="G1923" s="27"/>
      <c r="H1923" s="27"/>
      <c r="I1923" s="28" t="str">
        <f aca="false">IF(C1923="","",IFERROR(INDEX(Settings!$C$8:$C$19,MATCH(C1923,Settings!$B$8:$B$19,0)),"?"))</f>
        <v/>
      </c>
      <c r="J1923" s="28" t="str">
        <f aca="false">IF(G1923="","",IFERROR(INDEX(Settings!$C$8:$C$19,MATCH(G1923,Settings!$B$8:$B$19,0)),"?"))</f>
        <v/>
      </c>
      <c r="K1923" s="35" t="str">
        <f aca="false">IF(A1923="","",DATE(YEAR(A1923),MONTH(A1923),1))</f>
        <v/>
      </c>
      <c r="L1923" s="28" t="str">
        <f aca="false">IF(E1923="","",IFERROR(INDEX(Settings!$K$8:$K$38,MATCH(E1923,Settings!$H$8:$H$38,0))&amp;"",""))</f>
        <v/>
      </c>
    </row>
    <row r="1924" customFormat="false" ht="15" hidden="false" customHeight="false" outlineLevel="0" collapsed="false">
      <c r="A1924" s="33"/>
      <c r="B1924" s="27"/>
      <c r="C1924" s="27"/>
      <c r="D1924" s="27"/>
      <c r="E1924" s="27"/>
      <c r="F1924" s="34"/>
      <c r="G1924" s="27"/>
      <c r="H1924" s="27"/>
      <c r="I1924" s="28" t="str">
        <f aca="false">IF(C1924="","",IFERROR(INDEX(Settings!$C$8:$C$19,MATCH(C1924,Settings!$B$8:$B$19,0)),"?"))</f>
        <v/>
      </c>
      <c r="J1924" s="28" t="str">
        <f aca="false">IF(G1924="","",IFERROR(INDEX(Settings!$C$8:$C$19,MATCH(G1924,Settings!$B$8:$B$19,0)),"?"))</f>
        <v/>
      </c>
      <c r="K1924" s="35" t="str">
        <f aca="false">IF(A1924="","",DATE(YEAR(A1924),MONTH(A1924),1))</f>
        <v/>
      </c>
      <c r="L1924" s="28" t="str">
        <f aca="false">IF(E1924="","",IFERROR(INDEX(Settings!$K$8:$K$38,MATCH(E1924,Settings!$H$8:$H$38,0))&amp;"",""))</f>
        <v/>
      </c>
    </row>
    <row r="1925" customFormat="false" ht="15" hidden="false" customHeight="false" outlineLevel="0" collapsed="false">
      <c r="A1925" s="33"/>
      <c r="B1925" s="27"/>
      <c r="C1925" s="27"/>
      <c r="D1925" s="27"/>
      <c r="E1925" s="27"/>
      <c r="F1925" s="34"/>
      <c r="G1925" s="27"/>
      <c r="H1925" s="27"/>
      <c r="I1925" s="28" t="str">
        <f aca="false">IF(C1925="","",IFERROR(INDEX(Settings!$C$8:$C$19,MATCH(C1925,Settings!$B$8:$B$19,0)),"?"))</f>
        <v/>
      </c>
      <c r="J1925" s="28" t="str">
        <f aca="false">IF(G1925="","",IFERROR(INDEX(Settings!$C$8:$C$19,MATCH(G1925,Settings!$B$8:$B$19,0)),"?"))</f>
        <v/>
      </c>
      <c r="K1925" s="35" t="str">
        <f aca="false">IF(A1925="","",DATE(YEAR(A1925),MONTH(A1925),1))</f>
        <v/>
      </c>
      <c r="L1925" s="28" t="str">
        <f aca="false">IF(E1925="","",IFERROR(INDEX(Settings!$K$8:$K$38,MATCH(E1925,Settings!$H$8:$H$38,0))&amp;"",""))</f>
        <v/>
      </c>
    </row>
    <row r="1926" customFormat="false" ht="15" hidden="false" customHeight="false" outlineLevel="0" collapsed="false">
      <c r="A1926" s="33"/>
      <c r="B1926" s="27"/>
      <c r="C1926" s="27"/>
      <c r="D1926" s="27"/>
      <c r="E1926" s="27"/>
      <c r="F1926" s="34"/>
      <c r="G1926" s="27"/>
      <c r="H1926" s="27"/>
      <c r="I1926" s="28" t="str">
        <f aca="false">IF(C1926="","",IFERROR(INDEX(Settings!$C$8:$C$19,MATCH(C1926,Settings!$B$8:$B$19,0)),"?"))</f>
        <v/>
      </c>
      <c r="J1926" s="28" t="str">
        <f aca="false">IF(G1926="","",IFERROR(INDEX(Settings!$C$8:$C$19,MATCH(G1926,Settings!$B$8:$B$19,0)),"?"))</f>
        <v/>
      </c>
      <c r="K1926" s="35" t="str">
        <f aca="false">IF(A1926="","",DATE(YEAR(A1926),MONTH(A1926),1))</f>
        <v/>
      </c>
      <c r="L1926" s="28" t="str">
        <f aca="false">IF(E1926="","",IFERROR(INDEX(Settings!$K$8:$K$38,MATCH(E1926,Settings!$H$8:$H$38,0))&amp;"",""))</f>
        <v/>
      </c>
    </row>
    <row r="1927" customFormat="false" ht="15" hidden="false" customHeight="false" outlineLevel="0" collapsed="false">
      <c r="A1927" s="33"/>
      <c r="B1927" s="27"/>
      <c r="C1927" s="27"/>
      <c r="D1927" s="27"/>
      <c r="E1927" s="27"/>
      <c r="F1927" s="34"/>
      <c r="G1927" s="27"/>
      <c r="H1927" s="27"/>
      <c r="I1927" s="28" t="str">
        <f aca="false">IF(C1927="","",IFERROR(INDEX(Settings!$C$8:$C$19,MATCH(C1927,Settings!$B$8:$B$19,0)),"?"))</f>
        <v/>
      </c>
      <c r="J1927" s="28" t="str">
        <f aca="false">IF(G1927="","",IFERROR(INDEX(Settings!$C$8:$C$19,MATCH(G1927,Settings!$B$8:$B$19,0)),"?"))</f>
        <v/>
      </c>
      <c r="K1927" s="35" t="str">
        <f aca="false">IF(A1927="","",DATE(YEAR(A1927),MONTH(A1927),1))</f>
        <v/>
      </c>
      <c r="L1927" s="28" t="str">
        <f aca="false">IF(E1927="","",IFERROR(INDEX(Settings!$K$8:$K$38,MATCH(E1927,Settings!$H$8:$H$38,0))&amp;"",""))</f>
        <v/>
      </c>
    </row>
    <row r="1928" customFormat="false" ht="15" hidden="false" customHeight="false" outlineLevel="0" collapsed="false">
      <c r="A1928" s="33"/>
      <c r="B1928" s="27"/>
      <c r="C1928" s="27"/>
      <c r="D1928" s="27"/>
      <c r="E1928" s="27"/>
      <c r="F1928" s="34"/>
      <c r="G1928" s="27"/>
      <c r="H1928" s="27"/>
      <c r="I1928" s="28" t="str">
        <f aca="false">IF(C1928="","",IFERROR(INDEX(Settings!$C$8:$C$19,MATCH(C1928,Settings!$B$8:$B$19,0)),"?"))</f>
        <v/>
      </c>
      <c r="J1928" s="28" t="str">
        <f aca="false">IF(G1928="","",IFERROR(INDEX(Settings!$C$8:$C$19,MATCH(G1928,Settings!$B$8:$B$19,0)),"?"))</f>
        <v/>
      </c>
      <c r="K1928" s="35" t="str">
        <f aca="false">IF(A1928="","",DATE(YEAR(A1928),MONTH(A1928),1))</f>
        <v/>
      </c>
      <c r="L1928" s="28" t="str">
        <f aca="false">IF(E1928="","",IFERROR(INDEX(Settings!$K$8:$K$38,MATCH(E1928,Settings!$H$8:$H$38,0))&amp;"",""))</f>
        <v/>
      </c>
    </row>
    <row r="1929" customFormat="false" ht="15" hidden="false" customHeight="false" outlineLevel="0" collapsed="false">
      <c r="A1929" s="33"/>
      <c r="B1929" s="27"/>
      <c r="C1929" s="27"/>
      <c r="D1929" s="27"/>
      <c r="E1929" s="27"/>
      <c r="F1929" s="34"/>
      <c r="G1929" s="27"/>
      <c r="H1929" s="27"/>
      <c r="I1929" s="28" t="str">
        <f aca="false">IF(C1929="","",IFERROR(INDEX(Settings!$C$8:$C$19,MATCH(C1929,Settings!$B$8:$B$19,0)),"?"))</f>
        <v/>
      </c>
      <c r="J1929" s="28" t="str">
        <f aca="false">IF(G1929="","",IFERROR(INDEX(Settings!$C$8:$C$19,MATCH(G1929,Settings!$B$8:$B$19,0)),"?"))</f>
        <v/>
      </c>
      <c r="K1929" s="35" t="str">
        <f aca="false">IF(A1929="","",DATE(YEAR(A1929),MONTH(A1929),1))</f>
        <v/>
      </c>
      <c r="L1929" s="28" t="str">
        <f aca="false">IF(E1929="","",IFERROR(INDEX(Settings!$K$8:$K$38,MATCH(E1929,Settings!$H$8:$H$38,0))&amp;"",""))</f>
        <v/>
      </c>
    </row>
    <row r="1930" customFormat="false" ht="15" hidden="false" customHeight="false" outlineLevel="0" collapsed="false">
      <c r="A1930" s="33"/>
      <c r="B1930" s="27"/>
      <c r="C1930" s="27"/>
      <c r="D1930" s="27"/>
      <c r="E1930" s="27"/>
      <c r="F1930" s="34"/>
      <c r="G1930" s="27"/>
      <c r="H1930" s="27"/>
      <c r="I1930" s="28" t="str">
        <f aca="false">IF(C1930="","",IFERROR(INDEX(Settings!$C$8:$C$19,MATCH(C1930,Settings!$B$8:$B$19,0)),"?"))</f>
        <v/>
      </c>
      <c r="J1930" s="28" t="str">
        <f aca="false">IF(G1930="","",IFERROR(INDEX(Settings!$C$8:$C$19,MATCH(G1930,Settings!$B$8:$B$19,0)),"?"))</f>
        <v/>
      </c>
      <c r="K1930" s="35" t="str">
        <f aca="false">IF(A1930="","",DATE(YEAR(A1930),MONTH(A1930),1))</f>
        <v/>
      </c>
      <c r="L1930" s="28" t="str">
        <f aca="false">IF(E1930="","",IFERROR(INDEX(Settings!$K$8:$K$38,MATCH(E1930,Settings!$H$8:$H$38,0))&amp;"",""))</f>
        <v/>
      </c>
    </row>
    <row r="1931" customFormat="false" ht="15" hidden="false" customHeight="false" outlineLevel="0" collapsed="false">
      <c r="A1931" s="33"/>
      <c r="B1931" s="27"/>
      <c r="C1931" s="27"/>
      <c r="D1931" s="27"/>
      <c r="E1931" s="27"/>
      <c r="F1931" s="34"/>
      <c r="G1931" s="27"/>
      <c r="H1931" s="27"/>
      <c r="I1931" s="28" t="str">
        <f aca="false">IF(C1931="","",IFERROR(INDEX(Settings!$C$8:$C$19,MATCH(C1931,Settings!$B$8:$B$19,0)),"?"))</f>
        <v/>
      </c>
      <c r="J1931" s="28" t="str">
        <f aca="false">IF(G1931="","",IFERROR(INDEX(Settings!$C$8:$C$19,MATCH(G1931,Settings!$B$8:$B$19,0)),"?"))</f>
        <v/>
      </c>
      <c r="K1931" s="35" t="str">
        <f aca="false">IF(A1931="","",DATE(YEAR(A1931),MONTH(A1931),1))</f>
        <v/>
      </c>
      <c r="L1931" s="28" t="str">
        <f aca="false">IF(E1931="","",IFERROR(INDEX(Settings!$K$8:$K$38,MATCH(E1931,Settings!$H$8:$H$38,0))&amp;"",""))</f>
        <v/>
      </c>
    </row>
    <row r="1932" customFormat="false" ht="15" hidden="false" customHeight="false" outlineLevel="0" collapsed="false">
      <c r="A1932" s="33"/>
      <c r="B1932" s="27"/>
      <c r="C1932" s="27"/>
      <c r="D1932" s="27"/>
      <c r="E1932" s="27"/>
      <c r="F1932" s="34"/>
      <c r="G1932" s="27"/>
      <c r="H1932" s="27"/>
      <c r="I1932" s="28" t="str">
        <f aca="false">IF(C1932="","",IFERROR(INDEX(Settings!$C$8:$C$19,MATCH(C1932,Settings!$B$8:$B$19,0)),"?"))</f>
        <v/>
      </c>
      <c r="J1932" s="28" t="str">
        <f aca="false">IF(G1932="","",IFERROR(INDEX(Settings!$C$8:$C$19,MATCH(G1932,Settings!$B$8:$B$19,0)),"?"))</f>
        <v/>
      </c>
      <c r="K1932" s="35" t="str">
        <f aca="false">IF(A1932="","",DATE(YEAR(A1932),MONTH(A1932),1))</f>
        <v/>
      </c>
      <c r="L1932" s="28" t="str">
        <f aca="false">IF(E1932="","",IFERROR(INDEX(Settings!$K$8:$K$38,MATCH(E1932,Settings!$H$8:$H$38,0))&amp;"",""))</f>
        <v/>
      </c>
    </row>
    <row r="1933" customFormat="false" ht="15" hidden="false" customHeight="false" outlineLevel="0" collapsed="false">
      <c r="A1933" s="33"/>
      <c r="B1933" s="27"/>
      <c r="C1933" s="27"/>
      <c r="D1933" s="27"/>
      <c r="E1933" s="27"/>
      <c r="F1933" s="34"/>
      <c r="G1933" s="27"/>
      <c r="H1933" s="27"/>
      <c r="I1933" s="28" t="str">
        <f aca="false">IF(C1933="","",IFERROR(INDEX(Settings!$C$8:$C$19,MATCH(C1933,Settings!$B$8:$B$19,0)),"?"))</f>
        <v/>
      </c>
      <c r="J1933" s="28" t="str">
        <f aca="false">IF(G1933="","",IFERROR(INDEX(Settings!$C$8:$C$19,MATCH(G1933,Settings!$B$8:$B$19,0)),"?"))</f>
        <v/>
      </c>
      <c r="K1933" s="35" t="str">
        <f aca="false">IF(A1933="","",DATE(YEAR(A1933),MONTH(A1933),1))</f>
        <v/>
      </c>
      <c r="L1933" s="28" t="str">
        <f aca="false">IF(E1933="","",IFERROR(INDEX(Settings!$K$8:$K$38,MATCH(E1933,Settings!$H$8:$H$38,0))&amp;"",""))</f>
        <v/>
      </c>
    </row>
    <row r="1934" customFormat="false" ht="15" hidden="false" customHeight="false" outlineLevel="0" collapsed="false">
      <c r="A1934" s="33"/>
      <c r="B1934" s="27"/>
      <c r="C1934" s="27"/>
      <c r="D1934" s="27"/>
      <c r="E1934" s="27"/>
      <c r="F1934" s="34"/>
      <c r="G1934" s="27"/>
      <c r="H1934" s="27"/>
      <c r="I1934" s="28" t="str">
        <f aca="false">IF(C1934="","",IFERROR(INDEX(Settings!$C$8:$C$19,MATCH(C1934,Settings!$B$8:$B$19,0)),"?"))</f>
        <v/>
      </c>
      <c r="J1934" s="28" t="str">
        <f aca="false">IF(G1934="","",IFERROR(INDEX(Settings!$C$8:$C$19,MATCH(G1934,Settings!$B$8:$B$19,0)),"?"))</f>
        <v/>
      </c>
      <c r="K1934" s="35" t="str">
        <f aca="false">IF(A1934="","",DATE(YEAR(A1934),MONTH(A1934),1))</f>
        <v/>
      </c>
      <c r="L1934" s="28" t="str">
        <f aca="false">IF(E1934="","",IFERROR(INDEX(Settings!$K$8:$K$38,MATCH(E1934,Settings!$H$8:$H$38,0))&amp;"",""))</f>
        <v/>
      </c>
    </row>
    <row r="1935" customFormat="false" ht="15" hidden="false" customHeight="false" outlineLevel="0" collapsed="false">
      <c r="A1935" s="33"/>
      <c r="B1935" s="27"/>
      <c r="C1935" s="27"/>
      <c r="D1935" s="27"/>
      <c r="E1935" s="27"/>
      <c r="F1935" s="34"/>
      <c r="G1935" s="27"/>
      <c r="H1935" s="27"/>
      <c r="I1935" s="28" t="str">
        <f aca="false">IF(C1935="","",IFERROR(INDEX(Settings!$C$8:$C$19,MATCH(C1935,Settings!$B$8:$B$19,0)),"?"))</f>
        <v/>
      </c>
      <c r="J1935" s="28" t="str">
        <f aca="false">IF(G1935="","",IFERROR(INDEX(Settings!$C$8:$C$19,MATCH(G1935,Settings!$B$8:$B$19,0)),"?"))</f>
        <v/>
      </c>
      <c r="K1935" s="35" t="str">
        <f aca="false">IF(A1935="","",DATE(YEAR(A1935),MONTH(A1935),1))</f>
        <v/>
      </c>
      <c r="L1935" s="28" t="str">
        <f aca="false">IF(E1935="","",IFERROR(INDEX(Settings!$K$8:$K$38,MATCH(E1935,Settings!$H$8:$H$38,0))&amp;"",""))</f>
        <v/>
      </c>
    </row>
    <row r="1936" customFormat="false" ht="15" hidden="false" customHeight="false" outlineLevel="0" collapsed="false">
      <c r="A1936" s="33"/>
      <c r="B1936" s="27"/>
      <c r="C1936" s="27"/>
      <c r="D1936" s="27"/>
      <c r="E1936" s="27"/>
      <c r="F1936" s="34"/>
      <c r="G1936" s="27"/>
      <c r="H1936" s="27"/>
      <c r="I1936" s="28" t="str">
        <f aca="false">IF(C1936="","",IFERROR(INDEX(Settings!$C$8:$C$19,MATCH(C1936,Settings!$B$8:$B$19,0)),"?"))</f>
        <v/>
      </c>
      <c r="J1936" s="28" t="str">
        <f aca="false">IF(G1936="","",IFERROR(INDEX(Settings!$C$8:$C$19,MATCH(G1936,Settings!$B$8:$B$19,0)),"?"))</f>
        <v/>
      </c>
      <c r="K1936" s="35" t="str">
        <f aca="false">IF(A1936="","",DATE(YEAR(A1936),MONTH(A1936),1))</f>
        <v/>
      </c>
      <c r="L1936" s="28" t="str">
        <f aca="false">IF(E1936="","",IFERROR(INDEX(Settings!$K$8:$K$38,MATCH(E1936,Settings!$H$8:$H$38,0))&amp;"",""))</f>
        <v/>
      </c>
    </row>
    <row r="1937" customFormat="false" ht="15" hidden="false" customHeight="false" outlineLevel="0" collapsed="false">
      <c r="A1937" s="33"/>
      <c r="B1937" s="27"/>
      <c r="C1937" s="27"/>
      <c r="D1937" s="27"/>
      <c r="E1937" s="27"/>
      <c r="F1937" s="34"/>
      <c r="G1937" s="27"/>
      <c r="H1937" s="27"/>
      <c r="I1937" s="28" t="str">
        <f aca="false">IF(C1937="","",IFERROR(INDEX(Settings!$C$8:$C$19,MATCH(C1937,Settings!$B$8:$B$19,0)),"?"))</f>
        <v/>
      </c>
      <c r="J1937" s="28" t="str">
        <f aca="false">IF(G1937="","",IFERROR(INDEX(Settings!$C$8:$C$19,MATCH(G1937,Settings!$B$8:$B$19,0)),"?"))</f>
        <v/>
      </c>
      <c r="K1937" s="35" t="str">
        <f aca="false">IF(A1937="","",DATE(YEAR(A1937),MONTH(A1937),1))</f>
        <v/>
      </c>
      <c r="L1937" s="28" t="str">
        <f aca="false">IF(E1937="","",IFERROR(INDEX(Settings!$K$8:$K$38,MATCH(E1937,Settings!$H$8:$H$38,0))&amp;"",""))</f>
        <v/>
      </c>
    </row>
    <row r="1938" customFormat="false" ht="15" hidden="false" customHeight="false" outlineLevel="0" collapsed="false">
      <c r="A1938" s="33"/>
      <c r="B1938" s="27"/>
      <c r="C1938" s="27"/>
      <c r="D1938" s="27"/>
      <c r="E1938" s="27"/>
      <c r="F1938" s="34"/>
      <c r="G1938" s="27"/>
      <c r="H1938" s="27"/>
      <c r="I1938" s="28" t="str">
        <f aca="false">IF(C1938="","",IFERROR(INDEX(Settings!$C$8:$C$19,MATCH(C1938,Settings!$B$8:$B$19,0)),"?"))</f>
        <v/>
      </c>
      <c r="J1938" s="28" t="str">
        <f aca="false">IF(G1938="","",IFERROR(INDEX(Settings!$C$8:$C$19,MATCH(G1938,Settings!$B$8:$B$19,0)),"?"))</f>
        <v/>
      </c>
      <c r="K1938" s="35" t="str">
        <f aca="false">IF(A1938="","",DATE(YEAR(A1938),MONTH(A1938),1))</f>
        <v/>
      </c>
      <c r="L1938" s="28" t="str">
        <f aca="false">IF(E1938="","",IFERROR(INDEX(Settings!$K$8:$K$38,MATCH(E1938,Settings!$H$8:$H$38,0))&amp;"",""))</f>
        <v/>
      </c>
    </row>
    <row r="1939" customFormat="false" ht="15" hidden="false" customHeight="false" outlineLevel="0" collapsed="false">
      <c r="A1939" s="33"/>
      <c r="B1939" s="27"/>
      <c r="C1939" s="27"/>
      <c r="D1939" s="27"/>
      <c r="E1939" s="27"/>
      <c r="F1939" s="34"/>
      <c r="G1939" s="27"/>
      <c r="H1939" s="27"/>
      <c r="I1939" s="28" t="str">
        <f aca="false">IF(C1939="","",IFERROR(INDEX(Settings!$C$8:$C$19,MATCH(C1939,Settings!$B$8:$B$19,0)),"?"))</f>
        <v/>
      </c>
      <c r="J1939" s="28" t="str">
        <f aca="false">IF(G1939="","",IFERROR(INDEX(Settings!$C$8:$C$19,MATCH(G1939,Settings!$B$8:$B$19,0)),"?"))</f>
        <v/>
      </c>
      <c r="K1939" s="35" t="str">
        <f aca="false">IF(A1939="","",DATE(YEAR(A1939),MONTH(A1939),1))</f>
        <v/>
      </c>
      <c r="L1939" s="28" t="str">
        <f aca="false">IF(E1939="","",IFERROR(INDEX(Settings!$K$8:$K$38,MATCH(E1939,Settings!$H$8:$H$38,0))&amp;"",""))</f>
        <v/>
      </c>
    </row>
    <row r="1940" customFormat="false" ht="15" hidden="false" customHeight="false" outlineLevel="0" collapsed="false">
      <c r="A1940" s="33"/>
      <c r="B1940" s="27"/>
      <c r="C1940" s="27"/>
      <c r="D1940" s="27"/>
      <c r="E1940" s="27"/>
      <c r="F1940" s="34"/>
      <c r="G1940" s="27"/>
      <c r="H1940" s="27"/>
      <c r="I1940" s="28" t="str">
        <f aca="false">IF(C1940="","",IFERROR(INDEX(Settings!$C$8:$C$19,MATCH(C1940,Settings!$B$8:$B$19,0)),"?"))</f>
        <v/>
      </c>
      <c r="J1940" s="28" t="str">
        <f aca="false">IF(G1940="","",IFERROR(INDEX(Settings!$C$8:$C$19,MATCH(G1940,Settings!$B$8:$B$19,0)),"?"))</f>
        <v/>
      </c>
      <c r="K1940" s="35" t="str">
        <f aca="false">IF(A1940="","",DATE(YEAR(A1940),MONTH(A1940),1))</f>
        <v/>
      </c>
      <c r="L1940" s="28" t="str">
        <f aca="false">IF(E1940="","",IFERROR(INDEX(Settings!$K$8:$K$38,MATCH(E1940,Settings!$H$8:$H$38,0))&amp;"",""))</f>
        <v/>
      </c>
    </row>
    <row r="1941" customFormat="false" ht="15" hidden="false" customHeight="false" outlineLevel="0" collapsed="false">
      <c r="A1941" s="33"/>
      <c r="B1941" s="27"/>
      <c r="C1941" s="27"/>
      <c r="D1941" s="27"/>
      <c r="E1941" s="27"/>
      <c r="F1941" s="34"/>
      <c r="G1941" s="27"/>
      <c r="H1941" s="27"/>
      <c r="I1941" s="28" t="str">
        <f aca="false">IF(C1941="","",IFERROR(INDEX(Settings!$C$8:$C$19,MATCH(C1941,Settings!$B$8:$B$19,0)),"?"))</f>
        <v/>
      </c>
      <c r="J1941" s="28" t="str">
        <f aca="false">IF(G1941="","",IFERROR(INDEX(Settings!$C$8:$C$19,MATCH(G1941,Settings!$B$8:$B$19,0)),"?"))</f>
        <v/>
      </c>
      <c r="K1941" s="35" t="str">
        <f aca="false">IF(A1941="","",DATE(YEAR(A1941),MONTH(A1941),1))</f>
        <v/>
      </c>
      <c r="L1941" s="28" t="str">
        <f aca="false">IF(E1941="","",IFERROR(INDEX(Settings!$K$8:$K$38,MATCH(E1941,Settings!$H$8:$H$38,0))&amp;"",""))</f>
        <v/>
      </c>
    </row>
    <row r="1942" customFormat="false" ht="15" hidden="false" customHeight="false" outlineLevel="0" collapsed="false">
      <c r="A1942" s="33"/>
      <c r="B1942" s="27"/>
      <c r="C1942" s="27"/>
      <c r="D1942" s="27"/>
      <c r="E1942" s="27"/>
      <c r="F1942" s="34"/>
      <c r="G1942" s="27"/>
      <c r="H1942" s="27"/>
      <c r="I1942" s="28" t="str">
        <f aca="false">IF(C1942="","",IFERROR(INDEX(Settings!$C$8:$C$19,MATCH(C1942,Settings!$B$8:$B$19,0)),"?"))</f>
        <v/>
      </c>
      <c r="J1942" s="28" t="str">
        <f aca="false">IF(G1942="","",IFERROR(INDEX(Settings!$C$8:$C$19,MATCH(G1942,Settings!$B$8:$B$19,0)),"?"))</f>
        <v/>
      </c>
      <c r="K1942" s="35" t="str">
        <f aca="false">IF(A1942="","",DATE(YEAR(A1942),MONTH(A1942),1))</f>
        <v/>
      </c>
      <c r="L1942" s="28" t="str">
        <f aca="false">IF(E1942="","",IFERROR(INDEX(Settings!$K$8:$K$38,MATCH(E1942,Settings!$H$8:$H$38,0))&amp;"",""))</f>
        <v/>
      </c>
    </row>
    <row r="1943" customFormat="false" ht="15" hidden="false" customHeight="false" outlineLevel="0" collapsed="false">
      <c r="A1943" s="33"/>
      <c r="B1943" s="27"/>
      <c r="C1943" s="27"/>
      <c r="D1943" s="27"/>
      <c r="E1943" s="27"/>
      <c r="F1943" s="34"/>
      <c r="G1943" s="27"/>
      <c r="H1943" s="27"/>
      <c r="I1943" s="28" t="str">
        <f aca="false">IF(C1943="","",IFERROR(INDEX(Settings!$C$8:$C$19,MATCH(C1943,Settings!$B$8:$B$19,0)),"?"))</f>
        <v/>
      </c>
      <c r="J1943" s="28" t="str">
        <f aca="false">IF(G1943="","",IFERROR(INDEX(Settings!$C$8:$C$19,MATCH(G1943,Settings!$B$8:$B$19,0)),"?"))</f>
        <v/>
      </c>
      <c r="K1943" s="35" t="str">
        <f aca="false">IF(A1943="","",DATE(YEAR(A1943),MONTH(A1943),1))</f>
        <v/>
      </c>
      <c r="L1943" s="28" t="str">
        <f aca="false">IF(E1943="","",IFERROR(INDEX(Settings!$K$8:$K$38,MATCH(E1943,Settings!$H$8:$H$38,0))&amp;"",""))</f>
        <v/>
      </c>
    </row>
    <row r="1944" customFormat="false" ht="15" hidden="false" customHeight="false" outlineLevel="0" collapsed="false">
      <c r="A1944" s="33"/>
      <c r="B1944" s="27"/>
      <c r="C1944" s="27"/>
      <c r="D1944" s="27"/>
      <c r="E1944" s="27"/>
      <c r="F1944" s="34"/>
      <c r="G1944" s="27"/>
      <c r="H1944" s="27"/>
      <c r="I1944" s="28" t="str">
        <f aca="false">IF(C1944="","",IFERROR(INDEX(Settings!$C$8:$C$19,MATCH(C1944,Settings!$B$8:$B$19,0)),"?"))</f>
        <v/>
      </c>
      <c r="J1944" s="28" t="str">
        <f aca="false">IF(G1944="","",IFERROR(INDEX(Settings!$C$8:$C$19,MATCH(G1944,Settings!$B$8:$B$19,0)),"?"))</f>
        <v/>
      </c>
      <c r="K1944" s="35" t="str">
        <f aca="false">IF(A1944="","",DATE(YEAR(A1944),MONTH(A1944),1))</f>
        <v/>
      </c>
      <c r="L1944" s="28" t="str">
        <f aca="false">IF(E1944="","",IFERROR(INDEX(Settings!$K$8:$K$38,MATCH(E1944,Settings!$H$8:$H$38,0))&amp;"",""))</f>
        <v/>
      </c>
    </row>
    <row r="1945" customFormat="false" ht="15" hidden="false" customHeight="false" outlineLevel="0" collapsed="false">
      <c r="A1945" s="33"/>
      <c r="B1945" s="27"/>
      <c r="C1945" s="27"/>
      <c r="D1945" s="27"/>
      <c r="E1945" s="27"/>
      <c r="F1945" s="34"/>
      <c r="G1945" s="27"/>
      <c r="H1945" s="27"/>
      <c r="I1945" s="28" t="str">
        <f aca="false">IF(C1945="","",IFERROR(INDEX(Settings!$C$8:$C$19,MATCH(C1945,Settings!$B$8:$B$19,0)),"?"))</f>
        <v/>
      </c>
      <c r="J1945" s="28" t="str">
        <f aca="false">IF(G1945="","",IFERROR(INDEX(Settings!$C$8:$C$19,MATCH(G1945,Settings!$B$8:$B$19,0)),"?"))</f>
        <v/>
      </c>
      <c r="K1945" s="35" t="str">
        <f aca="false">IF(A1945="","",DATE(YEAR(A1945),MONTH(A1945),1))</f>
        <v/>
      </c>
      <c r="L1945" s="28" t="str">
        <f aca="false">IF(E1945="","",IFERROR(INDEX(Settings!$K$8:$K$38,MATCH(E1945,Settings!$H$8:$H$38,0))&amp;"",""))</f>
        <v/>
      </c>
    </row>
    <row r="1946" customFormat="false" ht="15" hidden="false" customHeight="false" outlineLevel="0" collapsed="false">
      <c r="A1946" s="33"/>
      <c r="B1946" s="27"/>
      <c r="C1946" s="27"/>
      <c r="D1946" s="27"/>
      <c r="E1946" s="27"/>
      <c r="F1946" s="34"/>
      <c r="G1946" s="27"/>
      <c r="H1946" s="27"/>
      <c r="I1946" s="28" t="str">
        <f aca="false">IF(C1946="","",IFERROR(INDEX(Settings!$C$8:$C$19,MATCH(C1946,Settings!$B$8:$B$19,0)),"?"))</f>
        <v/>
      </c>
      <c r="J1946" s="28" t="str">
        <f aca="false">IF(G1946="","",IFERROR(INDEX(Settings!$C$8:$C$19,MATCH(G1946,Settings!$B$8:$B$19,0)),"?"))</f>
        <v/>
      </c>
      <c r="K1946" s="35" t="str">
        <f aca="false">IF(A1946="","",DATE(YEAR(A1946),MONTH(A1946),1))</f>
        <v/>
      </c>
      <c r="L1946" s="28" t="str">
        <f aca="false">IF(E1946="","",IFERROR(INDEX(Settings!$K$8:$K$38,MATCH(E1946,Settings!$H$8:$H$38,0))&amp;"",""))</f>
        <v/>
      </c>
    </row>
    <row r="1947" customFormat="false" ht="15" hidden="false" customHeight="false" outlineLevel="0" collapsed="false">
      <c r="A1947" s="33"/>
      <c r="B1947" s="27"/>
      <c r="C1947" s="27"/>
      <c r="D1947" s="27"/>
      <c r="E1947" s="27"/>
      <c r="F1947" s="34"/>
      <c r="G1947" s="27"/>
      <c r="H1947" s="27"/>
      <c r="I1947" s="28" t="str">
        <f aca="false">IF(C1947="","",IFERROR(INDEX(Settings!$C$8:$C$19,MATCH(C1947,Settings!$B$8:$B$19,0)),"?"))</f>
        <v/>
      </c>
      <c r="J1947" s="28" t="str">
        <f aca="false">IF(G1947="","",IFERROR(INDEX(Settings!$C$8:$C$19,MATCH(G1947,Settings!$B$8:$B$19,0)),"?"))</f>
        <v/>
      </c>
      <c r="K1947" s="35" t="str">
        <f aca="false">IF(A1947="","",DATE(YEAR(A1947),MONTH(A1947),1))</f>
        <v/>
      </c>
      <c r="L1947" s="28" t="str">
        <f aca="false">IF(E1947="","",IFERROR(INDEX(Settings!$K$8:$K$38,MATCH(E1947,Settings!$H$8:$H$38,0))&amp;"",""))</f>
        <v/>
      </c>
    </row>
    <row r="1948" customFormat="false" ht="15" hidden="false" customHeight="false" outlineLevel="0" collapsed="false">
      <c r="A1948" s="33"/>
      <c r="B1948" s="27"/>
      <c r="C1948" s="27"/>
      <c r="D1948" s="27"/>
      <c r="E1948" s="27"/>
      <c r="F1948" s="34"/>
      <c r="G1948" s="27"/>
      <c r="H1948" s="27"/>
      <c r="I1948" s="28" t="str">
        <f aca="false">IF(C1948="","",IFERROR(INDEX(Settings!$C$8:$C$19,MATCH(C1948,Settings!$B$8:$B$19,0)),"?"))</f>
        <v/>
      </c>
      <c r="J1948" s="28" t="str">
        <f aca="false">IF(G1948="","",IFERROR(INDEX(Settings!$C$8:$C$19,MATCH(G1948,Settings!$B$8:$B$19,0)),"?"))</f>
        <v/>
      </c>
      <c r="K1948" s="35" t="str">
        <f aca="false">IF(A1948="","",DATE(YEAR(A1948),MONTH(A1948),1))</f>
        <v/>
      </c>
      <c r="L1948" s="28" t="str">
        <f aca="false">IF(E1948="","",IFERROR(INDEX(Settings!$K$8:$K$38,MATCH(E1948,Settings!$H$8:$H$38,0))&amp;"",""))</f>
        <v/>
      </c>
    </row>
    <row r="1949" customFormat="false" ht="15" hidden="false" customHeight="false" outlineLevel="0" collapsed="false">
      <c r="A1949" s="33"/>
      <c r="B1949" s="27"/>
      <c r="C1949" s="27"/>
      <c r="D1949" s="27"/>
      <c r="E1949" s="27"/>
      <c r="F1949" s="34"/>
      <c r="G1949" s="27"/>
      <c r="H1949" s="27"/>
      <c r="I1949" s="28" t="str">
        <f aca="false">IF(C1949="","",IFERROR(INDEX(Settings!$C$8:$C$19,MATCH(C1949,Settings!$B$8:$B$19,0)),"?"))</f>
        <v/>
      </c>
      <c r="J1949" s="28" t="str">
        <f aca="false">IF(G1949="","",IFERROR(INDEX(Settings!$C$8:$C$19,MATCH(G1949,Settings!$B$8:$B$19,0)),"?"))</f>
        <v/>
      </c>
      <c r="K1949" s="35" t="str">
        <f aca="false">IF(A1949="","",DATE(YEAR(A1949),MONTH(A1949),1))</f>
        <v/>
      </c>
      <c r="L1949" s="28" t="str">
        <f aca="false">IF(E1949="","",IFERROR(INDEX(Settings!$K$8:$K$38,MATCH(E1949,Settings!$H$8:$H$38,0))&amp;"",""))</f>
        <v/>
      </c>
    </row>
    <row r="1950" customFormat="false" ht="15" hidden="false" customHeight="false" outlineLevel="0" collapsed="false">
      <c r="A1950" s="33"/>
      <c r="B1950" s="27"/>
      <c r="C1950" s="27"/>
      <c r="D1950" s="27"/>
      <c r="E1950" s="27"/>
      <c r="F1950" s="34"/>
      <c r="G1950" s="27"/>
      <c r="H1950" s="27"/>
      <c r="I1950" s="28" t="str">
        <f aca="false">IF(C1950="","",IFERROR(INDEX(Settings!$C$8:$C$19,MATCH(C1950,Settings!$B$8:$B$19,0)),"?"))</f>
        <v/>
      </c>
      <c r="J1950" s="28" t="str">
        <f aca="false">IF(G1950="","",IFERROR(INDEX(Settings!$C$8:$C$19,MATCH(G1950,Settings!$B$8:$B$19,0)),"?"))</f>
        <v/>
      </c>
      <c r="K1950" s="35" t="str">
        <f aca="false">IF(A1950="","",DATE(YEAR(A1950),MONTH(A1950),1))</f>
        <v/>
      </c>
      <c r="L1950" s="28" t="str">
        <f aca="false">IF(E1950="","",IFERROR(INDEX(Settings!$K$8:$K$38,MATCH(E1950,Settings!$H$8:$H$38,0))&amp;"",""))</f>
        <v/>
      </c>
    </row>
    <row r="1951" customFormat="false" ht="15" hidden="false" customHeight="false" outlineLevel="0" collapsed="false">
      <c r="A1951" s="33"/>
      <c r="B1951" s="27"/>
      <c r="C1951" s="27"/>
      <c r="D1951" s="27"/>
      <c r="E1951" s="27"/>
      <c r="F1951" s="34"/>
      <c r="G1951" s="27"/>
      <c r="H1951" s="27"/>
      <c r="I1951" s="28" t="str">
        <f aca="false">IF(C1951="","",IFERROR(INDEX(Settings!$C$8:$C$19,MATCH(C1951,Settings!$B$8:$B$19,0)),"?"))</f>
        <v/>
      </c>
      <c r="J1951" s="28" t="str">
        <f aca="false">IF(G1951="","",IFERROR(INDEX(Settings!$C$8:$C$19,MATCH(G1951,Settings!$B$8:$B$19,0)),"?"))</f>
        <v/>
      </c>
      <c r="K1951" s="35" t="str">
        <f aca="false">IF(A1951="","",DATE(YEAR(A1951),MONTH(A1951),1))</f>
        <v/>
      </c>
      <c r="L1951" s="28" t="str">
        <f aca="false">IF(E1951="","",IFERROR(INDEX(Settings!$K$8:$K$38,MATCH(E1951,Settings!$H$8:$H$38,0))&amp;"",""))</f>
        <v/>
      </c>
    </row>
    <row r="1952" customFormat="false" ht="15" hidden="false" customHeight="false" outlineLevel="0" collapsed="false">
      <c r="A1952" s="33"/>
      <c r="B1952" s="27"/>
      <c r="C1952" s="27"/>
      <c r="D1952" s="27"/>
      <c r="E1952" s="27"/>
      <c r="F1952" s="34"/>
      <c r="G1952" s="27"/>
      <c r="H1952" s="27"/>
      <c r="I1952" s="28" t="str">
        <f aca="false">IF(C1952="","",IFERROR(INDEX(Settings!$C$8:$C$19,MATCH(C1952,Settings!$B$8:$B$19,0)),"?"))</f>
        <v/>
      </c>
      <c r="J1952" s="28" t="str">
        <f aca="false">IF(G1952="","",IFERROR(INDEX(Settings!$C$8:$C$19,MATCH(G1952,Settings!$B$8:$B$19,0)),"?"))</f>
        <v/>
      </c>
      <c r="K1952" s="35" t="str">
        <f aca="false">IF(A1952="","",DATE(YEAR(A1952),MONTH(A1952),1))</f>
        <v/>
      </c>
      <c r="L1952" s="28" t="str">
        <f aca="false">IF(E1952="","",IFERROR(INDEX(Settings!$K$8:$K$38,MATCH(E1952,Settings!$H$8:$H$38,0))&amp;"",""))</f>
        <v/>
      </c>
    </row>
    <row r="1953" customFormat="false" ht="15" hidden="false" customHeight="false" outlineLevel="0" collapsed="false">
      <c r="A1953" s="33"/>
      <c r="B1953" s="27"/>
      <c r="C1953" s="27"/>
      <c r="D1953" s="27"/>
      <c r="E1953" s="27"/>
      <c r="F1953" s="34"/>
      <c r="G1953" s="27"/>
      <c r="H1953" s="27"/>
      <c r="I1953" s="28" t="str">
        <f aca="false">IF(C1953="","",IFERROR(INDEX(Settings!$C$8:$C$19,MATCH(C1953,Settings!$B$8:$B$19,0)),"?"))</f>
        <v/>
      </c>
      <c r="J1953" s="28" t="str">
        <f aca="false">IF(G1953="","",IFERROR(INDEX(Settings!$C$8:$C$19,MATCH(G1953,Settings!$B$8:$B$19,0)),"?"))</f>
        <v/>
      </c>
      <c r="K1953" s="35" t="str">
        <f aca="false">IF(A1953="","",DATE(YEAR(A1953),MONTH(A1953),1))</f>
        <v/>
      </c>
      <c r="L1953" s="28" t="str">
        <f aca="false">IF(E1953="","",IFERROR(INDEX(Settings!$K$8:$K$38,MATCH(E1953,Settings!$H$8:$H$38,0))&amp;"",""))</f>
        <v/>
      </c>
    </row>
    <row r="1954" customFormat="false" ht="15" hidden="false" customHeight="false" outlineLevel="0" collapsed="false">
      <c r="A1954" s="33"/>
      <c r="B1954" s="27"/>
      <c r="C1954" s="27"/>
      <c r="D1954" s="27"/>
      <c r="E1954" s="27"/>
      <c r="F1954" s="34"/>
      <c r="G1954" s="27"/>
      <c r="H1954" s="27"/>
      <c r="I1954" s="28" t="str">
        <f aca="false">IF(C1954="","",IFERROR(INDEX(Settings!$C$8:$C$19,MATCH(C1954,Settings!$B$8:$B$19,0)),"?"))</f>
        <v/>
      </c>
      <c r="J1954" s="28" t="str">
        <f aca="false">IF(G1954="","",IFERROR(INDEX(Settings!$C$8:$C$19,MATCH(G1954,Settings!$B$8:$B$19,0)),"?"))</f>
        <v/>
      </c>
      <c r="K1954" s="35" t="str">
        <f aca="false">IF(A1954="","",DATE(YEAR(A1954),MONTH(A1954),1))</f>
        <v/>
      </c>
      <c r="L1954" s="28" t="str">
        <f aca="false">IF(E1954="","",IFERROR(INDEX(Settings!$K$8:$K$38,MATCH(E1954,Settings!$H$8:$H$38,0))&amp;"",""))</f>
        <v/>
      </c>
    </row>
    <row r="1955" customFormat="false" ht="15" hidden="false" customHeight="false" outlineLevel="0" collapsed="false">
      <c r="A1955" s="33"/>
      <c r="B1955" s="27"/>
      <c r="C1955" s="27"/>
      <c r="D1955" s="27"/>
      <c r="E1955" s="27"/>
      <c r="F1955" s="34"/>
      <c r="G1955" s="27"/>
      <c r="H1955" s="27"/>
      <c r="I1955" s="28" t="str">
        <f aca="false">IF(C1955="","",IFERROR(INDEX(Settings!$C$8:$C$19,MATCH(C1955,Settings!$B$8:$B$19,0)),"?"))</f>
        <v/>
      </c>
      <c r="J1955" s="28" t="str">
        <f aca="false">IF(G1955="","",IFERROR(INDEX(Settings!$C$8:$C$19,MATCH(G1955,Settings!$B$8:$B$19,0)),"?"))</f>
        <v/>
      </c>
      <c r="K1955" s="35" t="str">
        <f aca="false">IF(A1955="","",DATE(YEAR(A1955),MONTH(A1955),1))</f>
        <v/>
      </c>
      <c r="L1955" s="28" t="str">
        <f aca="false">IF(E1955="","",IFERROR(INDEX(Settings!$K$8:$K$38,MATCH(E1955,Settings!$H$8:$H$38,0))&amp;"",""))</f>
        <v/>
      </c>
    </row>
    <row r="1956" customFormat="false" ht="15" hidden="false" customHeight="false" outlineLevel="0" collapsed="false">
      <c r="A1956" s="33"/>
      <c r="B1956" s="27"/>
      <c r="C1956" s="27"/>
      <c r="D1956" s="27"/>
      <c r="E1956" s="27"/>
      <c r="F1956" s="34"/>
      <c r="G1956" s="27"/>
      <c r="H1956" s="27"/>
      <c r="I1956" s="28" t="str">
        <f aca="false">IF(C1956="","",IFERROR(INDEX(Settings!$C$8:$C$19,MATCH(C1956,Settings!$B$8:$B$19,0)),"?"))</f>
        <v/>
      </c>
      <c r="J1956" s="28" t="str">
        <f aca="false">IF(G1956="","",IFERROR(INDEX(Settings!$C$8:$C$19,MATCH(G1956,Settings!$B$8:$B$19,0)),"?"))</f>
        <v/>
      </c>
      <c r="K1956" s="35" t="str">
        <f aca="false">IF(A1956="","",DATE(YEAR(A1956),MONTH(A1956),1))</f>
        <v/>
      </c>
      <c r="L1956" s="28" t="str">
        <f aca="false">IF(E1956="","",IFERROR(INDEX(Settings!$K$8:$K$38,MATCH(E1956,Settings!$H$8:$H$38,0))&amp;"",""))</f>
        <v/>
      </c>
    </row>
    <row r="1957" customFormat="false" ht="15" hidden="false" customHeight="false" outlineLevel="0" collapsed="false">
      <c r="A1957" s="33"/>
      <c r="B1957" s="27"/>
      <c r="C1957" s="27"/>
      <c r="D1957" s="27"/>
      <c r="E1957" s="27"/>
      <c r="F1957" s="34"/>
      <c r="G1957" s="27"/>
      <c r="H1957" s="27"/>
      <c r="I1957" s="28" t="str">
        <f aca="false">IF(C1957="","",IFERROR(INDEX(Settings!$C$8:$C$19,MATCH(C1957,Settings!$B$8:$B$19,0)),"?"))</f>
        <v/>
      </c>
      <c r="J1957" s="28" t="str">
        <f aca="false">IF(G1957="","",IFERROR(INDEX(Settings!$C$8:$C$19,MATCH(G1957,Settings!$B$8:$B$19,0)),"?"))</f>
        <v/>
      </c>
      <c r="K1957" s="35" t="str">
        <f aca="false">IF(A1957="","",DATE(YEAR(A1957),MONTH(A1957),1))</f>
        <v/>
      </c>
      <c r="L1957" s="28" t="str">
        <f aca="false">IF(E1957="","",IFERROR(INDEX(Settings!$K$8:$K$38,MATCH(E1957,Settings!$H$8:$H$38,0))&amp;"",""))</f>
        <v/>
      </c>
    </row>
    <row r="1958" customFormat="false" ht="15" hidden="false" customHeight="false" outlineLevel="0" collapsed="false">
      <c r="A1958" s="33"/>
      <c r="B1958" s="27"/>
      <c r="C1958" s="27"/>
      <c r="D1958" s="27"/>
      <c r="E1958" s="27"/>
      <c r="F1958" s="34"/>
      <c r="G1958" s="27"/>
      <c r="H1958" s="27"/>
      <c r="I1958" s="28" t="str">
        <f aca="false">IF(C1958="","",IFERROR(INDEX(Settings!$C$8:$C$19,MATCH(C1958,Settings!$B$8:$B$19,0)),"?"))</f>
        <v/>
      </c>
      <c r="J1958" s="28" t="str">
        <f aca="false">IF(G1958="","",IFERROR(INDEX(Settings!$C$8:$C$19,MATCH(G1958,Settings!$B$8:$B$19,0)),"?"))</f>
        <v/>
      </c>
      <c r="K1958" s="35" t="str">
        <f aca="false">IF(A1958="","",DATE(YEAR(A1958),MONTH(A1958),1))</f>
        <v/>
      </c>
      <c r="L1958" s="28" t="str">
        <f aca="false">IF(E1958="","",IFERROR(INDEX(Settings!$K$8:$K$38,MATCH(E1958,Settings!$H$8:$H$38,0))&amp;"",""))</f>
        <v/>
      </c>
    </row>
    <row r="1959" customFormat="false" ht="15" hidden="false" customHeight="false" outlineLevel="0" collapsed="false">
      <c r="A1959" s="33"/>
      <c r="B1959" s="27"/>
      <c r="C1959" s="27"/>
      <c r="D1959" s="27"/>
      <c r="E1959" s="27"/>
      <c r="F1959" s="34"/>
      <c r="G1959" s="27"/>
      <c r="H1959" s="27"/>
      <c r="I1959" s="28" t="str">
        <f aca="false">IF(C1959="","",IFERROR(INDEX(Settings!$C$8:$C$19,MATCH(C1959,Settings!$B$8:$B$19,0)),"?"))</f>
        <v/>
      </c>
      <c r="J1959" s="28" t="str">
        <f aca="false">IF(G1959="","",IFERROR(INDEX(Settings!$C$8:$C$19,MATCH(G1959,Settings!$B$8:$B$19,0)),"?"))</f>
        <v/>
      </c>
      <c r="K1959" s="35" t="str">
        <f aca="false">IF(A1959="","",DATE(YEAR(A1959),MONTH(A1959),1))</f>
        <v/>
      </c>
      <c r="L1959" s="28" t="str">
        <f aca="false">IF(E1959="","",IFERROR(INDEX(Settings!$K$8:$K$38,MATCH(E1959,Settings!$H$8:$H$38,0))&amp;"",""))</f>
        <v/>
      </c>
    </row>
    <row r="1960" customFormat="false" ht="15" hidden="false" customHeight="false" outlineLevel="0" collapsed="false">
      <c r="A1960" s="33"/>
      <c r="B1960" s="27"/>
      <c r="C1960" s="27"/>
      <c r="D1960" s="27"/>
      <c r="E1960" s="27"/>
      <c r="F1960" s="34"/>
      <c r="G1960" s="27"/>
      <c r="H1960" s="27"/>
      <c r="I1960" s="28" t="str">
        <f aca="false">IF(C1960="","",IFERROR(INDEX(Settings!$C$8:$C$19,MATCH(C1960,Settings!$B$8:$B$19,0)),"?"))</f>
        <v/>
      </c>
      <c r="J1960" s="28" t="str">
        <f aca="false">IF(G1960="","",IFERROR(INDEX(Settings!$C$8:$C$19,MATCH(G1960,Settings!$B$8:$B$19,0)),"?"))</f>
        <v/>
      </c>
      <c r="K1960" s="35" t="str">
        <f aca="false">IF(A1960="","",DATE(YEAR(A1960),MONTH(A1960),1))</f>
        <v/>
      </c>
      <c r="L1960" s="28" t="str">
        <f aca="false">IF(E1960="","",IFERROR(INDEX(Settings!$K$8:$K$38,MATCH(E1960,Settings!$H$8:$H$38,0))&amp;"",""))</f>
        <v/>
      </c>
    </row>
    <row r="1961" customFormat="false" ht="15" hidden="false" customHeight="false" outlineLevel="0" collapsed="false">
      <c r="A1961" s="33"/>
      <c r="B1961" s="27"/>
      <c r="C1961" s="27"/>
      <c r="D1961" s="27"/>
      <c r="E1961" s="27"/>
      <c r="F1961" s="34"/>
      <c r="G1961" s="27"/>
      <c r="H1961" s="27"/>
      <c r="I1961" s="28" t="str">
        <f aca="false">IF(C1961="","",IFERROR(INDEX(Settings!$C$8:$C$19,MATCH(C1961,Settings!$B$8:$B$19,0)),"?"))</f>
        <v/>
      </c>
      <c r="J1961" s="28" t="str">
        <f aca="false">IF(G1961="","",IFERROR(INDEX(Settings!$C$8:$C$19,MATCH(G1961,Settings!$B$8:$B$19,0)),"?"))</f>
        <v/>
      </c>
      <c r="K1961" s="35" t="str">
        <f aca="false">IF(A1961="","",DATE(YEAR(A1961),MONTH(A1961),1))</f>
        <v/>
      </c>
      <c r="L1961" s="28" t="str">
        <f aca="false">IF(E1961="","",IFERROR(INDEX(Settings!$K$8:$K$38,MATCH(E1961,Settings!$H$8:$H$38,0))&amp;"",""))</f>
        <v/>
      </c>
    </row>
    <row r="1962" customFormat="false" ht="15" hidden="false" customHeight="false" outlineLevel="0" collapsed="false">
      <c r="A1962" s="33"/>
      <c r="B1962" s="27"/>
      <c r="C1962" s="27"/>
      <c r="D1962" s="27"/>
      <c r="E1962" s="27"/>
      <c r="F1962" s="34"/>
      <c r="G1962" s="27"/>
      <c r="H1962" s="27"/>
      <c r="I1962" s="28" t="str">
        <f aca="false">IF(C1962="","",IFERROR(INDEX(Settings!$C$8:$C$19,MATCH(C1962,Settings!$B$8:$B$19,0)),"?"))</f>
        <v/>
      </c>
      <c r="J1962" s="28" t="str">
        <f aca="false">IF(G1962="","",IFERROR(INDEX(Settings!$C$8:$C$19,MATCH(G1962,Settings!$B$8:$B$19,0)),"?"))</f>
        <v/>
      </c>
      <c r="K1962" s="35" t="str">
        <f aca="false">IF(A1962="","",DATE(YEAR(A1962),MONTH(A1962),1))</f>
        <v/>
      </c>
      <c r="L1962" s="28" t="str">
        <f aca="false">IF(E1962="","",IFERROR(INDEX(Settings!$K$8:$K$38,MATCH(E1962,Settings!$H$8:$H$38,0))&amp;"",""))</f>
        <v/>
      </c>
    </row>
    <row r="1963" customFormat="false" ht="15" hidden="false" customHeight="false" outlineLevel="0" collapsed="false">
      <c r="A1963" s="33"/>
      <c r="B1963" s="27"/>
      <c r="C1963" s="27"/>
      <c r="D1963" s="27"/>
      <c r="E1963" s="27"/>
      <c r="F1963" s="34"/>
      <c r="G1963" s="27"/>
      <c r="H1963" s="27"/>
      <c r="I1963" s="28" t="str">
        <f aca="false">IF(C1963="","",IFERROR(INDEX(Settings!$C$8:$C$19,MATCH(C1963,Settings!$B$8:$B$19,0)),"?"))</f>
        <v/>
      </c>
      <c r="J1963" s="28" t="str">
        <f aca="false">IF(G1963="","",IFERROR(INDEX(Settings!$C$8:$C$19,MATCH(G1963,Settings!$B$8:$B$19,0)),"?"))</f>
        <v/>
      </c>
      <c r="K1963" s="35" t="str">
        <f aca="false">IF(A1963="","",DATE(YEAR(A1963),MONTH(A1963),1))</f>
        <v/>
      </c>
      <c r="L1963" s="28" t="str">
        <f aca="false">IF(E1963="","",IFERROR(INDEX(Settings!$K$8:$K$38,MATCH(E1963,Settings!$H$8:$H$38,0))&amp;"",""))</f>
        <v/>
      </c>
    </row>
    <row r="1964" customFormat="false" ht="15" hidden="false" customHeight="false" outlineLevel="0" collapsed="false">
      <c r="A1964" s="33"/>
      <c r="B1964" s="27"/>
      <c r="C1964" s="27"/>
      <c r="D1964" s="27"/>
      <c r="E1964" s="27"/>
      <c r="F1964" s="34"/>
      <c r="G1964" s="27"/>
      <c r="H1964" s="27"/>
      <c r="I1964" s="28" t="str">
        <f aca="false">IF(C1964="","",IFERROR(INDEX(Settings!$C$8:$C$19,MATCH(C1964,Settings!$B$8:$B$19,0)),"?"))</f>
        <v/>
      </c>
      <c r="J1964" s="28" t="str">
        <f aca="false">IF(G1964="","",IFERROR(INDEX(Settings!$C$8:$C$19,MATCH(G1964,Settings!$B$8:$B$19,0)),"?"))</f>
        <v/>
      </c>
      <c r="K1964" s="35" t="str">
        <f aca="false">IF(A1964="","",DATE(YEAR(A1964),MONTH(A1964),1))</f>
        <v/>
      </c>
      <c r="L1964" s="28" t="str">
        <f aca="false">IF(E1964="","",IFERROR(INDEX(Settings!$K$8:$K$38,MATCH(E1964,Settings!$H$8:$H$38,0))&amp;"",""))</f>
        <v/>
      </c>
    </row>
    <row r="1965" customFormat="false" ht="15" hidden="false" customHeight="false" outlineLevel="0" collapsed="false">
      <c r="A1965" s="33"/>
      <c r="B1965" s="27"/>
      <c r="C1965" s="27"/>
      <c r="D1965" s="27"/>
      <c r="E1965" s="27"/>
      <c r="F1965" s="34"/>
      <c r="G1965" s="27"/>
      <c r="H1965" s="27"/>
      <c r="I1965" s="28" t="str">
        <f aca="false">IF(C1965="","",IFERROR(INDEX(Settings!$C$8:$C$19,MATCH(C1965,Settings!$B$8:$B$19,0)),"?"))</f>
        <v/>
      </c>
      <c r="J1965" s="28" t="str">
        <f aca="false">IF(G1965="","",IFERROR(INDEX(Settings!$C$8:$C$19,MATCH(G1965,Settings!$B$8:$B$19,0)),"?"))</f>
        <v/>
      </c>
      <c r="K1965" s="35" t="str">
        <f aca="false">IF(A1965="","",DATE(YEAR(A1965),MONTH(A1965),1))</f>
        <v/>
      </c>
      <c r="L1965" s="28" t="str">
        <f aca="false">IF(E1965="","",IFERROR(INDEX(Settings!$K$8:$K$38,MATCH(E1965,Settings!$H$8:$H$38,0))&amp;"",""))</f>
        <v/>
      </c>
    </row>
    <row r="1966" customFormat="false" ht="15" hidden="false" customHeight="false" outlineLevel="0" collapsed="false">
      <c r="A1966" s="33"/>
      <c r="B1966" s="27"/>
      <c r="C1966" s="27"/>
      <c r="D1966" s="27"/>
      <c r="E1966" s="27"/>
      <c r="F1966" s="34"/>
      <c r="G1966" s="27"/>
      <c r="H1966" s="27"/>
      <c r="I1966" s="28" t="str">
        <f aca="false">IF(C1966="","",IFERROR(INDEX(Settings!$C$8:$C$19,MATCH(C1966,Settings!$B$8:$B$19,0)),"?"))</f>
        <v/>
      </c>
      <c r="J1966" s="28" t="str">
        <f aca="false">IF(G1966="","",IFERROR(INDEX(Settings!$C$8:$C$19,MATCH(G1966,Settings!$B$8:$B$19,0)),"?"))</f>
        <v/>
      </c>
      <c r="K1966" s="35" t="str">
        <f aca="false">IF(A1966="","",DATE(YEAR(A1966),MONTH(A1966),1))</f>
        <v/>
      </c>
      <c r="L1966" s="28" t="str">
        <f aca="false">IF(E1966="","",IFERROR(INDEX(Settings!$K$8:$K$38,MATCH(E1966,Settings!$H$8:$H$38,0))&amp;"",""))</f>
        <v/>
      </c>
    </row>
    <row r="1967" customFormat="false" ht="15" hidden="false" customHeight="false" outlineLevel="0" collapsed="false">
      <c r="A1967" s="33"/>
      <c r="B1967" s="27"/>
      <c r="C1967" s="27"/>
      <c r="D1967" s="27"/>
      <c r="E1967" s="27"/>
      <c r="F1967" s="34"/>
      <c r="G1967" s="27"/>
      <c r="H1967" s="27"/>
      <c r="I1967" s="28" t="str">
        <f aca="false">IF(C1967="","",IFERROR(INDEX(Settings!$C$8:$C$19,MATCH(C1967,Settings!$B$8:$B$19,0)),"?"))</f>
        <v/>
      </c>
      <c r="J1967" s="28" t="str">
        <f aca="false">IF(G1967="","",IFERROR(INDEX(Settings!$C$8:$C$19,MATCH(G1967,Settings!$B$8:$B$19,0)),"?"))</f>
        <v/>
      </c>
      <c r="K1967" s="35" t="str">
        <f aca="false">IF(A1967="","",DATE(YEAR(A1967),MONTH(A1967),1))</f>
        <v/>
      </c>
      <c r="L1967" s="28" t="str">
        <f aca="false">IF(E1967="","",IFERROR(INDEX(Settings!$K$8:$K$38,MATCH(E1967,Settings!$H$8:$H$38,0))&amp;"",""))</f>
        <v/>
      </c>
    </row>
    <row r="1968" customFormat="false" ht="15" hidden="false" customHeight="false" outlineLevel="0" collapsed="false">
      <c r="A1968" s="33"/>
      <c r="B1968" s="27"/>
      <c r="C1968" s="27"/>
      <c r="D1968" s="27"/>
      <c r="E1968" s="27"/>
      <c r="F1968" s="34"/>
      <c r="G1968" s="27"/>
      <c r="H1968" s="27"/>
      <c r="I1968" s="28" t="str">
        <f aca="false">IF(C1968="","",IFERROR(INDEX(Settings!$C$8:$C$19,MATCH(C1968,Settings!$B$8:$B$19,0)),"?"))</f>
        <v/>
      </c>
      <c r="J1968" s="28" t="str">
        <f aca="false">IF(G1968="","",IFERROR(INDEX(Settings!$C$8:$C$19,MATCH(G1968,Settings!$B$8:$B$19,0)),"?"))</f>
        <v/>
      </c>
      <c r="K1968" s="35" t="str">
        <f aca="false">IF(A1968="","",DATE(YEAR(A1968),MONTH(A1968),1))</f>
        <v/>
      </c>
      <c r="L1968" s="28" t="str">
        <f aca="false">IF(E1968="","",IFERROR(INDEX(Settings!$K$8:$K$38,MATCH(E1968,Settings!$H$8:$H$38,0))&amp;"",""))</f>
        <v/>
      </c>
    </row>
    <row r="1969" customFormat="false" ht="15" hidden="false" customHeight="false" outlineLevel="0" collapsed="false">
      <c r="A1969" s="33"/>
      <c r="B1969" s="27"/>
      <c r="C1969" s="27"/>
      <c r="D1969" s="27"/>
      <c r="E1969" s="27"/>
      <c r="F1969" s="34"/>
      <c r="G1969" s="27"/>
      <c r="H1969" s="27"/>
      <c r="I1969" s="28" t="str">
        <f aca="false">IF(C1969="","",IFERROR(INDEX(Settings!$C$8:$C$19,MATCH(C1969,Settings!$B$8:$B$19,0)),"?"))</f>
        <v/>
      </c>
      <c r="J1969" s="28" t="str">
        <f aca="false">IF(G1969="","",IFERROR(INDEX(Settings!$C$8:$C$19,MATCH(G1969,Settings!$B$8:$B$19,0)),"?"))</f>
        <v/>
      </c>
      <c r="K1969" s="35" t="str">
        <f aca="false">IF(A1969="","",DATE(YEAR(A1969),MONTH(A1969),1))</f>
        <v/>
      </c>
      <c r="L1969" s="28" t="str">
        <f aca="false">IF(E1969="","",IFERROR(INDEX(Settings!$K$8:$K$38,MATCH(E1969,Settings!$H$8:$H$38,0))&amp;"",""))</f>
        <v/>
      </c>
    </row>
    <row r="1970" customFormat="false" ht="15" hidden="false" customHeight="false" outlineLevel="0" collapsed="false">
      <c r="A1970" s="33"/>
      <c r="B1970" s="27"/>
      <c r="C1970" s="27"/>
      <c r="D1970" s="27"/>
      <c r="E1970" s="27"/>
      <c r="F1970" s="34"/>
      <c r="G1970" s="27"/>
      <c r="H1970" s="27"/>
      <c r="I1970" s="28" t="str">
        <f aca="false">IF(C1970="","",IFERROR(INDEX(Settings!$C$8:$C$19,MATCH(C1970,Settings!$B$8:$B$19,0)),"?"))</f>
        <v/>
      </c>
      <c r="J1970" s="28" t="str">
        <f aca="false">IF(G1970="","",IFERROR(INDEX(Settings!$C$8:$C$19,MATCH(G1970,Settings!$B$8:$B$19,0)),"?"))</f>
        <v/>
      </c>
      <c r="K1970" s="35" t="str">
        <f aca="false">IF(A1970="","",DATE(YEAR(A1970),MONTH(A1970),1))</f>
        <v/>
      </c>
      <c r="L1970" s="28" t="str">
        <f aca="false">IF(E1970="","",IFERROR(INDEX(Settings!$K$8:$K$38,MATCH(E1970,Settings!$H$8:$H$38,0))&amp;"",""))</f>
        <v/>
      </c>
    </row>
    <row r="1971" customFormat="false" ht="15" hidden="false" customHeight="false" outlineLevel="0" collapsed="false">
      <c r="A1971" s="33"/>
      <c r="B1971" s="27"/>
      <c r="C1971" s="27"/>
      <c r="D1971" s="27"/>
      <c r="E1971" s="27"/>
      <c r="F1971" s="34"/>
      <c r="G1971" s="27"/>
      <c r="H1971" s="27"/>
      <c r="I1971" s="28" t="str">
        <f aca="false">IF(C1971="","",IFERROR(INDEX(Settings!$C$8:$C$19,MATCH(C1971,Settings!$B$8:$B$19,0)),"?"))</f>
        <v/>
      </c>
      <c r="J1971" s="28" t="str">
        <f aca="false">IF(G1971="","",IFERROR(INDEX(Settings!$C$8:$C$19,MATCH(G1971,Settings!$B$8:$B$19,0)),"?"))</f>
        <v/>
      </c>
      <c r="K1971" s="35" t="str">
        <f aca="false">IF(A1971="","",DATE(YEAR(A1971),MONTH(A1971),1))</f>
        <v/>
      </c>
      <c r="L1971" s="28" t="str">
        <f aca="false">IF(E1971="","",IFERROR(INDEX(Settings!$K$8:$K$38,MATCH(E1971,Settings!$H$8:$H$38,0))&amp;"",""))</f>
        <v/>
      </c>
    </row>
    <row r="1972" customFormat="false" ht="15" hidden="false" customHeight="false" outlineLevel="0" collapsed="false">
      <c r="A1972" s="33"/>
      <c r="B1972" s="27"/>
      <c r="C1972" s="27"/>
      <c r="D1972" s="27"/>
      <c r="E1972" s="27"/>
      <c r="F1972" s="34"/>
      <c r="G1972" s="27"/>
      <c r="H1972" s="27"/>
      <c r="I1972" s="28" t="str">
        <f aca="false">IF(C1972="","",IFERROR(INDEX(Settings!$C$8:$C$19,MATCH(C1972,Settings!$B$8:$B$19,0)),"?"))</f>
        <v/>
      </c>
      <c r="J1972" s="28" t="str">
        <f aca="false">IF(G1972="","",IFERROR(INDEX(Settings!$C$8:$C$19,MATCH(G1972,Settings!$B$8:$B$19,0)),"?"))</f>
        <v/>
      </c>
      <c r="K1972" s="35" t="str">
        <f aca="false">IF(A1972="","",DATE(YEAR(A1972),MONTH(A1972),1))</f>
        <v/>
      </c>
      <c r="L1972" s="28" t="str">
        <f aca="false">IF(E1972="","",IFERROR(INDEX(Settings!$K$8:$K$38,MATCH(E1972,Settings!$H$8:$H$38,0))&amp;"",""))</f>
        <v/>
      </c>
    </row>
    <row r="1973" customFormat="false" ht="15" hidden="false" customHeight="false" outlineLevel="0" collapsed="false">
      <c r="A1973" s="33"/>
      <c r="B1973" s="27"/>
      <c r="C1973" s="27"/>
      <c r="D1973" s="27"/>
      <c r="E1973" s="27"/>
      <c r="F1973" s="34"/>
      <c r="G1973" s="27"/>
      <c r="H1973" s="27"/>
      <c r="I1973" s="28" t="str">
        <f aca="false">IF(C1973="","",IFERROR(INDEX(Settings!$C$8:$C$19,MATCH(C1973,Settings!$B$8:$B$19,0)),"?"))</f>
        <v/>
      </c>
      <c r="J1973" s="28" t="str">
        <f aca="false">IF(G1973="","",IFERROR(INDEX(Settings!$C$8:$C$19,MATCH(G1973,Settings!$B$8:$B$19,0)),"?"))</f>
        <v/>
      </c>
      <c r="K1973" s="35" t="str">
        <f aca="false">IF(A1973="","",DATE(YEAR(A1973),MONTH(A1973),1))</f>
        <v/>
      </c>
      <c r="L1973" s="28" t="str">
        <f aca="false">IF(E1973="","",IFERROR(INDEX(Settings!$K$8:$K$38,MATCH(E1973,Settings!$H$8:$H$38,0))&amp;"",""))</f>
        <v/>
      </c>
    </row>
    <row r="1974" customFormat="false" ht="15" hidden="false" customHeight="false" outlineLevel="0" collapsed="false">
      <c r="A1974" s="33"/>
      <c r="B1974" s="27"/>
      <c r="C1974" s="27"/>
      <c r="D1974" s="27"/>
      <c r="E1974" s="27"/>
      <c r="F1974" s="34"/>
      <c r="G1974" s="27"/>
      <c r="H1974" s="27"/>
      <c r="I1974" s="28" t="str">
        <f aca="false">IF(C1974="","",IFERROR(INDEX(Settings!$C$8:$C$19,MATCH(C1974,Settings!$B$8:$B$19,0)),"?"))</f>
        <v/>
      </c>
      <c r="J1974" s="28" t="str">
        <f aca="false">IF(G1974="","",IFERROR(INDEX(Settings!$C$8:$C$19,MATCH(G1974,Settings!$B$8:$B$19,0)),"?"))</f>
        <v/>
      </c>
      <c r="K1974" s="35" t="str">
        <f aca="false">IF(A1974="","",DATE(YEAR(A1974),MONTH(A1974),1))</f>
        <v/>
      </c>
      <c r="L1974" s="28" t="str">
        <f aca="false">IF(E1974="","",IFERROR(INDEX(Settings!$K$8:$K$38,MATCH(E1974,Settings!$H$8:$H$38,0))&amp;"",""))</f>
        <v/>
      </c>
    </row>
    <row r="1975" customFormat="false" ht="15" hidden="false" customHeight="false" outlineLevel="0" collapsed="false">
      <c r="A1975" s="33"/>
      <c r="B1975" s="27"/>
      <c r="C1975" s="27"/>
      <c r="D1975" s="27"/>
      <c r="E1975" s="27"/>
      <c r="F1975" s="34"/>
      <c r="G1975" s="27"/>
      <c r="H1975" s="27"/>
      <c r="I1975" s="28" t="str">
        <f aca="false">IF(C1975="","",IFERROR(INDEX(Settings!$C$8:$C$19,MATCH(C1975,Settings!$B$8:$B$19,0)),"?"))</f>
        <v/>
      </c>
      <c r="J1975" s="28" t="str">
        <f aca="false">IF(G1975="","",IFERROR(INDEX(Settings!$C$8:$C$19,MATCH(G1975,Settings!$B$8:$B$19,0)),"?"))</f>
        <v/>
      </c>
      <c r="K1975" s="35" t="str">
        <f aca="false">IF(A1975="","",DATE(YEAR(A1975),MONTH(A1975),1))</f>
        <v/>
      </c>
      <c r="L1975" s="28" t="str">
        <f aca="false">IF(E1975="","",IFERROR(INDEX(Settings!$K$8:$K$38,MATCH(E1975,Settings!$H$8:$H$38,0))&amp;"",""))</f>
        <v/>
      </c>
    </row>
    <row r="1976" customFormat="false" ht="15" hidden="false" customHeight="false" outlineLevel="0" collapsed="false">
      <c r="A1976" s="33"/>
      <c r="B1976" s="27"/>
      <c r="C1976" s="27"/>
      <c r="D1976" s="27"/>
      <c r="E1976" s="27"/>
      <c r="F1976" s="34"/>
      <c r="G1976" s="27"/>
      <c r="H1976" s="27"/>
      <c r="I1976" s="28" t="str">
        <f aca="false">IF(C1976="","",IFERROR(INDEX(Settings!$C$8:$C$19,MATCH(C1976,Settings!$B$8:$B$19,0)),"?"))</f>
        <v/>
      </c>
      <c r="J1976" s="28" t="str">
        <f aca="false">IF(G1976="","",IFERROR(INDEX(Settings!$C$8:$C$19,MATCH(G1976,Settings!$B$8:$B$19,0)),"?"))</f>
        <v/>
      </c>
      <c r="K1976" s="35" t="str">
        <f aca="false">IF(A1976="","",DATE(YEAR(A1976),MONTH(A1976),1))</f>
        <v/>
      </c>
      <c r="L1976" s="28" t="str">
        <f aca="false">IF(E1976="","",IFERROR(INDEX(Settings!$K$8:$K$38,MATCH(E1976,Settings!$H$8:$H$38,0))&amp;"",""))</f>
        <v/>
      </c>
    </row>
    <row r="1977" customFormat="false" ht="15" hidden="false" customHeight="false" outlineLevel="0" collapsed="false">
      <c r="A1977" s="33"/>
      <c r="B1977" s="27"/>
      <c r="C1977" s="27"/>
      <c r="D1977" s="27"/>
      <c r="E1977" s="27"/>
      <c r="F1977" s="34"/>
      <c r="G1977" s="27"/>
      <c r="H1977" s="27"/>
      <c r="I1977" s="28" t="str">
        <f aca="false">IF(C1977="","",IFERROR(INDEX(Settings!$C$8:$C$19,MATCH(C1977,Settings!$B$8:$B$19,0)),"?"))</f>
        <v/>
      </c>
      <c r="J1977" s="28" t="str">
        <f aca="false">IF(G1977="","",IFERROR(INDEX(Settings!$C$8:$C$19,MATCH(G1977,Settings!$B$8:$B$19,0)),"?"))</f>
        <v/>
      </c>
      <c r="K1977" s="35" t="str">
        <f aca="false">IF(A1977="","",DATE(YEAR(A1977),MONTH(A1977),1))</f>
        <v/>
      </c>
      <c r="L1977" s="28" t="str">
        <f aca="false">IF(E1977="","",IFERROR(INDEX(Settings!$K$8:$K$38,MATCH(E1977,Settings!$H$8:$H$38,0))&amp;"",""))</f>
        <v/>
      </c>
    </row>
    <row r="1978" customFormat="false" ht="15" hidden="false" customHeight="false" outlineLevel="0" collapsed="false">
      <c r="A1978" s="33"/>
      <c r="B1978" s="27"/>
      <c r="C1978" s="27"/>
      <c r="D1978" s="27"/>
      <c r="E1978" s="27"/>
      <c r="F1978" s="34"/>
      <c r="G1978" s="27"/>
      <c r="H1978" s="27"/>
      <c r="I1978" s="28" t="str">
        <f aca="false">IF(C1978="","",IFERROR(INDEX(Settings!$C$8:$C$19,MATCH(C1978,Settings!$B$8:$B$19,0)),"?"))</f>
        <v/>
      </c>
      <c r="J1978" s="28" t="str">
        <f aca="false">IF(G1978="","",IFERROR(INDEX(Settings!$C$8:$C$19,MATCH(G1978,Settings!$B$8:$B$19,0)),"?"))</f>
        <v/>
      </c>
      <c r="K1978" s="35" t="str">
        <f aca="false">IF(A1978="","",DATE(YEAR(A1978),MONTH(A1978),1))</f>
        <v/>
      </c>
      <c r="L1978" s="28" t="str">
        <f aca="false">IF(E1978="","",IFERROR(INDEX(Settings!$K$8:$K$38,MATCH(E1978,Settings!$H$8:$H$38,0))&amp;"",""))</f>
        <v/>
      </c>
    </row>
    <row r="1979" customFormat="false" ht="15" hidden="false" customHeight="false" outlineLevel="0" collapsed="false">
      <c r="A1979" s="33"/>
      <c r="B1979" s="27"/>
      <c r="C1979" s="27"/>
      <c r="D1979" s="27"/>
      <c r="E1979" s="27"/>
      <c r="F1979" s="34"/>
      <c r="G1979" s="27"/>
      <c r="H1979" s="27"/>
      <c r="I1979" s="28" t="str">
        <f aca="false">IF(C1979="","",IFERROR(INDEX(Settings!$C$8:$C$19,MATCH(C1979,Settings!$B$8:$B$19,0)),"?"))</f>
        <v/>
      </c>
      <c r="J1979" s="28" t="str">
        <f aca="false">IF(G1979="","",IFERROR(INDEX(Settings!$C$8:$C$19,MATCH(G1979,Settings!$B$8:$B$19,0)),"?"))</f>
        <v/>
      </c>
      <c r="K1979" s="35" t="str">
        <f aca="false">IF(A1979="","",DATE(YEAR(A1979),MONTH(A1979),1))</f>
        <v/>
      </c>
      <c r="L1979" s="28" t="str">
        <f aca="false">IF(E1979="","",IFERROR(INDEX(Settings!$K$8:$K$38,MATCH(E1979,Settings!$H$8:$H$38,0))&amp;"",""))</f>
        <v/>
      </c>
    </row>
    <row r="1980" customFormat="false" ht="15" hidden="false" customHeight="false" outlineLevel="0" collapsed="false">
      <c r="A1980" s="33"/>
      <c r="B1980" s="27"/>
      <c r="C1980" s="27"/>
      <c r="D1980" s="27"/>
      <c r="E1980" s="27"/>
      <c r="F1980" s="34"/>
      <c r="G1980" s="27"/>
      <c r="H1980" s="27"/>
      <c r="I1980" s="28" t="str">
        <f aca="false">IF(C1980="","",IFERROR(INDEX(Settings!$C$8:$C$19,MATCH(C1980,Settings!$B$8:$B$19,0)),"?"))</f>
        <v/>
      </c>
      <c r="J1980" s="28" t="str">
        <f aca="false">IF(G1980="","",IFERROR(INDEX(Settings!$C$8:$C$19,MATCH(G1980,Settings!$B$8:$B$19,0)),"?"))</f>
        <v/>
      </c>
      <c r="K1980" s="35" t="str">
        <f aca="false">IF(A1980="","",DATE(YEAR(A1980),MONTH(A1980),1))</f>
        <v/>
      </c>
      <c r="L1980" s="28" t="str">
        <f aca="false">IF(E1980="","",IFERROR(INDEX(Settings!$K$8:$K$38,MATCH(E1980,Settings!$H$8:$H$38,0))&amp;"",""))</f>
        <v/>
      </c>
    </row>
    <row r="1981" customFormat="false" ht="15" hidden="false" customHeight="false" outlineLevel="0" collapsed="false">
      <c r="A1981" s="33"/>
      <c r="B1981" s="27"/>
      <c r="C1981" s="27"/>
      <c r="D1981" s="27"/>
      <c r="E1981" s="27"/>
      <c r="F1981" s="34"/>
      <c r="G1981" s="27"/>
      <c r="H1981" s="27"/>
      <c r="I1981" s="28" t="str">
        <f aca="false">IF(C1981="","",IFERROR(INDEX(Settings!$C$8:$C$19,MATCH(C1981,Settings!$B$8:$B$19,0)),"?"))</f>
        <v/>
      </c>
      <c r="J1981" s="28" t="str">
        <f aca="false">IF(G1981="","",IFERROR(INDEX(Settings!$C$8:$C$19,MATCH(G1981,Settings!$B$8:$B$19,0)),"?"))</f>
        <v/>
      </c>
      <c r="K1981" s="35" t="str">
        <f aca="false">IF(A1981="","",DATE(YEAR(A1981),MONTH(A1981),1))</f>
        <v/>
      </c>
      <c r="L1981" s="28" t="str">
        <f aca="false">IF(E1981="","",IFERROR(INDEX(Settings!$K$8:$K$38,MATCH(E1981,Settings!$H$8:$H$38,0))&amp;"",""))</f>
        <v/>
      </c>
    </row>
    <row r="1982" customFormat="false" ht="15" hidden="false" customHeight="false" outlineLevel="0" collapsed="false">
      <c r="A1982" s="33"/>
      <c r="B1982" s="27"/>
      <c r="C1982" s="27"/>
      <c r="D1982" s="27"/>
      <c r="E1982" s="27"/>
      <c r="F1982" s="34"/>
      <c r="G1982" s="27"/>
      <c r="H1982" s="27"/>
      <c r="I1982" s="28" t="str">
        <f aca="false">IF(C1982="","",IFERROR(INDEX(Settings!$C$8:$C$19,MATCH(C1982,Settings!$B$8:$B$19,0)),"?"))</f>
        <v/>
      </c>
      <c r="J1982" s="28" t="str">
        <f aca="false">IF(G1982="","",IFERROR(INDEX(Settings!$C$8:$C$19,MATCH(G1982,Settings!$B$8:$B$19,0)),"?"))</f>
        <v/>
      </c>
      <c r="K1982" s="35" t="str">
        <f aca="false">IF(A1982="","",DATE(YEAR(A1982),MONTH(A1982),1))</f>
        <v/>
      </c>
      <c r="L1982" s="28" t="str">
        <f aca="false">IF(E1982="","",IFERROR(INDEX(Settings!$K$8:$K$38,MATCH(E1982,Settings!$H$8:$H$38,0))&amp;"",""))</f>
        <v/>
      </c>
    </row>
    <row r="1983" customFormat="false" ht="15" hidden="false" customHeight="false" outlineLevel="0" collapsed="false">
      <c r="A1983" s="33"/>
      <c r="B1983" s="27"/>
      <c r="C1983" s="27"/>
      <c r="D1983" s="27"/>
      <c r="E1983" s="27"/>
      <c r="F1983" s="34"/>
      <c r="G1983" s="27"/>
      <c r="H1983" s="27"/>
      <c r="I1983" s="28" t="str">
        <f aca="false">IF(C1983="","",IFERROR(INDEX(Settings!$C$8:$C$19,MATCH(C1983,Settings!$B$8:$B$19,0)),"?"))</f>
        <v/>
      </c>
      <c r="J1983" s="28" t="str">
        <f aca="false">IF(G1983="","",IFERROR(INDEX(Settings!$C$8:$C$19,MATCH(G1983,Settings!$B$8:$B$19,0)),"?"))</f>
        <v/>
      </c>
      <c r="K1983" s="35" t="str">
        <f aca="false">IF(A1983="","",DATE(YEAR(A1983),MONTH(A1983),1))</f>
        <v/>
      </c>
      <c r="L1983" s="28" t="str">
        <f aca="false">IF(E1983="","",IFERROR(INDEX(Settings!$K$8:$K$38,MATCH(E1983,Settings!$H$8:$H$38,0))&amp;"",""))</f>
        <v/>
      </c>
    </row>
    <row r="1984" customFormat="false" ht="15" hidden="false" customHeight="false" outlineLevel="0" collapsed="false">
      <c r="A1984" s="33"/>
      <c r="B1984" s="27"/>
      <c r="C1984" s="27"/>
      <c r="D1984" s="27"/>
      <c r="E1984" s="27"/>
      <c r="F1984" s="34"/>
      <c r="G1984" s="27"/>
      <c r="H1984" s="27"/>
      <c r="I1984" s="28" t="str">
        <f aca="false">IF(C1984="","",IFERROR(INDEX(Settings!$C$8:$C$19,MATCH(C1984,Settings!$B$8:$B$19,0)),"?"))</f>
        <v/>
      </c>
      <c r="J1984" s="28" t="str">
        <f aca="false">IF(G1984="","",IFERROR(INDEX(Settings!$C$8:$C$19,MATCH(G1984,Settings!$B$8:$B$19,0)),"?"))</f>
        <v/>
      </c>
      <c r="K1984" s="35" t="str">
        <f aca="false">IF(A1984="","",DATE(YEAR(A1984),MONTH(A1984),1))</f>
        <v/>
      </c>
      <c r="L1984" s="28" t="str">
        <f aca="false">IF(E1984="","",IFERROR(INDEX(Settings!$K$8:$K$38,MATCH(E1984,Settings!$H$8:$H$38,0))&amp;"",""))</f>
        <v/>
      </c>
    </row>
    <row r="1985" customFormat="false" ht="15" hidden="false" customHeight="false" outlineLevel="0" collapsed="false">
      <c r="A1985" s="33"/>
      <c r="B1985" s="27"/>
      <c r="C1985" s="27"/>
      <c r="D1985" s="27"/>
      <c r="E1985" s="27"/>
      <c r="F1985" s="34"/>
      <c r="G1985" s="27"/>
      <c r="H1985" s="27"/>
      <c r="I1985" s="28" t="str">
        <f aca="false">IF(C1985="","",IFERROR(INDEX(Settings!$C$8:$C$19,MATCH(C1985,Settings!$B$8:$B$19,0)),"?"))</f>
        <v/>
      </c>
      <c r="J1985" s="28" t="str">
        <f aca="false">IF(G1985="","",IFERROR(INDEX(Settings!$C$8:$C$19,MATCH(G1985,Settings!$B$8:$B$19,0)),"?"))</f>
        <v/>
      </c>
      <c r="K1985" s="35" t="str">
        <f aca="false">IF(A1985="","",DATE(YEAR(A1985),MONTH(A1985),1))</f>
        <v/>
      </c>
      <c r="L1985" s="28" t="str">
        <f aca="false">IF(E1985="","",IFERROR(INDEX(Settings!$K$8:$K$38,MATCH(E1985,Settings!$H$8:$H$38,0))&amp;"",""))</f>
        <v/>
      </c>
    </row>
    <row r="1986" customFormat="false" ht="15" hidden="false" customHeight="false" outlineLevel="0" collapsed="false">
      <c r="A1986" s="33"/>
      <c r="B1986" s="27"/>
      <c r="C1986" s="27"/>
      <c r="D1986" s="27"/>
      <c r="E1986" s="27"/>
      <c r="F1986" s="34"/>
      <c r="G1986" s="27"/>
      <c r="H1986" s="27"/>
      <c r="I1986" s="28" t="str">
        <f aca="false">IF(C1986="","",IFERROR(INDEX(Settings!$C$8:$C$19,MATCH(C1986,Settings!$B$8:$B$19,0)),"?"))</f>
        <v/>
      </c>
      <c r="J1986" s="28" t="str">
        <f aca="false">IF(G1986="","",IFERROR(INDEX(Settings!$C$8:$C$19,MATCH(G1986,Settings!$B$8:$B$19,0)),"?"))</f>
        <v/>
      </c>
      <c r="K1986" s="35" t="str">
        <f aca="false">IF(A1986="","",DATE(YEAR(A1986),MONTH(A1986),1))</f>
        <v/>
      </c>
      <c r="L1986" s="28" t="str">
        <f aca="false">IF(E1986="","",IFERROR(INDEX(Settings!$K$8:$K$38,MATCH(E1986,Settings!$H$8:$H$38,0))&amp;"",""))</f>
        <v/>
      </c>
    </row>
    <row r="1987" customFormat="false" ht="15" hidden="false" customHeight="false" outlineLevel="0" collapsed="false">
      <c r="A1987" s="33"/>
      <c r="B1987" s="27"/>
      <c r="C1987" s="27"/>
      <c r="D1987" s="27"/>
      <c r="E1987" s="27"/>
      <c r="F1987" s="34"/>
      <c r="G1987" s="27"/>
      <c r="H1987" s="27"/>
      <c r="I1987" s="28" t="str">
        <f aca="false">IF(C1987="","",IFERROR(INDEX(Settings!$C$8:$C$19,MATCH(C1987,Settings!$B$8:$B$19,0)),"?"))</f>
        <v/>
      </c>
      <c r="J1987" s="28" t="str">
        <f aca="false">IF(G1987="","",IFERROR(INDEX(Settings!$C$8:$C$19,MATCH(G1987,Settings!$B$8:$B$19,0)),"?"))</f>
        <v/>
      </c>
      <c r="K1987" s="35" t="str">
        <f aca="false">IF(A1987="","",DATE(YEAR(A1987),MONTH(A1987),1))</f>
        <v/>
      </c>
      <c r="L1987" s="28" t="str">
        <f aca="false">IF(E1987="","",IFERROR(INDEX(Settings!$K$8:$K$38,MATCH(E1987,Settings!$H$8:$H$38,0))&amp;"",""))</f>
        <v/>
      </c>
    </row>
    <row r="1988" customFormat="false" ht="15" hidden="false" customHeight="false" outlineLevel="0" collapsed="false">
      <c r="A1988" s="33"/>
      <c r="B1988" s="27"/>
      <c r="C1988" s="27"/>
      <c r="D1988" s="27"/>
      <c r="E1988" s="27"/>
      <c r="F1988" s="34"/>
      <c r="G1988" s="27"/>
      <c r="H1988" s="27"/>
      <c r="I1988" s="28" t="str">
        <f aca="false">IF(C1988="","",IFERROR(INDEX(Settings!$C$8:$C$19,MATCH(C1988,Settings!$B$8:$B$19,0)),"?"))</f>
        <v/>
      </c>
      <c r="J1988" s="28" t="str">
        <f aca="false">IF(G1988="","",IFERROR(INDEX(Settings!$C$8:$C$19,MATCH(G1988,Settings!$B$8:$B$19,0)),"?"))</f>
        <v/>
      </c>
      <c r="K1988" s="35" t="str">
        <f aca="false">IF(A1988="","",DATE(YEAR(A1988),MONTH(A1988),1))</f>
        <v/>
      </c>
      <c r="L1988" s="28" t="str">
        <f aca="false">IF(E1988="","",IFERROR(INDEX(Settings!$K$8:$K$38,MATCH(E1988,Settings!$H$8:$H$38,0))&amp;"",""))</f>
        <v/>
      </c>
    </row>
    <row r="1989" customFormat="false" ht="15" hidden="false" customHeight="false" outlineLevel="0" collapsed="false">
      <c r="A1989" s="33"/>
      <c r="B1989" s="27"/>
      <c r="C1989" s="27"/>
      <c r="D1989" s="27"/>
      <c r="E1989" s="27"/>
      <c r="F1989" s="34"/>
      <c r="G1989" s="27"/>
      <c r="H1989" s="27"/>
      <c r="I1989" s="28" t="str">
        <f aca="false">IF(C1989="","",IFERROR(INDEX(Settings!$C$8:$C$19,MATCH(C1989,Settings!$B$8:$B$19,0)),"?"))</f>
        <v/>
      </c>
      <c r="J1989" s="28" t="str">
        <f aca="false">IF(G1989="","",IFERROR(INDEX(Settings!$C$8:$C$19,MATCH(G1989,Settings!$B$8:$B$19,0)),"?"))</f>
        <v/>
      </c>
      <c r="K1989" s="35" t="str">
        <f aca="false">IF(A1989="","",DATE(YEAR(A1989),MONTH(A1989),1))</f>
        <v/>
      </c>
      <c r="L1989" s="28" t="str">
        <f aca="false">IF(E1989="","",IFERROR(INDEX(Settings!$K$8:$K$38,MATCH(E1989,Settings!$H$8:$H$38,0))&amp;"",""))</f>
        <v/>
      </c>
    </row>
    <row r="1990" customFormat="false" ht="15" hidden="false" customHeight="false" outlineLevel="0" collapsed="false">
      <c r="A1990" s="33"/>
      <c r="B1990" s="27"/>
      <c r="C1990" s="27"/>
      <c r="D1990" s="27"/>
      <c r="E1990" s="27"/>
      <c r="F1990" s="34"/>
      <c r="G1990" s="27"/>
      <c r="H1990" s="27"/>
      <c r="I1990" s="28" t="str">
        <f aca="false">IF(C1990="","",IFERROR(INDEX(Settings!$C$8:$C$19,MATCH(C1990,Settings!$B$8:$B$19,0)),"?"))</f>
        <v/>
      </c>
      <c r="J1990" s="28" t="str">
        <f aca="false">IF(G1990="","",IFERROR(INDEX(Settings!$C$8:$C$19,MATCH(G1990,Settings!$B$8:$B$19,0)),"?"))</f>
        <v/>
      </c>
      <c r="K1990" s="35" t="str">
        <f aca="false">IF(A1990="","",DATE(YEAR(A1990),MONTH(A1990),1))</f>
        <v/>
      </c>
      <c r="L1990" s="28" t="str">
        <f aca="false">IF(E1990="","",IFERROR(INDEX(Settings!$K$8:$K$38,MATCH(E1990,Settings!$H$8:$H$38,0))&amp;"",""))</f>
        <v/>
      </c>
    </row>
    <row r="1991" customFormat="false" ht="15" hidden="false" customHeight="false" outlineLevel="0" collapsed="false">
      <c r="A1991" s="33"/>
      <c r="B1991" s="27"/>
      <c r="C1991" s="27"/>
      <c r="D1991" s="27"/>
      <c r="E1991" s="27"/>
      <c r="F1991" s="34"/>
      <c r="G1991" s="27"/>
      <c r="H1991" s="27"/>
      <c r="I1991" s="28" t="str">
        <f aca="false">IF(C1991="","",IFERROR(INDEX(Settings!$C$8:$C$19,MATCH(C1991,Settings!$B$8:$B$19,0)),"?"))</f>
        <v/>
      </c>
      <c r="J1991" s="28" t="str">
        <f aca="false">IF(G1991="","",IFERROR(INDEX(Settings!$C$8:$C$19,MATCH(G1991,Settings!$B$8:$B$19,0)),"?"))</f>
        <v/>
      </c>
      <c r="K1991" s="35" t="str">
        <f aca="false">IF(A1991="","",DATE(YEAR(A1991),MONTH(A1991),1))</f>
        <v/>
      </c>
      <c r="L1991" s="28" t="str">
        <f aca="false">IF(E1991="","",IFERROR(INDEX(Settings!$K$8:$K$38,MATCH(E1991,Settings!$H$8:$H$38,0))&amp;"",""))</f>
        <v/>
      </c>
    </row>
    <row r="1992" customFormat="false" ht="15" hidden="false" customHeight="false" outlineLevel="0" collapsed="false">
      <c r="A1992" s="33"/>
      <c r="B1992" s="27"/>
      <c r="C1992" s="27"/>
      <c r="D1992" s="27"/>
      <c r="E1992" s="27"/>
      <c r="F1992" s="34"/>
      <c r="G1992" s="27"/>
      <c r="H1992" s="27"/>
      <c r="I1992" s="28" t="str">
        <f aca="false">IF(C1992="","",IFERROR(INDEX(Settings!$C$8:$C$19,MATCH(C1992,Settings!$B$8:$B$19,0)),"?"))</f>
        <v/>
      </c>
      <c r="J1992" s="28" t="str">
        <f aca="false">IF(G1992="","",IFERROR(INDEX(Settings!$C$8:$C$19,MATCH(G1992,Settings!$B$8:$B$19,0)),"?"))</f>
        <v/>
      </c>
      <c r="K1992" s="35" t="str">
        <f aca="false">IF(A1992="","",DATE(YEAR(A1992),MONTH(A1992),1))</f>
        <v/>
      </c>
      <c r="L1992" s="28" t="str">
        <f aca="false">IF(E1992="","",IFERROR(INDEX(Settings!$K$8:$K$38,MATCH(E1992,Settings!$H$8:$H$38,0))&amp;"",""))</f>
        <v/>
      </c>
    </row>
    <row r="1993" customFormat="false" ht="15" hidden="false" customHeight="false" outlineLevel="0" collapsed="false">
      <c r="A1993" s="33"/>
      <c r="B1993" s="27"/>
      <c r="C1993" s="27"/>
      <c r="D1993" s="27"/>
      <c r="E1993" s="27"/>
      <c r="F1993" s="34"/>
      <c r="G1993" s="27"/>
      <c r="H1993" s="27"/>
      <c r="I1993" s="28" t="str">
        <f aca="false">IF(C1993="","",IFERROR(INDEX(Settings!$C$8:$C$19,MATCH(C1993,Settings!$B$8:$B$19,0)),"?"))</f>
        <v/>
      </c>
      <c r="J1993" s="28" t="str">
        <f aca="false">IF(G1993="","",IFERROR(INDEX(Settings!$C$8:$C$19,MATCH(G1993,Settings!$B$8:$B$19,0)),"?"))</f>
        <v/>
      </c>
      <c r="K1993" s="35" t="str">
        <f aca="false">IF(A1993="","",DATE(YEAR(A1993),MONTH(A1993),1))</f>
        <v/>
      </c>
      <c r="L1993" s="28" t="str">
        <f aca="false">IF(E1993="","",IFERROR(INDEX(Settings!$K$8:$K$38,MATCH(E1993,Settings!$H$8:$H$38,0))&amp;"",""))</f>
        <v/>
      </c>
    </row>
    <row r="1994" customFormat="false" ht="15" hidden="false" customHeight="false" outlineLevel="0" collapsed="false">
      <c r="A1994" s="33"/>
      <c r="B1994" s="27"/>
      <c r="C1994" s="27"/>
      <c r="D1994" s="27"/>
      <c r="E1994" s="27"/>
      <c r="F1994" s="34"/>
      <c r="G1994" s="27"/>
      <c r="H1994" s="27"/>
      <c r="I1994" s="28" t="str">
        <f aca="false">IF(C1994="","",IFERROR(INDEX(Settings!$C$8:$C$19,MATCH(C1994,Settings!$B$8:$B$19,0)),"?"))</f>
        <v/>
      </c>
      <c r="J1994" s="28" t="str">
        <f aca="false">IF(G1994="","",IFERROR(INDEX(Settings!$C$8:$C$19,MATCH(G1994,Settings!$B$8:$B$19,0)),"?"))</f>
        <v/>
      </c>
      <c r="K1994" s="35" t="str">
        <f aca="false">IF(A1994="","",DATE(YEAR(A1994),MONTH(A1994),1))</f>
        <v/>
      </c>
      <c r="L1994" s="28" t="str">
        <f aca="false">IF(E1994="","",IFERROR(INDEX(Settings!$K$8:$K$38,MATCH(E1994,Settings!$H$8:$H$38,0))&amp;"",""))</f>
        <v/>
      </c>
    </row>
    <row r="1995" customFormat="false" ht="15" hidden="false" customHeight="false" outlineLevel="0" collapsed="false">
      <c r="A1995" s="33"/>
      <c r="B1995" s="27"/>
      <c r="C1995" s="27"/>
      <c r="D1995" s="27"/>
      <c r="E1995" s="27"/>
      <c r="F1995" s="34"/>
      <c r="G1995" s="27"/>
      <c r="H1995" s="27"/>
      <c r="I1995" s="28" t="str">
        <f aca="false">IF(C1995="","",IFERROR(INDEX(Settings!$C$8:$C$19,MATCH(C1995,Settings!$B$8:$B$19,0)),"?"))</f>
        <v/>
      </c>
      <c r="J1995" s="28" t="str">
        <f aca="false">IF(G1995="","",IFERROR(INDEX(Settings!$C$8:$C$19,MATCH(G1995,Settings!$B$8:$B$19,0)),"?"))</f>
        <v/>
      </c>
      <c r="K1995" s="35" t="str">
        <f aca="false">IF(A1995="","",DATE(YEAR(A1995),MONTH(A1995),1))</f>
        <v/>
      </c>
      <c r="L1995" s="28" t="str">
        <f aca="false">IF(E1995="","",IFERROR(INDEX(Settings!$K$8:$K$38,MATCH(E1995,Settings!$H$8:$H$38,0))&amp;"",""))</f>
        <v/>
      </c>
    </row>
    <row r="1996" customFormat="false" ht="15" hidden="false" customHeight="false" outlineLevel="0" collapsed="false">
      <c r="A1996" s="33"/>
      <c r="B1996" s="27"/>
      <c r="C1996" s="27"/>
      <c r="D1996" s="27"/>
      <c r="E1996" s="27"/>
      <c r="F1996" s="34"/>
      <c r="G1996" s="27"/>
      <c r="H1996" s="27"/>
      <c r="I1996" s="28" t="str">
        <f aca="false">IF(C1996="","",IFERROR(INDEX(Settings!$C$8:$C$19,MATCH(C1996,Settings!$B$8:$B$19,0)),"?"))</f>
        <v/>
      </c>
      <c r="J1996" s="28" t="str">
        <f aca="false">IF(G1996="","",IFERROR(INDEX(Settings!$C$8:$C$19,MATCH(G1996,Settings!$B$8:$B$19,0)),"?"))</f>
        <v/>
      </c>
      <c r="K1996" s="35" t="str">
        <f aca="false">IF(A1996="","",DATE(YEAR(A1996),MONTH(A1996),1))</f>
        <v/>
      </c>
      <c r="L1996" s="28" t="str">
        <f aca="false">IF(E1996="","",IFERROR(INDEX(Settings!$K$8:$K$38,MATCH(E1996,Settings!$H$8:$H$38,0))&amp;"",""))</f>
        <v/>
      </c>
    </row>
    <row r="1997" customFormat="false" ht="15" hidden="false" customHeight="false" outlineLevel="0" collapsed="false">
      <c r="A1997" s="33"/>
      <c r="B1997" s="27"/>
      <c r="C1997" s="27"/>
      <c r="D1997" s="27"/>
      <c r="E1997" s="27"/>
      <c r="F1997" s="34"/>
      <c r="G1997" s="27"/>
      <c r="H1997" s="27"/>
      <c r="I1997" s="28" t="str">
        <f aca="false">IF(C1997="","",IFERROR(INDEX(Settings!$C$8:$C$19,MATCH(C1997,Settings!$B$8:$B$19,0)),"?"))</f>
        <v/>
      </c>
      <c r="J1997" s="28" t="str">
        <f aca="false">IF(G1997="","",IFERROR(INDEX(Settings!$C$8:$C$19,MATCH(G1997,Settings!$B$8:$B$19,0)),"?"))</f>
        <v/>
      </c>
      <c r="K1997" s="35" t="str">
        <f aca="false">IF(A1997="","",DATE(YEAR(A1997),MONTH(A1997),1))</f>
        <v/>
      </c>
      <c r="L1997" s="28" t="str">
        <f aca="false">IF(E1997="","",IFERROR(INDEX(Settings!$K$8:$K$38,MATCH(E1997,Settings!$H$8:$H$38,0))&amp;"",""))</f>
        <v/>
      </c>
    </row>
    <row r="1998" customFormat="false" ht="15" hidden="false" customHeight="false" outlineLevel="0" collapsed="false">
      <c r="A1998" s="33"/>
      <c r="B1998" s="27"/>
      <c r="C1998" s="27"/>
      <c r="D1998" s="27"/>
      <c r="E1998" s="27"/>
      <c r="F1998" s="34"/>
      <c r="G1998" s="27"/>
      <c r="H1998" s="27"/>
      <c r="I1998" s="28" t="str">
        <f aca="false">IF(C1998="","",IFERROR(INDEX(Settings!$C$8:$C$19,MATCH(C1998,Settings!$B$8:$B$19,0)),"?"))</f>
        <v/>
      </c>
      <c r="J1998" s="28" t="str">
        <f aca="false">IF(G1998="","",IFERROR(INDEX(Settings!$C$8:$C$19,MATCH(G1998,Settings!$B$8:$B$19,0)),"?"))</f>
        <v/>
      </c>
      <c r="K1998" s="35" t="str">
        <f aca="false">IF(A1998="","",DATE(YEAR(A1998),MONTH(A1998),1))</f>
        <v/>
      </c>
      <c r="L1998" s="28" t="str">
        <f aca="false">IF(E1998="","",IFERROR(INDEX(Settings!$K$8:$K$38,MATCH(E1998,Settings!$H$8:$H$38,0))&amp;"",""))</f>
        <v/>
      </c>
    </row>
    <row r="1999" customFormat="false" ht="15" hidden="false" customHeight="false" outlineLevel="0" collapsed="false">
      <c r="A1999" s="33"/>
      <c r="B1999" s="27"/>
      <c r="C1999" s="27"/>
      <c r="D1999" s="27"/>
      <c r="E1999" s="27"/>
      <c r="F1999" s="34"/>
      <c r="G1999" s="27"/>
      <c r="H1999" s="27"/>
      <c r="I1999" s="28" t="str">
        <f aca="false">IF(C1999="","",IFERROR(INDEX(Settings!$C$8:$C$19,MATCH(C1999,Settings!$B$8:$B$19,0)),"?"))</f>
        <v/>
      </c>
      <c r="J1999" s="28" t="str">
        <f aca="false">IF(G1999="","",IFERROR(INDEX(Settings!$C$8:$C$19,MATCH(G1999,Settings!$B$8:$B$19,0)),"?"))</f>
        <v/>
      </c>
      <c r="K1999" s="35" t="str">
        <f aca="false">IF(A1999="","",DATE(YEAR(A1999),MONTH(A1999),1))</f>
        <v/>
      </c>
      <c r="L1999" s="28" t="str">
        <f aca="false">IF(E1999="","",IFERROR(INDEX(Settings!$K$8:$K$38,MATCH(E1999,Settings!$H$8:$H$38,0))&amp;"",""))</f>
        <v/>
      </c>
    </row>
    <row r="2000" customFormat="false" ht="15" hidden="false" customHeight="false" outlineLevel="0" collapsed="false">
      <c r="A2000" s="33"/>
      <c r="B2000" s="27"/>
      <c r="C2000" s="27"/>
      <c r="D2000" s="27"/>
      <c r="E2000" s="27"/>
      <c r="F2000" s="34"/>
      <c r="G2000" s="27"/>
      <c r="H2000" s="27"/>
      <c r="I2000" s="28" t="str">
        <f aca="false">IF(C2000="","",IFERROR(INDEX(Settings!$C$8:$C$19,MATCH(C2000,Settings!$B$8:$B$19,0)),"?"))</f>
        <v/>
      </c>
      <c r="J2000" s="28" t="str">
        <f aca="false">IF(G2000="","",IFERROR(INDEX(Settings!$C$8:$C$19,MATCH(G2000,Settings!$B$8:$B$19,0)),"?"))</f>
        <v/>
      </c>
      <c r="K2000" s="35" t="str">
        <f aca="false">IF(A2000="","",DATE(YEAR(A2000),MONTH(A2000),1))</f>
        <v/>
      </c>
      <c r="L2000" s="28" t="str">
        <f aca="false">IF(E2000="","",IFERROR(INDEX(Settings!$K$8:$K$38,MATCH(E2000,Settings!$H$8:$H$38,0))&amp;"",""))</f>
        <v/>
      </c>
    </row>
    <row r="2001" customFormat="false" ht="15" hidden="false" customHeight="false" outlineLevel="0" collapsed="false">
      <c r="A2001" s="33"/>
      <c r="B2001" s="27"/>
      <c r="C2001" s="27"/>
      <c r="D2001" s="27"/>
      <c r="E2001" s="27"/>
      <c r="F2001" s="34"/>
      <c r="G2001" s="27"/>
      <c r="H2001" s="27"/>
      <c r="I2001" s="28" t="str">
        <f aca="false">IF(C2001="","",IFERROR(INDEX(Settings!$C$8:$C$19,MATCH(C2001,Settings!$B$8:$B$19,0)),"?"))</f>
        <v/>
      </c>
      <c r="J2001" s="28" t="str">
        <f aca="false">IF(G2001="","",IFERROR(INDEX(Settings!$C$8:$C$19,MATCH(G2001,Settings!$B$8:$B$19,0)),"?"))</f>
        <v/>
      </c>
      <c r="K2001" s="35" t="str">
        <f aca="false">IF(A2001="","",DATE(YEAR(A2001),MONTH(A2001),1))</f>
        <v/>
      </c>
      <c r="L2001" s="28" t="str">
        <f aca="false">IF(E2001="","",IFERROR(INDEX(Settings!$K$8:$K$38,MATCH(E2001,Settings!$H$8:$H$38,0))&amp;"",""))</f>
        <v/>
      </c>
    </row>
    <row r="2002" customFormat="false" ht="15" hidden="false" customHeight="false" outlineLevel="0" collapsed="false">
      <c r="A2002" s="33"/>
      <c r="B2002" s="27"/>
      <c r="C2002" s="27"/>
      <c r="D2002" s="27"/>
      <c r="E2002" s="27"/>
      <c r="F2002" s="34"/>
      <c r="G2002" s="27"/>
      <c r="H2002" s="27"/>
      <c r="I2002" s="28" t="str">
        <f aca="false">IF(C2002="","",IFERROR(INDEX(Settings!$C$8:$C$19,MATCH(C2002,Settings!$B$8:$B$19,0)),"?"))</f>
        <v/>
      </c>
      <c r="J2002" s="28" t="str">
        <f aca="false">IF(G2002="","",IFERROR(INDEX(Settings!$C$8:$C$19,MATCH(G2002,Settings!$B$8:$B$19,0)),"?"))</f>
        <v/>
      </c>
      <c r="K2002" s="35" t="str">
        <f aca="false">IF(A2002="","",DATE(YEAR(A2002),MONTH(A2002),1))</f>
        <v/>
      </c>
      <c r="L2002" s="28" t="str">
        <f aca="false">IF(E2002="","",IFERROR(INDEX(Settings!$K$8:$K$38,MATCH(E2002,Settings!$H$8:$H$38,0))&amp;"",""))</f>
        <v/>
      </c>
    </row>
    <row r="2003" customFormat="false" ht="15" hidden="false" customHeight="false" outlineLevel="0" collapsed="false">
      <c r="A2003" s="33"/>
      <c r="B2003" s="27"/>
      <c r="C2003" s="27"/>
      <c r="D2003" s="27"/>
      <c r="E2003" s="27"/>
      <c r="F2003" s="34"/>
      <c r="G2003" s="27"/>
      <c r="H2003" s="27"/>
      <c r="I2003" s="28" t="str">
        <f aca="false">IF(C2003="","",IFERROR(INDEX(Settings!$C$8:$C$19,MATCH(C2003,Settings!$B$8:$B$19,0)),"?"))</f>
        <v/>
      </c>
      <c r="J2003" s="28" t="str">
        <f aca="false">IF(G2003="","",IFERROR(INDEX(Settings!$C$8:$C$19,MATCH(G2003,Settings!$B$8:$B$19,0)),"?"))</f>
        <v/>
      </c>
      <c r="K2003" s="35" t="str">
        <f aca="false">IF(A2003="","",DATE(YEAR(A2003),MONTH(A2003),1))</f>
        <v/>
      </c>
      <c r="L2003" s="28" t="str">
        <f aca="false">IF(E2003="","",IFERROR(INDEX(Settings!$K$8:$K$38,MATCH(E2003,Settings!$H$8:$H$38,0))&amp;"",""))</f>
        <v/>
      </c>
    </row>
    <row r="2004" customFormat="false" ht="15" hidden="false" customHeight="false" outlineLevel="0" collapsed="false">
      <c r="A2004" s="33"/>
      <c r="B2004" s="27"/>
      <c r="C2004" s="27"/>
      <c r="D2004" s="27"/>
      <c r="E2004" s="27"/>
      <c r="F2004" s="34"/>
      <c r="G2004" s="27"/>
      <c r="H2004" s="27"/>
      <c r="I2004" s="28" t="str">
        <f aca="false">IF(C2004="","",IFERROR(INDEX(Settings!$C$8:$C$19,MATCH(C2004,Settings!$B$8:$B$19,0)),"?"))</f>
        <v/>
      </c>
      <c r="J2004" s="28" t="str">
        <f aca="false">IF(G2004="","",IFERROR(INDEX(Settings!$C$8:$C$19,MATCH(G2004,Settings!$B$8:$B$19,0)),"?"))</f>
        <v/>
      </c>
      <c r="K2004" s="35" t="str">
        <f aca="false">IF(A2004="","",DATE(YEAR(A2004),MONTH(A2004),1))</f>
        <v/>
      </c>
      <c r="L2004" s="28" t="str">
        <f aca="false">IF(E2004="","",IFERROR(INDEX(Settings!$K$8:$K$38,MATCH(E2004,Settings!$H$8:$H$38,0))&amp;"",""))</f>
        <v/>
      </c>
    </row>
  </sheetData>
  <autoFilter ref="A4:L2004"/>
  <conditionalFormatting sqref="E5:E2004">
    <cfRule type="expression" priority="2" aboveAverage="0" equalAverage="0" bottom="0" percent="0" rank="0" text="" dxfId="3">
      <formula>AND(E5="",OR(D5="Expense",D5="Income"))</formula>
    </cfRule>
  </conditionalFormatting>
  <conditionalFormatting sqref="G5:G2004">
    <cfRule type="expression" priority="3" aboveAverage="0" equalAverage="0" bottom="0" percent="0" rank="0" text="" dxfId="3">
      <formula>AND(G5="",D5="Transfer")</formula>
    </cfRule>
  </conditionalFormatting>
  <dataValidations count="6">
    <dataValidation allowBlank="true" error="Pick a value from the drop-down list (edit the lists on the Settings tab)." errorStyle="warning" errorTitle="Not in list" operator="between" showDropDown="false" showErrorMessage="false" showInputMessage="false" sqref="C5:C2004" type="list">
      <formula1>Settings!$B$8:$B$19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G5:G2004" type="list">
      <formula1>Settings!$B$8:$B$19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D5:D2004" type="list">
      <formula1>Settings!$P$8:$P$10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E5:E2004" type="list">
      <formula1>Settings!$H$8:$H$38</formula1>
      <formula2>0</formula2>
    </dataValidation>
    <dataValidation allowBlank="true" error="Enter a positive amount - use Type to say income or expense." errorStyle="stop" errorTitle="Positive amounts only" operator="greaterThanOrEqual" showDropDown="false" showErrorMessage="false" showInputMessage="false" sqref="F5:F2004" type="decimal">
      <formula1>0</formula1>
      <formula2>0</formula2>
    </dataValidation>
    <dataValidation allowBlank="true" error="Enter a date, e.g. 14/10/2026." errorStyle="stop" errorTitle="Date needed" operator="greaterThan" showDropDown="false" showErrorMessage="false" showInputMessage="false" sqref="A5:A2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157</v>
      </c>
    </row>
    <row r="2" customFormat="false" ht="15" hidden="false" customHeight="false" outlineLevel="0" collapsed="false">
      <c r="A2" s="2" t="s">
        <v>158</v>
      </c>
    </row>
    <row r="4" customFormat="false" ht="30" hidden="false" customHeight="true" outlineLevel="0" collapsed="false">
      <c r="A4" s="12" t="s">
        <v>159</v>
      </c>
      <c r="B4" s="12" t="s">
        <v>83</v>
      </c>
      <c r="C4" s="12" t="s">
        <v>86</v>
      </c>
      <c r="D4" s="12" t="s">
        <v>42</v>
      </c>
      <c r="E4" s="12" t="s">
        <v>142</v>
      </c>
      <c r="F4" s="12" t="s">
        <v>88</v>
      </c>
      <c r="G4" s="32" t="s">
        <v>160</v>
      </c>
      <c r="H4" s="32" t="s">
        <v>161</v>
      </c>
      <c r="I4" s="32" t="s">
        <v>84</v>
      </c>
      <c r="J4" s="32" t="s">
        <v>71</v>
      </c>
      <c r="K4" s="32" t="s">
        <v>162</v>
      </c>
    </row>
    <row r="5" customFormat="false" ht="15" hidden="false" customHeight="false" outlineLevel="0" collapsed="false">
      <c r="A5" s="27" t="s">
        <v>92</v>
      </c>
      <c r="B5" s="27" t="s">
        <v>91</v>
      </c>
      <c r="C5" s="27" t="s">
        <v>32</v>
      </c>
      <c r="D5" s="27" t="s">
        <v>92</v>
      </c>
      <c r="E5" s="34" t="n">
        <v>2650</v>
      </c>
      <c r="F5" s="27" t="s">
        <v>100</v>
      </c>
      <c r="G5" s="36" t="n">
        <f aca="false">IF(OR(E5="",F5=""),"",E5*IFERROR(INDEX(Settings!$N$8:$N$13,MATCH(F5,Settings!$M$8:$M$13,0)),0))</f>
        <v>2650</v>
      </c>
      <c r="H5" s="36" t="n">
        <f aca="false">IF(G5="","",G5*12)</f>
        <v>31800</v>
      </c>
      <c r="I5" s="28" t="str">
        <f aca="false">IF(B5="","",IFERROR(INDEX(Settings!$C$8:$C$19,MATCH(B5,Settings!$B$8:$B$19,0)),"?"))</f>
        <v>Me</v>
      </c>
      <c r="J5" s="28" t="str">
        <f aca="false">IF(D5="","",IFERROR(INDEX(Settings!$K$8:$K$38,MATCH(D5,Settings!$H$8:$H$38,0))&amp;"",""))</f>
        <v/>
      </c>
      <c r="K5" s="27"/>
    </row>
    <row r="6" customFormat="false" ht="15" hidden="false" customHeight="false" outlineLevel="0" collapsed="false">
      <c r="A6" s="27" t="s">
        <v>92</v>
      </c>
      <c r="B6" s="27" t="s">
        <v>94</v>
      </c>
      <c r="C6" s="27" t="s">
        <v>32</v>
      </c>
      <c r="D6" s="27" t="s">
        <v>92</v>
      </c>
      <c r="E6" s="34" t="n">
        <v>2400</v>
      </c>
      <c r="F6" s="27" t="s">
        <v>100</v>
      </c>
      <c r="G6" s="36" t="n">
        <f aca="false">IF(OR(E6="",F6=""),"",E6*IFERROR(INDEX(Settings!$N$8:$N$13,MATCH(F6,Settings!$M$8:$M$13,0)),0))</f>
        <v>2400</v>
      </c>
      <c r="H6" s="36" t="n">
        <f aca="false">IF(G6="","",G6*12)</f>
        <v>28800</v>
      </c>
      <c r="I6" s="28" t="str">
        <f aca="false">IF(B6="","",IFERROR(INDEX(Settings!$C$8:$C$19,MATCH(B6,Settings!$B$8:$B$19,0)),"?"))</f>
        <v>Partner</v>
      </c>
      <c r="J6" s="28" t="str">
        <f aca="false">IF(D6="","",IFERROR(INDEX(Settings!$K$8:$K$38,MATCH(D6,Settings!$H$8:$H$38,0))&amp;"",""))</f>
        <v/>
      </c>
      <c r="K6" s="27"/>
    </row>
    <row r="7" customFormat="false" ht="15" hidden="false" customHeight="false" outlineLevel="0" collapsed="false">
      <c r="A7" s="27" t="s">
        <v>147</v>
      </c>
      <c r="B7" s="27" t="s">
        <v>98</v>
      </c>
      <c r="C7" s="27" t="s">
        <v>97</v>
      </c>
      <c r="D7" s="27" t="s">
        <v>112</v>
      </c>
      <c r="E7" s="34" t="n">
        <v>1200</v>
      </c>
      <c r="F7" s="27" t="s">
        <v>100</v>
      </c>
      <c r="G7" s="36" t="n">
        <f aca="false">IF(OR(E7="",F7=""),"",E7*IFERROR(INDEX(Settings!$N$8:$N$13,MATCH(F7,Settings!$M$8:$M$13,0)),0))</f>
        <v>1200</v>
      </c>
      <c r="H7" s="36" t="n">
        <f aca="false">IF(G7="","",G7*12)</f>
        <v>14400</v>
      </c>
      <c r="I7" s="28" t="str">
        <f aca="false">IF(B7="","",IFERROR(INDEX(Settings!$C$8:$C$19,MATCH(B7,Settings!$B$8:$B$19,0)),"?"))</f>
        <v>Joint</v>
      </c>
      <c r="J7" s="28" t="str">
        <f aca="false">IF(D7="","",IFERROR(INDEX(Settings!$K$8:$K$38,MATCH(D7,Settings!$H$8:$H$38,0))&amp;"",""))</f>
        <v>Yes</v>
      </c>
      <c r="K7" s="27"/>
    </row>
    <row r="8" customFormat="false" ht="15" hidden="false" customHeight="false" outlineLevel="0" collapsed="false">
      <c r="A8" s="27" t="s">
        <v>163</v>
      </c>
      <c r="B8" s="27" t="s">
        <v>98</v>
      </c>
      <c r="C8" s="27" t="s">
        <v>97</v>
      </c>
      <c r="D8" s="27" t="s">
        <v>114</v>
      </c>
      <c r="E8" s="34" t="n">
        <v>160</v>
      </c>
      <c r="F8" s="27" t="s">
        <v>100</v>
      </c>
      <c r="G8" s="36" t="n">
        <f aca="false">IF(OR(E8="",F8=""),"",E8*IFERROR(INDEX(Settings!$N$8:$N$13,MATCH(F8,Settings!$M$8:$M$13,0)),0))</f>
        <v>160</v>
      </c>
      <c r="H8" s="36" t="n">
        <f aca="false">IF(G8="","",G8*12)</f>
        <v>1920</v>
      </c>
      <c r="I8" s="28" t="str">
        <f aca="false">IF(B8="","",IFERROR(INDEX(Settings!$C$8:$C$19,MATCH(B8,Settings!$B$8:$B$19,0)),"?"))</f>
        <v>Joint</v>
      </c>
      <c r="J8" s="28" t="str">
        <f aca="false">IF(D8="","",IFERROR(INDEX(Settings!$K$8:$K$38,MATCH(D8,Settings!$H$8:$H$38,0))&amp;"",""))</f>
        <v>Yes</v>
      </c>
      <c r="K8" s="27"/>
    </row>
    <row r="9" customFormat="false" ht="15" hidden="false" customHeight="false" outlineLevel="0" collapsed="false">
      <c r="A9" s="27" t="s">
        <v>164</v>
      </c>
      <c r="B9" s="27" t="s">
        <v>98</v>
      </c>
      <c r="C9" s="27" t="s">
        <v>97</v>
      </c>
      <c r="D9" s="27" t="s">
        <v>115</v>
      </c>
      <c r="E9" s="34" t="n">
        <v>140</v>
      </c>
      <c r="F9" s="27" t="s">
        <v>100</v>
      </c>
      <c r="G9" s="36" t="n">
        <f aca="false">IF(OR(E9="",F9=""),"",E9*IFERROR(INDEX(Settings!$N$8:$N$13,MATCH(F9,Settings!$M$8:$M$13,0)),0))</f>
        <v>140</v>
      </c>
      <c r="H9" s="36" t="n">
        <f aca="false">IF(G9="","",G9*12)</f>
        <v>1680</v>
      </c>
      <c r="I9" s="28" t="str">
        <f aca="false">IF(B9="","",IFERROR(INDEX(Settings!$C$8:$C$19,MATCH(B9,Settings!$B$8:$B$19,0)),"?"))</f>
        <v>Joint</v>
      </c>
      <c r="J9" s="28" t="str">
        <f aca="false">IF(D9="","",IFERROR(INDEX(Settings!$K$8:$K$38,MATCH(D9,Settings!$H$8:$H$38,0))&amp;"",""))</f>
        <v>Yes</v>
      </c>
      <c r="K9" s="27" t="s">
        <v>165</v>
      </c>
    </row>
    <row r="10" customFormat="false" ht="15" hidden="false" customHeight="false" outlineLevel="0" collapsed="false">
      <c r="A10" s="27" t="s">
        <v>166</v>
      </c>
      <c r="B10" s="27" t="s">
        <v>98</v>
      </c>
      <c r="C10" s="27" t="s">
        <v>97</v>
      </c>
      <c r="D10" s="27" t="s">
        <v>117</v>
      </c>
      <c r="E10" s="34" t="n">
        <v>35</v>
      </c>
      <c r="F10" s="27" t="s">
        <v>100</v>
      </c>
      <c r="G10" s="36" t="n">
        <f aca="false">IF(OR(E10="",F10=""),"",E10*IFERROR(INDEX(Settings!$N$8:$N$13,MATCH(F10,Settings!$M$8:$M$13,0)),0))</f>
        <v>35</v>
      </c>
      <c r="H10" s="36" t="n">
        <f aca="false">IF(G10="","",G10*12)</f>
        <v>420</v>
      </c>
      <c r="I10" s="28" t="str">
        <f aca="false">IF(B10="","",IFERROR(INDEX(Settings!$C$8:$C$19,MATCH(B10,Settings!$B$8:$B$19,0)),"?"))</f>
        <v>Joint</v>
      </c>
      <c r="J10" s="28" t="str">
        <f aca="false">IF(D10="","",IFERROR(INDEX(Settings!$K$8:$K$38,MATCH(D10,Settings!$H$8:$H$38,0))&amp;"",""))</f>
        <v>Yes</v>
      </c>
      <c r="K10" s="27" t="s">
        <v>167</v>
      </c>
    </row>
    <row r="11" customFormat="false" ht="15" hidden="false" customHeight="false" outlineLevel="0" collapsed="false">
      <c r="A11" s="27" t="s">
        <v>153</v>
      </c>
      <c r="B11" s="27" t="s">
        <v>102</v>
      </c>
      <c r="C11" s="27" t="s">
        <v>97</v>
      </c>
      <c r="D11" s="27" t="s">
        <v>128</v>
      </c>
      <c r="E11" s="34" t="n">
        <v>12.99</v>
      </c>
      <c r="F11" s="27" t="s">
        <v>100</v>
      </c>
      <c r="G11" s="36" t="n">
        <f aca="false">IF(OR(E11="",F11=""),"",E11*IFERROR(INDEX(Settings!$N$8:$N$13,MATCH(F11,Settings!$M$8:$M$13,0)),0))</f>
        <v>12.99</v>
      </c>
      <c r="H11" s="36" t="n">
        <f aca="false">IF(G11="","",G11*12)</f>
        <v>155.88</v>
      </c>
      <c r="I11" s="28" t="str">
        <f aca="false">IF(B11="","",IFERROR(INDEX(Settings!$C$8:$C$19,MATCH(B11,Settings!$B$8:$B$19,0)),"?"))</f>
        <v>Me</v>
      </c>
      <c r="J11" s="28" t="str">
        <f aca="false">IF(D11="","",IFERROR(INDEX(Settings!$K$8:$K$38,MATCH(D11,Settings!$H$8:$H$38,0))&amp;"",""))</f>
        <v>No</v>
      </c>
      <c r="K11" s="27" t="s">
        <v>168</v>
      </c>
    </row>
    <row r="12" customFormat="false" ht="15" hidden="false" customHeight="false" outlineLevel="0" collapsed="false">
      <c r="A12" s="27" t="s">
        <v>169</v>
      </c>
      <c r="B12" s="27" t="s">
        <v>94</v>
      </c>
      <c r="C12" s="27" t="s">
        <v>97</v>
      </c>
      <c r="D12" s="27" t="s">
        <v>135</v>
      </c>
      <c r="E12" s="34" t="n">
        <v>9.25</v>
      </c>
      <c r="F12" s="27" t="s">
        <v>93</v>
      </c>
      <c r="G12" s="36" t="n">
        <f aca="false">IF(OR(E12="",F12=""),"",E12*IFERROR(INDEX(Settings!$N$8:$N$13,MATCH(F12,Settings!$M$8:$M$13,0)),0))</f>
        <v>40.0833333333333</v>
      </c>
      <c r="H12" s="36" t="n">
        <f aca="false">IF(G12="","",G12*12)</f>
        <v>481</v>
      </c>
      <c r="I12" s="28" t="str">
        <f aca="false">IF(B12="","",IFERROR(INDEX(Settings!$C$8:$C$19,MATCH(B12,Settings!$B$8:$B$19,0)),"?"))</f>
        <v>Partner</v>
      </c>
      <c r="J12" s="28" t="str">
        <f aca="false">IF(D12="","",IFERROR(INDEX(Settings!$K$8:$K$38,MATCH(D12,Settings!$H$8:$H$38,0))&amp;"",""))</f>
        <v>No</v>
      </c>
      <c r="K12" s="27"/>
    </row>
    <row r="13" customFormat="false" ht="15" hidden="false" customHeight="false" outlineLevel="0" collapsed="false">
      <c r="A13" s="27" t="s">
        <v>170</v>
      </c>
      <c r="B13" s="27" t="s">
        <v>98</v>
      </c>
      <c r="C13" s="27" t="s">
        <v>97</v>
      </c>
      <c r="D13" s="27" t="s">
        <v>118</v>
      </c>
      <c r="E13" s="34" t="n">
        <v>540</v>
      </c>
      <c r="F13" s="27" t="s">
        <v>111</v>
      </c>
      <c r="G13" s="36" t="n">
        <f aca="false">IF(OR(E13="",F13=""),"",E13*IFERROR(INDEX(Settings!$N$8:$N$13,MATCH(F13,Settings!$M$8:$M$13,0)),0))</f>
        <v>45</v>
      </c>
      <c r="H13" s="36" t="n">
        <f aca="false">IF(G13="","",G13*12)</f>
        <v>540</v>
      </c>
      <c r="I13" s="28" t="str">
        <f aca="false">IF(B13="","",IFERROR(INDEX(Settings!$C$8:$C$19,MATCH(B13,Settings!$B$8:$B$19,0)),"?"))</f>
        <v>Joint</v>
      </c>
      <c r="J13" s="28" t="str">
        <f aca="false">IF(D13="","",IFERROR(INDEX(Settings!$K$8:$K$38,MATCH(D13,Settings!$H$8:$H$38,0))&amp;"",""))</f>
        <v>Yes</v>
      </c>
      <c r="K13" s="27"/>
    </row>
    <row r="14" customFormat="false" ht="15" hidden="false" customHeight="false" outlineLevel="0" collapsed="false">
      <c r="A14" s="27" t="s">
        <v>171</v>
      </c>
      <c r="B14" s="27" t="s">
        <v>102</v>
      </c>
      <c r="C14" s="27" t="s">
        <v>97</v>
      </c>
      <c r="D14" s="27" t="s">
        <v>128</v>
      </c>
      <c r="E14" s="34" t="n">
        <v>95</v>
      </c>
      <c r="F14" s="27" t="s">
        <v>111</v>
      </c>
      <c r="G14" s="36" t="n">
        <f aca="false">IF(OR(E14="",F14=""),"",E14*IFERROR(INDEX(Settings!$N$8:$N$13,MATCH(F14,Settings!$M$8:$M$13,0)),0))</f>
        <v>7.91666666666667</v>
      </c>
      <c r="H14" s="36" t="n">
        <f aca="false">IF(G14="","",G14*12)</f>
        <v>95</v>
      </c>
      <c r="I14" s="28" t="str">
        <f aca="false">IF(B14="","",IFERROR(INDEX(Settings!$C$8:$C$19,MATCH(B14,Settings!$B$8:$B$19,0)),"?"))</f>
        <v>Me</v>
      </c>
      <c r="J14" s="28" t="str">
        <f aca="false">IF(D14="","",IFERROR(INDEX(Settings!$K$8:$K$38,MATCH(D14,Settings!$H$8:$H$38,0))&amp;"",""))</f>
        <v>No</v>
      </c>
      <c r="K14" s="27"/>
    </row>
    <row r="15" customFormat="false" ht="15" hidden="false" customHeight="false" outlineLevel="0" collapsed="false">
      <c r="A15" s="27"/>
      <c r="B15" s="27"/>
      <c r="C15" s="27"/>
      <c r="D15" s="27"/>
      <c r="E15" s="34"/>
      <c r="F15" s="27"/>
      <c r="G15" s="36" t="str">
        <f aca="false">IF(OR(E15="",F15=""),"",E15*IFERROR(INDEX(Settings!$N$8:$N$13,MATCH(F15,Settings!$M$8:$M$13,0)),0))</f>
        <v/>
      </c>
      <c r="H15" s="36" t="str">
        <f aca="false">IF(G15="","",G15*12)</f>
        <v/>
      </c>
      <c r="I15" s="28" t="str">
        <f aca="false">IF(B15="","",IFERROR(INDEX(Settings!$C$8:$C$19,MATCH(B15,Settings!$B$8:$B$19,0)),"?"))</f>
        <v/>
      </c>
      <c r="J15" s="28" t="str">
        <f aca="false">IF(D15="","",IFERROR(INDEX(Settings!$K$8:$K$38,MATCH(D15,Settings!$H$8:$H$38,0))&amp;"",""))</f>
        <v/>
      </c>
      <c r="K15" s="27"/>
    </row>
    <row r="16" customFormat="false" ht="15" hidden="false" customHeight="false" outlineLevel="0" collapsed="false">
      <c r="A16" s="27"/>
      <c r="B16" s="27"/>
      <c r="C16" s="27"/>
      <c r="D16" s="27"/>
      <c r="E16" s="34"/>
      <c r="F16" s="27"/>
      <c r="G16" s="36" t="str">
        <f aca="false">IF(OR(E16="",F16=""),"",E16*IFERROR(INDEX(Settings!$N$8:$N$13,MATCH(F16,Settings!$M$8:$M$13,0)),0))</f>
        <v/>
      </c>
      <c r="H16" s="36" t="str">
        <f aca="false">IF(G16="","",G16*12)</f>
        <v/>
      </c>
      <c r="I16" s="28" t="str">
        <f aca="false">IF(B16="","",IFERROR(INDEX(Settings!$C$8:$C$19,MATCH(B16,Settings!$B$8:$B$19,0)),"?"))</f>
        <v/>
      </c>
      <c r="J16" s="28" t="str">
        <f aca="false">IF(D16="","",IFERROR(INDEX(Settings!$K$8:$K$38,MATCH(D16,Settings!$H$8:$H$38,0))&amp;"",""))</f>
        <v/>
      </c>
      <c r="K16" s="27"/>
    </row>
    <row r="17" customFormat="false" ht="15" hidden="false" customHeight="false" outlineLevel="0" collapsed="false">
      <c r="A17" s="27"/>
      <c r="B17" s="27"/>
      <c r="C17" s="27"/>
      <c r="D17" s="27"/>
      <c r="E17" s="34"/>
      <c r="F17" s="27"/>
      <c r="G17" s="36" t="str">
        <f aca="false">IF(OR(E17="",F17=""),"",E17*IFERROR(INDEX(Settings!$N$8:$N$13,MATCH(F17,Settings!$M$8:$M$13,0)),0))</f>
        <v/>
      </c>
      <c r="H17" s="36" t="str">
        <f aca="false">IF(G17="","",G17*12)</f>
        <v/>
      </c>
      <c r="I17" s="28" t="str">
        <f aca="false">IF(B17="","",IFERROR(INDEX(Settings!$C$8:$C$19,MATCH(B17,Settings!$B$8:$B$19,0)),"?"))</f>
        <v/>
      </c>
      <c r="J17" s="28" t="str">
        <f aca="false">IF(D17="","",IFERROR(INDEX(Settings!$K$8:$K$38,MATCH(D17,Settings!$H$8:$H$38,0))&amp;"",""))</f>
        <v/>
      </c>
      <c r="K17" s="27"/>
    </row>
    <row r="18" customFormat="false" ht="15" hidden="false" customHeight="false" outlineLevel="0" collapsed="false">
      <c r="A18" s="27"/>
      <c r="B18" s="27"/>
      <c r="C18" s="27"/>
      <c r="D18" s="27"/>
      <c r="E18" s="34"/>
      <c r="F18" s="27"/>
      <c r="G18" s="36" t="str">
        <f aca="false">IF(OR(E18="",F18=""),"",E18*IFERROR(INDEX(Settings!$N$8:$N$13,MATCH(F18,Settings!$M$8:$M$13,0)),0))</f>
        <v/>
      </c>
      <c r="H18" s="36" t="str">
        <f aca="false">IF(G18="","",G18*12)</f>
        <v/>
      </c>
      <c r="I18" s="28" t="str">
        <f aca="false">IF(B18="","",IFERROR(INDEX(Settings!$C$8:$C$19,MATCH(B18,Settings!$B$8:$B$19,0)),"?"))</f>
        <v/>
      </c>
      <c r="J18" s="28" t="str">
        <f aca="false">IF(D18="","",IFERROR(INDEX(Settings!$K$8:$K$38,MATCH(D18,Settings!$H$8:$H$38,0))&amp;"",""))</f>
        <v/>
      </c>
      <c r="K18" s="27"/>
    </row>
    <row r="19" customFormat="false" ht="15" hidden="false" customHeight="false" outlineLevel="0" collapsed="false">
      <c r="A19" s="27"/>
      <c r="B19" s="27"/>
      <c r="C19" s="27"/>
      <c r="D19" s="27"/>
      <c r="E19" s="34"/>
      <c r="F19" s="27"/>
      <c r="G19" s="36" t="str">
        <f aca="false">IF(OR(E19="",F19=""),"",E19*IFERROR(INDEX(Settings!$N$8:$N$13,MATCH(F19,Settings!$M$8:$M$13,0)),0))</f>
        <v/>
      </c>
      <c r="H19" s="36" t="str">
        <f aca="false">IF(G19="","",G19*12)</f>
        <v/>
      </c>
      <c r="I19" s="28" t="str">
        <f aca="false">IF(B19="","",IFERROR(INDEX(Settings!$C$8:$C$19,MATCH(B19,Settings!$B$8:$B$19,0)),"?"))</f>
        <v/>
      </c>
      <c r="J19" s="28" t="str">
        <f aca="false">IF(D19="","",IFERROR(INDEX(Settings!$K$8:$K$38,MATCH(D19,Settings!$H$8:$H$38,0))&amp;"",""))</f>
        <v/>
      </c>
      <c r="K19" s="27"/>
    </row>
    <row r="20" customFormat="false" ht="15" hidden="false" customHeight="false" outlineLevel="0" collapsed="false">
      <c r="A20" s="27"/>
      <c r="B20" s="27"/>
      <c r="C20" s="27"/>
      <c r="D20" s="27"/>
      <c r="E20" s="34"/>
      <c r="F20" s="27"/>
      <c r="G20" s="36" t="str">
        <f aca="false">IF(OR(E20="",F20=""),"",E20*IFERROR(INDEX(Settings!$N$8:$N$13,MATCH(F20,Settings!$M$8:$M$13,0)),0))</f>
        <v/>
      </c>
      <c r="H20" s="36" t="str">
        <f aca="false">IF(G20="","",G20*12)</f>
        <v/>
      </c>
      <c r="I20" s="28" t="str">
        <f aca="false">IF(B20="","",IFERROR(INDEX(Settings!$C$8:$C$19,MATCH(B20,Settings!$B$8:$B$19,0)),"?"))</f>
        <v/>
      </c>
      <c r="J20" s="28" t="str">
        <f aca="false">IF(D20="","",IFERROR(INDEX(Settings!$K$8:$K$38,MATCH(D20,Settings!$H$8:$H$38,0))&amp;"",""))</f>
        <v/>
      </c>
      <c r="K20" s="27"/>
    </row>
    <row r="21" customFormat="false" ht="15" hidden="false" customHeight="false" outlineLevel="0" collapsed="false">
      <c r="A21" s="27"/>
      <c r="B21" s="27"/>
      <c r="C21" s="27"/>
      <c r="D21" s="27"/>
      <c r="E21" s="34"/>
      <c r="F21" s="27"/>
      <c r="G21" s="36" t="str">
        <f aca="false">IF(OR(E21="",F21=""),"",E21*IFERROR(INDEX(Settings!$N$8:$N$13,MATCH(F21,Settings!$M$8:$M$13,0)),0))</f>
        <v/>
      </c>
      <c r="H21" s="36" t="str">
        <f aca="false">IF(G21="","",G21*12)</f>
        <v/>
      </c>
      <c r="I21" s="28" t="str">
        <f aca="false">IF(B21="","",IFERROR(INDEX(Settings!$C$8:$C$19,MATCH(B21,Settings!$B$8:$B$19,0)),"?"))</f>
        <v/>
      </c>
      <c r="J21" s="28" t="str">
        <f aca="false">IF(D21="","",IFERROR(INDEX(Settings!$K$8:$K$38,MATCH(D21,Settings!$H$8:$H$38,0))&amp;"",""))</f>
        <v/>
      </c>
      <c r="K21" s="27"/>
    </row>
    <row r="22" customFormat="false" ht="15" hidden="false" customHeight="false" outlineLevel="0" collapsed="false">
      <c r="A22" s="27"/>
      <c r="B22" s="27"/>
      <c r="C22" s="27"/>
      <c r="D22" s="27"/>
      <c r="E22" s="34"/>
      <c r="F22" s="27"/>
      <c r="G22" s="36" t="str">
        <f aca="false">IF(OR(E22="",F22=""),"",E22*IFERROR(INDEX(Settings!$N$8:$N$13,MATCH(F22,Settings!$M$8:$M$13,0)),0))</f>
        <v/>
      </c>
      <c r="H22" s="36" t="str">
        <f aca="false">IF(G22="","",G22*12)</f>
        <v/>
      </c>
      <c r="I22" s="28" t="str">
        <f aca="false">IF(B22="","",IFERROR(INDEX(Settings!$C$8:$C$19,MATCH(B22,Settings!$B$8:$B$19,0)),"?"))</f>
        <v/>
      </c>
      <c r="J22" s="28" t="str">
        <f aca="false">IF(D22="","",IFERROR(INDEX(Settings!$K$8:$K$38,MATCH(D22,Settings!$H$8:$H$38,0))&amp;"",""))</f>
        <v/>
      </c>
      <c r="K22" s="27"/>
    </row>
    <row r="23" customFormat="false" ht="15" hidden="false" customHeight="false" outlineLevel="0" collapsed="false">
      <c r="A23" s="27"/>
      <c r="B23" s="27"/>
      <c r="C23" s="27"/>
      <c r="D23" s="27"/>
      <c r="E23" s="34"/>
      <c r="F23" s="27"/>
      <c r="G23" s="36" t="str">
        <f aca="false">IF(OR(E23="",F23=""),"",E23*IFERROR(INDEX(Settings!$N$8:$N$13,MATCH(F23,Settings!$M$8:$M$13,0)),0))</f>
        <v/>
      </c>
      <c r="H23" s="36" t="str">
        <f aca="false">IF(G23="","",G23*12)</f>
        <v/>
      </c>
      <c r="I23" s="28" t="str">
        <f aca="false">IF(B23="","",IFERROR(INDEX(Settings!$C$8:$C$19,MATCH(B23,Settings!$B$8:$B$19,0)),"?"))</f>
        <v/>
      </c>
      <c r="J23" s="28" t="str">
        <f aca="false">IF(D23="","",IFERROR(INDEX(Settings!$K$8:$K$38,MATCH(D23,Settings!$H$8:$H$38,0))&amp;"",""))</f>
        <v/>
      </c>
      <c r="K23" s="27"/>
    </row>
    <row r="24" customFormat="false" ht="15" hidden="false" customHeight="false" outlineLevel="0" collapsed="false">
      <c r="A24" s="27"/>
      <c r="B24" s="27"/>
      <c r="C24" s="27"/>
      <c r="D24" s="27"/>
      <c r="E24" s="34"/>
      <c r="F24" s="27"/>
      <c r="G24" s="36" t="str">
        <f aca="false">IF(OR(E24="",F24=""),"",E24*IFERROR(INDEX(Settings!$N$8:$N$13,MATCH(F24,Settings!$M$8:$M$13,0)),0))</f>
        <v/>
      </c>
      <c r="H24" s="36" t="str">
        <f aca="false">IF(G24="","",G24*12)</f>
        <v/>
      </c>
      <c r="I24" s="28" t="str">
        <f aca="false">IF(B24="","",IFERROR(INDEX(Settings!$C$8:$C$19,MATCH(B24,Settings!$B$8:$B$19,0)),"?"))</f>
        <v/>
      </c>
      <c r="J24" s="28" t="str">
        <f aca="false">IF(D24="","",IFERROR(INDEX(Settings!$K$8:$K$38,MATCH(D24,Settings!$H$8:$H$38,0))&amp;"",""))</f>
        <v/>
      </c>
      <c r="K24" s="27"/>
    </row>
    <row r="25" customFormat="false" ht="15" hidden="false" customHeight="false" outlineLevel="0" collapsed="false">
      <c r="A25" s="27"/>
      <c r="B25" s="27"/>
      <c r="C25" s="27"/>
      <c r="D25" s="27"/>
      <c r="E25" s="34"/>
      <c r="F25" s="27"/>
      <c r="G25" s="36" t="str">
        <f aca="false">IF(OR(E25="",F25=""),"",E25*IFERROR(INDEX(Settings!$N$8:$N$13,MATCH(F25,Settings!$M$8:$M$13,0)),0))</f>
        <v/>
      </c>
      <c r="H25" s="36" t="str">
        <f aca="false">IF(G25="","",G25*12)</f>
        <v/>
      </c>
      <c r="I25" s="28" t="str">
        <f aca="false">IF(B25="","",IFERROR(INDEX(Settings!$C$8:$C$19,MATCH(B25,Settings!$B$8:$B$19,0)),"?"))</f>
        <v/>
      </c>
      <c r="J25" s="28" t="str">
        <f aca="false">IF(D25="","",IFERROR(INDEX(Settings!$K$8:$K$38,MATCH(D25,Settings!$H$8:$H$38,0))&amp;"",""))</f>
        <v/>
      </c>
      <c r="K25" s="27"/>
    </row>
    <row r="26" customFormat="false" ht="15" hidden="false" customHeight="false" outlineLevel="0" collapsed="false">
      <c r="A26" s="27"/>
      <c r="B26" s="27"/>
      <c r="C26" s="27"/>
      <c r="D26" s="27"/>
      <c r="E26" s="34"/>
      <c r="F26" s="27"/>
      <c r="G26" s="36" t="str">
        <f aca="false">IF(OR(E26="",F26=""),"",E26*IFERROR(INDEX(Settings!$N$8:$N$13,MATCH(F26,Settings!$M$8:$M$13,0)),0))</f>
        <v/>
      </c>
      <c r="H26" s="36" t="str">
        <f aca="false">IF(G26="","",G26*12)</f>
        <v/>
      </c>
      <c r="I26" s="28" t="str">
        <f aca="false">IF(B26="","",IFERROR(INDEX(Settings!$C$8:$C$19,MATCH(B26,Settings!$B$8:$B$19,0)),"?"))</f>
        <v/>
      </c>
      <c r="J26" s="28" t="str">
        <f aca="false">IF(D26="","",IFERROR(INDEX(Settings!$K$8:$K$38,MATCH(D26,Settings!$H$8:$H$38,0))&amp;"",""))</f>
        <v/>
      </c>
      <c r="K26" s="27"/>
    </row>
    <row r="27" customFormat="false" ht="15" hidden="false" customHeight="false" outlineLevel="0" collapsed="false">
      <c r="A27" s="27"/>
      <c r="B27" s="27"/>
      <c r="C27" s="27"/>
      <c r="D27" s="27"/>
      <c r="E27" s="34"/>
      <c r="F27" s="27"/>
      <c r="G27" s="36" t="str">
        <f aca="false">IF(OR(E27="",F27=""),"",E27*IFERROR(INDEX(Settings!$N$8:$N$13,MATCH(F27,Settings!$M$8:$M$13,0)),0))</f>
        <v/>
      </c>
      <c r="H27" s="36" t="str">
        <f aca="false">IF(G27="","",G27*12)</f>
        <v/>
      </c>
      <c r="I27" s="28" t="str">
        <f aca="false">IF(B27="","",IFERROR(INDEX(Settings!$C$8:$C$19,MATCH(B27,Settings!$B$8:$B$19,0)),"?"))</f>
        <v/>
      </c>
      <c r="J27" s="28" t="str">
        <f aca="false">IF(D27="","",IFERROR(INDEX(Settings!$K$8:$K$38,MATCH(D27,Settings!$H$8:$H$38,0))&amp;"",""))</f>
        <v/>
      </c>
      <c r="K27" s="27"/>
    </row>
    <row r="28" customFormat="false" ht="15" hidden="false" customHeight="false" outlineLevel="0" collapsed="false">
      <c r="A28" s="27"/>
      <c r="B28" s="27"/>
      <c r="C28" s="27"/>
      <c r="D28" s="27"/>
      <c r="E28" s="34"/>
      <c r="F28" s="27"/>
      <c r="G28" s="36" t="str">
        <f aca="false">IF(OR(E28="",F28=""),"",E28*IFERROR(INDEX(Settings!$N$8:$N$13,MATCH(F28,Settings!$M$8:$M$13,0)),0))</f>
        <v/>
      </c>
      <c r="H28" s="36" t="str">
        <f aca="false">IF(G28="","",G28*12)</f>
        <v/>
      </c>
      <c r="I28" s="28" t="str">
        <f aca="false">IF(B28="","",IFERROR(INDEX(Settings!$C$8:$C$19,MATCH(B28,Settings!$B$8:$B$19,0)),"?"))</f>
        <v/>
      </c>
      <c r="J28" s="28" t="str">
        <f aca="false">IF(D28="","",IFERROR(INDEX(Settings!$K$8:$K$38,MATCH(D28,Settings!$H$8:$H$38,0))&amp;"",""))</f>
        <v/>
      </c>
      <c r="K28" s="27"/>
    </row>
    <row r="29" customFormat="false" ht="15" hidden="false" customHeight="false" outlineLevel="0" collapsed="false">
      <c r="A29" s="27"/>
      <c r="B29" s="27"/>
      <c r="C29" s="27"/>
      <c r="D29" s="27"/>
      <c r="E29" s="34"/>
      <c r="F29" s="27"/>
      <c r="G29" s="36" t="str">
        <f aca="false">IF(OR(E29="",F29=""),"",E29*IFERROR(INDEX(Settings!$N$8:$N$13,MATCH(F29,Settings!$M$8:$M$13,0)),0))</f>
        <v/>
      </c>
      <c r="H29" s="36" t="str">
        <f aca="false">IF(G29="","",G29*12)</f>
        <v/>
      </c>
      <c r="I29" s="28" t="str">
        <f aca="false">IF(B29="","",IFERROR(INDEX(Settings!$C$8:$C$19,MATCH(B29,Settings!$B$8:$B$19,0)),"?"))</f>
        <v/>
      </c>
      <c r="J29" s="28" t="str">
        <f aca="false">IF(D29="","",IFERROR(INDEX(Settings!$K$8:$K$38,MATCH(D29,Settings!$H$8:$H$38,0))&amp;"",""))</f>
        <v/>
      </c>
      <c r="K29" s="27"/>
    </row>
    <row r="30" customFormat="false" ht="15" hidden="false" customHeight="false" outlineLevel="0" collapsed="false">
      <c r="A30" s="27"/>
      <c r="B30" s="27"/>
      <c r="C30" s="27"/>
      <c r="D30" s="27"/>
      <c r="E30" s="34"/>
      <c r="F30" s="27"/>
      <c r="G30" s="36" t="str">
        <f aca="false">IF(OR(E30="",F30=""),"",E30*IFERROR(INDEX(Settings!$N$8:$N$13,MATCH(F30,Settings!$M$8:$M$13,0)),0))</f>
        <v/>
      </c>
      <c r="H30" s="36" t="str">
        <f aca="false">IF(G30="","",G30*12)</f>
        <v/>
      </c>
      <c r="I30" s="28" t="str">
        <f aca="false">IF(B30="","",IFERROR(INDEX(Settings!$C$8:$C$19,MATCH(B30,Settings!$B$8:$B$19,0)),"?"))</f>
        <v/>
      </c>
      <c r="J30" s="28" t="str">
        <f aca="false">IF(D30="","",IFERROR(INDEX(Settings!$K$8:$K$38,MATCH(D30,Settings!$H$8:$H$38,0))&amp;"",""))</f>
        <v/>
      </c>
      <c r="K30" s="27"/>
    </row>
    <row r="31" customFormat="false" ht="15" hidden="false" customHeight="false" outlineLevel="0" collapsed="false">
      <c r="A31" s="27"/>
      <c r="B31" s="27"/>
      <c r="C31" s="27"/>
      <c r="D31" s="27"/>
      <c r="E31" s="34"/>
      <c r="F31" s="27"/>
      <c r="G31" s="36" t="str">
        <f aca="false">IF(OR(E31="",F31=""),"",E31*IFERROR(INDEX(Settings!$N$8:$N$13,MATCH(F31,Settings!$M$8:$M$13,0)),0))</f>
        <v/>
      </c>
      <c r="H31" s="36" t="str">
        <f aca="false">IF(G31="","",G31*12)</f>
        <v/>
      </c>
      <c r="I31" s="28" t="str">
        <f aca="false">IF(B31="","",IFERROR(INDEX(Settings!$C$8:$C$19,MATCH(B31,Settings!$B$8:$B$19,0)),"?"))</f>
        <v/>
      </c>
      <c r="J31" s="28" t="str">
        <f aca="false">IF(D31="","",IFERROR(INDEX(Settings!$K$8:$K$38,MATCH(D31,Settings!$H$8:$H$38,0))&amp;"",""))</f>
        <v/>
      </c>
      <c r="K31" s="27"/>
    </row>
    <row r="32" customFormat="false" ht="15" hidden="false" customHeight="false" outlineLevel="0" collapsed="false">
      <c r="A32" s="27"/>
      <c r="B32" s="27"/>
      <c r="C32" s="27"/>
      <c r="D32" s="27"/>
      <c r="E32" s="34"/>
      <c r="F32" s="27"/>
      <c r="G32" s="36" t="str">
        <f aca="false">IF(OR(E32="",F32=""),"",E32*IFERROR(INDEX(Settings!$N$8:$N$13,MATCH(F32,Settings!$M$8:$M$13,0)),0))</f>
        <v/>
      </c>
      <c r="H32" s="36" t="str">
        <f aca="false">IF(G32="","",G32*12)</f>
        <v/>
      </c>
      <c r="I32" s="28" t="str">
        <f aca="false">IF(B32="","",IFERROR(INDEX(Settings!$C$8:$C$19,MATCH(B32,Settings!$B$8:$B$19,0)),"?"))</f>
        <v/>
      </c>
      <c r="J32" s="28" t="str">
        <f aca="false">IF(D32="","",IFERROR(INDEX(Settings!$K$8:$K$38,MATCH(D32,Settings!$H$8:$H$38,0))&amp;"",""))</f>
        <v/>
      </c>
      <c r="K32" s="27"/>
    </row>
    <row r="33" customFormat="false" ht="15" hidden="false" customHeight="false" outlineLevel="0" collapsed="false">
      <c r="A33" s="27"/>
      <c r="B33" s="27"/>
      <c r="C33" s="27"/>
      <c r="D33" s="27"/>
      <c r="E33" s="34"/>
      <c r="F33" s="27"/>
      <c r="G33" s="36" t="str">
        <f aca="false">IF(OR(E33="",F33=""),"",E33*IFERROR(INDEX(Settings!$N$8:$N$13,MATCH(F33,Settings!$M$8:$M$13,0)),0))</f>
        <v/>
      </c>
      <c r="H33" s="36" t="str">
        <f aca="false">IF(G33="","",G33*12)</f>
        <v/>
      </c>
      <c r="I33" s="28" t="str">
        <f aca="false">IF(B33="","",IFERROR(INDEX(Settings!$C$8:$C$19,MATCH(B33,Settings!$B$8:$B$19,0)),"?"))</f>
        <v/>
      </c>
      <c r="J33" s="28" t="str">
        <f aca="false">IF(D33="","",IFERROR(INDEX(Settings!$K$8:$K$38,MATCH(D33,Settings!$H$8:$H$38,0))&amp;"",""))</f>
        <v/>
      </c>
      <c r="K33" s="27"/>
    </row>
    <row r="34" customFormat="false" ht="15" hidden="false" customHeight="false" outlineLevel="0" collapsed="false">
      <c r="A34" s="27"/>
      <c r="B34" s="27"/>
      <c r="C34" s="27"/>
      <c r="D34" s="27"/>
      <c r="E34" s="34"/>
      <c r="F34" s="27"/>
      <c r="G34" s="36" t="str">
        <f aca="false">IF(OR(E34="",F34=""),"",E34*IFERROR(INDEX(Settings!$N$8:$N$13,MATCH(F34,Settings!$M$8:$M$13,0)),0))</f>
        <v/>
      </c>
      <c r="H34" s="36" t="str">
        <f aca="false">IF(G34="","",G34*12)</f>
        <v/>
      </c>
      <c r="I34" s="28" t="str">
        <f aca="false">IF(B34="","",IFERROR(INDEX(Settings!$C$8:$C$19,MATCH(B34,Settings!$B$8:$B$19,0)),"?"))</f>
        <v/>
      </c>
      <c r="J34" s="28" t="str">
        <f aca="false">IF(D34="","",IFERROR(INDEX(Settings!$K$8:$K$38,MATCH(D34,Settings!$H$8:$H$38,0))&amp;"",""))</f>
        <v/>
      </c>
      <c r="K34" s="27"/>
    </row>
    <row r="35" customFormat="false" ht="15" hidden="false" customHeight="false" outlineLevel="0" collapsed="false">
      <c r="A35" s="27"/>
      <c r="B35" s="27"/>
      <c r="C35" s="27"/>
      <c r="D35" s="27"/>
      <c r="E35" s="34"/>
      <c r="F35" s="27"/>
      <c r="G35" s="36" t="str">
        <f aca="false">IF(OR(E35="",F35=""),"",E35*IFERROR(INDEX(Settings!$N$8:$N$13,MATCH(F35,Settings!$M$8:$M$13,0)),0))</f>
        <v/>
      </c>
      <c r="H35" s="36" t="str">
        <f aca="false">IF(G35="","",G35*12)</f>
        <v/>
      </c>
      <c r="I35" s="28" t="str">
        <f aca="false">IF(B35="","",IFERROR(INDEX(Settings!$C$8:$C$19,MATCH(B35,Settings!$B$8:$B$19,0)),"?"))</f>
        <v/>
      </c>
      <c r="J35" s="28" t="str">
        <f aca="false">IF(D35="","",IFERROR(INDEX(Settings!$K$8:$K$38,MATCH(D35,Settings!$H$8:$H$38,0))&amp;"",""))</f>
        <v/>
      </c>
      <c r="K35" s="27"/>
    </row>
    <row r="36" customFormat="false" ht="15" hidden="false" customHeight="false" outlineLevel="0" collapsed="false">
      <c r="A36" s="27"/>
      <c r="B36" s="27"/>
      <c r="C36" s="27"/>
      <c r="D36" s="27"/>
      <c r="E36" s="34"/>
      <c r="F36" s="27"/>
      <c r="G36" s="36" t="str">
        <f aca="false">IF(OR(E36="",F36=""),"",E36*IFERROR(INDEX(Settings!$N$8:$N$13,MATCH(F36,Settings!$M$8:$M$13,0)),0))</f>
        <v/>
      </c>
      <c r="H36" s="36" t="str">
        <f aca="false">IF(G36="","",G36*12)</f>
        <v/>
      </c>
      <c r="I36" s="28" t="str">
        <f aca="false">IF(B36="","",IFERROR(INDEX(Settings!$C$8:$C$19,MATCH(B36,Settings!$B$8:$B$19,0)),"?"))</f>
        <v/>
      </c>
      <c r="J36" s="28" t="str">
        <f aca="false">IF(D36="","",IFERROR(INDEX(Settings!$K$8:$K$38,MATCH(D36,Settings!$H$8:$H$38,0))&amp;"",""))</f>
        <v/>
      </c>
      <c r="K36" s="27"/>
    </row>
    <row r="37" customFormat="false" ht="15" hidden="false" customHeight="false" outlineLevel="0" collapsed="false">
      <c r="A37" s="27"/>
      <c r="B37" s="27"/>
      <c r="C37" s="27"/>
      <c r="D37" s="27"/>
      <c r="E37" s="34"/>
      <c r="F37" s="27"/>
      <c r="G37" s="36" t="str">
        <f aca="false">IF(OR(E37="",F37=""),"",E37*IFERROR(INDEX(Settings!$N$8:$N$13,MATCH(F37,Settings!$M$8:$M$13,0)),0))</f>
        <v/>
      </c>
      <c r="H37" s="36" t="str">
        <f aca="false">IF(G37="","",G37*12)</f>
        <v/>
      </c>
      <c r="I37" s="28" t="str">
        <f aca="false">IF(B37="","",IFERROR(INDEX(Settings!$C$8:$C$19,MATCH(B37,Settings!$B$8:$B$19,0)),"?"))</f>
        <v/>
      </c>
      <c r="J37" s="28" t="str">
        <f aca="false">IF(D37="","",IFERROR(INDEX(Settings!$K$8:$K$38,MATCH(D37,Settings!$H$8:$H$38,0))&amp;"",""))</f>
        <v/>
      </c>
      <c r="K37" s="27"/>
    </row>
    <row r="38" customFormat="false" ht="15" hidden="false" customHeight="false" outlineLevel="0" collapsed="false">
      <c r="A38" s="27"/>
      <c r="B38" s="27"/>
      <c r="C38" s="27"/>
      <c r="D38" s="27"/>
      <c r="E38" s="34"/>
      <c r="F38" s="27"/>
      <c r="G38" s="36" t="str">
        <f aca="false">IF(OR(E38="",F38=""),"",E38*IFERROR(INDEX(Settings!$N$8:$N$13,MATCH(F38,Settings!$M$8:$M$13,0)),0))</f>
        <v/>
      </c>
      <c r="H38" s="36" t="str">
        <f aca="false">IF(G38="","",G38*12)</f>
        <v/>
      </c>
      <c r="I38" s="28" t="str">
        <f aca="false">IF(B38="","",IFERROR(INDEX(Settings!$C$8:$C$19,MATCH(B38,Settings!$B$8:$B$19,0)),"?"))</f>
        <v/>
      </c>
      <c r="J38" s="28" t="str">
        <f aca="false">IF(D38="","",IFERROR(INDEX(Settings!$K$8:$K$38,MATCH(D38,Settings!$H$8:$H$38,0))&amp;"",""))</f>
        <v/>
      </c>
      <c r="K38" s="27"/>
    </row>
    <row r="39" customFormat="false" ht="15" hidden="false" customHeight="false" outlineLevel="0" collapsed="false">
      <c r="A39" s="27"/>
      <c r="B39" s="27"/>
      <c r="C39" s="27"/>
      <c r="D39" s="27"/>
      <c r="E39" s="34"/>
      <c r="F39" s="27"/>
      <c r="G39" s="36" t="str">
        <f aca="false">IF(OR(E39="",F39=""),"",E39*IFERROR(INDEX(Settings!$N$8:$N$13,MATCH(F39,Settings!$M$8:$M$13,0)),0))</f>
        <v/>
      </c>
      <c r="H39" s="36" t="str">
        <f aca="false">IF(G39="","",G39*12)</f>
        <v/>
      </c>
      <c r="I39" s="28" t="str">
        <f aca="false">IF(B39="","",IFERROR(INDEX(Settings!$C$8:$C$19,MATCH(B39,Settings!$B$8:$B$19,0)),"?"))</f>
        <v/>
      </c>
      <c r="J39" s="28" t="str">
        <f aca="false">IF(D39="","",IFERROR(INDEX(Settings!$K$8:$K$38,MATCH(D39,Settings!$H$8:$H$38,0))&amp;"",""))</f>
        <v/>
      </c>
      <c r="K39" s="27"/>
    </row>
    <row r="40" customFormat="false" ht="15" hidden="false" customHeight="false" outlineLevel="0" collapsed="false">
      <c r="A40" s="27"/>
      <c r="B40" s="27"/>
      <c r="C40" s="27"/>
      <c r="D40" s="27"/>
      <c r="E40" s="34"/>
      <c r="F40" s="27"/>
      <c r="G40" s="36" t="str">
        <f aca="false">IF(OR(E40="",F40=""),"",E40*IFERROR(INDEX(Settings!$N$8:$N$13,MATCH(F40,Settings!$M$8:$M$13,0)),0))</f>
        <v/>
      </c>
      <c r="H40" s="36" t="str">
        <f aca="false">IF(G40="","",G40*12)</f>
        <v/>
      </c>
      <c r="I40" s="28" t="str">
        <f aca="false">IF(B40="","",IFERROR(INDEX(Settings!$C$8:$C$19,MATCH(B40,Settings!$B$8:$B$19,0)),"?"))</f>
        <v/>
      </c>
      <c r="J40" s="28" t="str">
        <f aca="false">IF(D40="","",IFERROR(INDEX(Settings!$K$8:$K$38,MATCH(D40,Settings!$H$8:$H$38,0))&amp;"",""))</f>
        <v/>
      </c>
      <c r="K40" s="27"/>
    </row>
    <row r="41" customFormat="false" ht="15" hidden="false" customHeight="false" outlineLevel="0" collapsed="false">
      <c r="A41" s="27"/>
      <c r="B41" s="27"/>
      <c r="C41" s="27"/>
      <c r="D41" s="27"/>
      <c r="E41" s="34"/>
      <c r="F41" s="27"/>
      <c r="G41" s="36" t="str">
        <f aca="false">IF(OR(E41="",F41=""),"",E41*IFERROR(INDEX(Settings!$N$8:$N$13,MATCH(F41,Settings!$M$8:$M$13,0)),0))</f>
        <v/>
      </c>
      <c r="H41" s="36" t="str">
        <f aca="false">IF(G41="","",G41*12)</f>
        <v/>
      </c>
      <c r="I41" s="28" t="str">
        <f aca="false">IF(B41="","",IFERROR(INDEX(Settings!$C$8:$C$19,MATCH(B41,Settings!$B$8:$B$19,0)),"?"))</f>
        <v/>
      </c>
      <c r="J41" s="28" t="str">
        <f aca="false">IF(D41="","",IFERROR(INDEX(Settings!$K$8:$K$38,MATCH(D41,Settings!$H$8:$H$38,0))&amp;"",""))</f>
        <v/>
      </c>
      <c r="K41" s="27"/>
    </row>
    <row r="42" customFormat="false" ht="15" hidden="false" customHeight="false" outlineLevel="0" collapsed="false">
      <c r="A42" s="27"/>
      <c r="B42" s="27"/>
      <c r="C42" s="27"/>
      <c r="D42" s="27"/>
      <c r="E42" s="34"/>
      <c r="F42" s="27"/>
      <c r="G42" s="36" t="str">
        <f aca="false">IF(OR(E42="",F42=""),"",E42*IFERROR(INDEX(Settings!$N$8:$N$13,MATCH(F42,Settings!$M$8:$M$13,0)),0))</f>
        <v/>
      </c>
      <c r="H42" s="36" t="str">
        <f aca="false">IF(G42="","",G42*12)</f>
        <v/>
      </c>
      <c r="I42" s="28" t="str">
        <f aca="false">IF(B42="","",IFERROR(INDEX(Settings!$C$8:$C$19,MATCH(B42,Settings!$B$8:$B$19,0)),"?"))</f>
        <v/>
      </c>
      <c r="J42" s="28" t="str">
        <f aca="false">IF(D42="","",IFERROR(INDEX(Settings!$K$8:$K$38,MATCH(D42,Settings!$H$8:$H$38,0))&amp;"",""))</f>
        <v/>
      </c>
      <c r="K42" s="27"/>
    </row>
    <row r="43" customFormat="false" ht="15" hidden="false" customHeight="false" outlineLevel="0" collapsed="false">
      <c r="A43" s="27"/>
      <c r="B43" s="27"/>
      <c r="C43" s="27"/>
      <c r="D43" s="27"/>
      <c r="E43" s="34"/>
      <c r="F43" s="27"/>
      <c r="G43" s="36" t="str">
        <f aca="false">IF(OR(E43="",F43=""),"",E43*IFERROR(INDEX(Settings!$N$8:$N$13,MATCH(F43,Settings!$M$8:$M$13,0)),0))</f>
        <v/>
      </c>
      <c r="H43" s="36" t="str">
        <f aca="false">IF(G43="","",G43*12)</f>
        <v/>
      </c>
      <c r="I43" s="28" t="str">
        <f aca="false">IF(B43="","",IFERROR(INDEX(Settings!$C$8:$C$19,MATCH(B43,Settings!$B$8:$B$19,0)),"?"))</f>
        <v/>
      </c>
      <c r="J43" s="28" t="str">
        <f aca="false">IF(D43="","",IFERROR(INDEX(Settings!$K$8:$K$38,MATCH(D43,Settings!$H$8:$H$38,0))&amp;"",""))</f>
        <v/>
      </c>
      <c r="K43" s="27"/>
    </row>
    <row r="44" customFormat="false" ht="15" hidden="false" customHeight="false" outlineLevel="0" collapsed="false">
      <c r="A44" s="27"/>
      <c r="B44" s="27"/>
      <c r="C44" s="27"/>
      <c r="D44" s="27"/>
      <c r="E44" s="34"/>
      <c r="F44" s="27"/>
      <c r="G44" s="36" t="str">
        <f aca="false">IF(OR(E44="",F44=""),"",E44*IFERROR(INDEX(Settings!$N$8:$N$13,MATCH(F44,Settings!$M$8:$M$13,0)),0))</f>
        <v/>
      </c>
      <c r="H44" s="36" t="str">
        <f aca="false">IF(G44="","",G44*12)</f>
        <v/>
      </c>
      <c r="I44" s="28" t="str">
        <f aca="false">IF(B44="","",IFERROR(INDEX(Settings!$C$8:$C$19,MATCH(B44,Settings!$B$8:$B$19,0)),"?"))</f>
        <v/>
      </c>
      <c r="J44" s="28" t="str">
        <f aca="false">IF(D44="","",IFERROR(INDEX(Settings!$K$8:$K$38,MATCH(D44,Settings!$H$8:$H$38,0))&amp;"",""))</f>
        <v/>
      </c>
      <c r="K44" s="27"/>
    </row>
    <row r="45" customFormat="false" ht="15" hidden="false" customHeight="false" outlineLevel="0" collapsed="false">
      <c r="A45" s="27"/>
      <c r="B45" s="27"/>
      <c r="C45" s="27"/>
      <c r="D45" s="27"/>
      <c r="E45" s="34"/>
      <c r="F45" s="27"/>
      <c r="G45" s="36" t="str">
        <f aca="false">IF(OR(E45="",F45=""),"",E45*IFERROR(INDEX(Settings!$N$8:$N$13,MATCH(F45,Settings!$M$8:$M$13,0)),0))</f>
        <v/>
      </c>
      <c r="H45" s="36" t="str">
        <f aca="false">IF(G45="","",G45*12)</f>
        <v/>
      </c>
      <c r="I45" s="28" t="str">
        <f aca="false">IF(B45="","",IFERROR(INDEX(Settings!$C$8:$C$19,MATCH(B45,Settings!$B$8:$B$19,0)),"?"))</f>
        <v/>
      </c>
      <c r="J45" s="28" t="str">
        <f aca="false">IF(D45="","",IFERROR(INDEX(Settings!$K$8:$K$38,MATCH(D45,Settings!$H$8:$H$38,0))&amp;"",""))</f>
        <v/>
      </c>
      <c r="K45" s="27"/>
    </row>
    <row r="46" customFormat="false" ht="15" hidden="false" customHeight="false" outlineLevel="0" collapsed="false">
      <c r="A46" s="27"/>
      <c r="B46" s="27"/>
      <c r="C46" s="27"/>
      <c r="D46" s="27"/>
      <c r="E46" s="34"/>
      <c r="F46" s="27"/>
      <c r="G46" s="36" t="str">
        <f aca="false">IF(OR(E46="",F46=""),"",E46*IFERROR(INDEX(Settings!$N$8:$N$13,MATCH(F46,Settings!$M$8:$M$13,0)),0))</f>
        <v/>
      </c>
      <c r="H46" s="36" t="str">
        <f aca="false">IF(G46="","",G46*12)</f>
        <v/>
      </c>
      <c r="I46" s="28" t="str">
        <f aca="false">IF(B46="","",IFERROR(INDEX(Settings!$C$8:$C$19,MATCH(B46,Settings!$B$8:$B$19,0)),"?"))</f>
        <v/>
      </c>
      <c r="J46" s="28" t="str">
        <f aca="false">IF(D46="","",IFERROR(INDEX(Settings!$K$8:$K$38,MATCH(D46,Settings!$H$8:$H$38,0))&amp;"",""))</f>
        <v/>
      </c>
      <c r="K46" s="27"/>
    </row>
    <row r="47" customFormat="false" ht="15" hidden="false" customHeight="false" outlineLevel="0" collapsed="false">
      <c r="A47" s="27"/>
      <c r="B47" s="27"/>
      <c r="C47" s="27"/>
      <c r="D47" s="27"/>
      <c r="E47" s="34"/>
      <c r="F47" s="27"/>
      <c r="G47" s="36" t="str">
        <f aca="false">IF(OR(E47="",F47=""),"",E47*IFERROR(INDEX(Settings!$N$8:$N$13,MATCH(F47,Settings!$M$8:$M$13,0)),0))</f>
        <v/>
      </c>
      <c r="H47" s="36" t="str">
        <f aca="false">IF(G47="","",G47*12)</f>
        <v/>
      </c>
      <c r="I47" s="28" t="str">
        <f aca="false">IF(B47="","",IFERROR(INDEX(Settings!$C$8:$C$19,MATCH(B47,Settings!$B$8:$B$19,0)),"?"))</f>
        <v/>
      </c>
      <c r="J47" s="28" t="str">
        <f aca="false">IF(D47="","",IFERROR(INDEX(Settings!$K$8:$K$38,MATCH(D47,Settings!$H$8:$H$38,0))&amp;"",""))</f>
        <v/>
      </c>
      <c r="K47" s="27"/>
    </row>
    <row r="48" customFormat="false" ht="15" hidden="false" customHeight="false" outlineLevel="0" collapsed="false">
      <c r="A48" s="27"/>
      <c r="B48" s="27"/>
      <c r="C48" s="27"/>
      <c r="D48" s="27"/>
      <c r="E48" s="34"/>
      <c r="F48" s="27"/>
      <c r="G48" s="36" t="str">
        <f aca="false">IF(OR(E48="",F48=""),"",E48*IFERROR(INDEX(Settings!$N$8:$N$13,MATCH(F48,Settings!$M$8:$M$13,0)),0))</f>
        <v/>
      </c>
      <c r="H48" s="36" t="str">
        <f aca="false">IF(G48="","",G48*12)</f>
        <v/>
      </c>
      <c r="I48" s="28" t="str">
        <f aca="false">IF(B48="","",IFERROR(INDEX(Settings!$C$8:$C$19,MATCH(B48,Settings!$B$8:$B$19,0)),"?"))</f>
        <v/>
      </c>
      <c r="J48" s="28" t="str">
        <f aca="false">IF(D48="","",IFERROR(INDEX(Settings!$K$8:$K$38,MATCH(D48,Settings!$H$8:$H$38,0))&amp;"",""))</f>
        <v/>
      </c>
      <c r="K48" s="27"/>
    </row>
    <row r="49" customFormat="false" ht="15" hidden="false" customHeight="false" outlineLevel="0" collapsed="false">
      <c r="A49" s="27"/>
      <c r="B49" s="27"/>
      <c r="C49" s="27"/>
      <c r="D49" s="27"/>
      <c r="E49" s="34"/>
      <c r="F49" s="27"/>
      <c r="G49" s="36" t="str">
        <f aca="false">IF(OR(E49="",F49=""),"",E49*IFERROR(INDEX(Settings!$N$8:$N$13,MATCH(F49,Settings!$M$8:$M$13,0)),0))</f>
        <v/>
      </c>
      <c r="H49" s="36" t="str">
        <f aca="false">IF(G49="","",G49*12)</f>
        <v/>
      </c>
      <c r="I49" s="28" t="str">
        <f aca="false">IF(B49="","",IFERROR(INDEX(Settings!$C$8:$C$19,MATCH(B49,Settings!$B$8:$B$19,0)),"?"))</f>
        <v/>
      </c>
      <c r="J49" s="28" t="str">
        <f aca="false">IF(D49="","",IFERROR(INDEX(Settings!$K$8:$K$38,MATCH(D49,Settings!$H$8:$H$38,0))&amp;"",""))</f>
        <v/>
      </c>
      <c r="K49" s="27"/>
    </row>
    <row r="50" customFormat="false" ht="15" hidden="false" customHeight="false" outlineLevel="0" collapsed="false">
      <c r="A50" s="27"/>
      <c r="B50" s="27"/>
      <c r="C50" s="27"/>
      <c r="D50" s="27"/>
      <c r="E50" s="34"/>
      <c r="F50" s="27"/>
      <c r="G50" s="36" t="str">
        <f aca="false">IF(OR(E50="",F50=""),"",E50*IFERROR(INDEX(Settings!$N$8:$N$13,MATCH(F50,Settings!$M$8:$M$13,0)),0))</f>
        <v/>
      </c>
      <c r="H50" s="36" t="str">
        <f aca="false">IF(G50="","",G50*12)</f>
        <v/>
      </c>
      <c r="I50" s="28" t="str">
        <f aca="false">IF(B50="","",IFERROR(INDEX(Settings!$C$8:$C$19,MATCH(B50,Settings!$B$8:$B$19,0)),"?"))</f>
        <v/>
      </c>
      <c r="J50" s="28" t="str">
        <f aca="false">IF(D50="","",IFERROR(INDEX(Settings!$K$8:$K$38,MATCH(D50,Settings!$H$8:$H$38,0))&amp;"",""))</f>
        <v/>
      </c>
      <c r="K50" s="27"/>
    </row>
    <row r="51" customFormat="false" ht="15" hidden="false" customHeight="false" outlineLevel="0" collapsed="false">
      <c r="A51" s="27"/>
      <c r="B51" s="27"/>
      <c r="C51" s="27"/>
      <c r="D51" s="27"/>
      <c r="E51" s="34"/>
      <c r="F51" s="27"/>
      <c r="G51" s="36" t="str">
        <f aca="false">IF(OR(E51="",F51=""),"",E51*IFERROR(INDEX(Settings!$N$8:$N$13,MATCH(F51,Settings!$M$8:$M$13,0)),0))</f>
        <v/>
      </c>
      <c r="H51" s="36" t="str">
        <f aca="false">IF(G51="","",G51*12)</f>
        <v/>
      </c>
      <c r="I51" s="28" t="str">
        <f aca="false">IF(B51="","",IFERROR(INDEX(Settings!$C$8:$C$19,MATCH(B51,Settings!$B$8:$B$19,0)),"?"))</f>
        <v/>
      </c>
      <c r="J51" s="28" t="str">
        <f aca="false">IF(D51="","",IFERROR(INDEX(Settings!$K$8:$K$38,MATCH(D51,Settings!$H$8:$H$38,0))&amp;"",""))</f>
        <v/>
      </c>
      <c r="K51" s="27"/>
    </row>
    <row r="52" customFormat="false" ht="15" hidden="false" customHeight="false" outlineLevel="0" collapsed="false">
      <c r="A52" s="27"/>
      <c r="B52" s="27"/>
      <c r="C52" s="27"/>
      <c r="D52" s="27"/>
      <c r="E52" s="34"/>
      <c r="F52" s="27"/>
      <c r="G52" s="36" t="str">
        <f aca="false">IF(OR(E52="",F52=""),"",E52*IFERROR(INDEX(Settings!$N$8:$N$13,MATCH(F52,Settings!$M$8:$M$13,0)),0))</f>
        <v/>
      </c>
      <c r="H52" s="36" t="str">
        <f aca="false">IF(G52="","",G52*12)</f>
        <v/>
      </c>
      <c r="I52" s="28" t="str">
        <f aca="false">IF(B52="","",IFERROR(INDEX(Settings!$C$8:$C$19,MATCH(B52,Settings!$B$8:$B$19,0)),"?"))</f>
        <v/>
      </c>
      <c r="J52" s="28" t="str">
        <f aca="false">IF(D52="","",IFERROR(INDEX(Settings!$K$8:$K$38,MATCH(D52,Settings!$H$8:$H$38,0))&amp;"",""))</f>
        <v/>
      </c>
      <c r="K52" s="27"/>
    </row>
    <row r="53" customFormat="false" ht="15" hidden="false" customHeight="false" outlineLevel="0" collapsed="false">
      <c r="A53" s="27"/>
      <c r="B53" s="27"/>
      <c r="C53" s="27"/>
      <c r="D53" s="27"/>
      <c r="E53" s="34"/>
      <c r="F53" s="27"/>
      <c r="G53" s="36" t="str">
        <f aca="false">IF(OR(E53="",F53=""),"",E53*IFERROR(INDEX(Settings!$N$8:$N$13,MATCH(F53,Settings!$M$8:$M$13,0)),0))</f>
        <v/>
      </c>
      <c r="H53" s="36" t="str">
        <f aca="false">IF(G53="","",G53*12)</f>
        <v/>
      </c>
      <c r="I53" s="28" t="str">
        <f aca="false">IF(B53="","",IFERROR(INDEX(Settings!$C$8:$C$19,MATCH(B53,Settings!$B$8:$B$19,0)),"?"))</f>
        <v/>
      </c>
      <c r="J53" s="28" t="str">
        <f aca="false">IF(D53="","",IFERROR(INDEX(Settings!$K$8:$K$38,MATCH(D53,Settings!$H$8:$H$38,0))&amp;"",""))</f>
        <v/>
      </c>
      <c r="K53" s="27"/>
    </row>
    <row r="54" customFormat="false" ht="15" hidden="false" customHeight="false" outlineLevel="0" collapsed="false">
      <c r="A54" s="27"/>
      <c r="B54" s="27"/>
      <c r="C54" s="27"/>
      <c r="D54" s="27"/>
      <c r="E54" s="34"/>
      <c r="F54" s="27"/>
      <c r="G54" s="36" t="str">
        <f aca="false">IF(OR(E54="",F54=""),"",E54*IFERROR(INDEX(Settings!$N$8:$N$13,MATCH(F54,Settings!$M$8:$M$13,0)),0))</f>
        <v/>
      </c>
      <c r="H54" s="36" t="str">
        <f aca="false">IF(G54="","",G54*12)</f>
        <v/>
      </c>
      <c r="I54" s="28" t="str">
        <f aca="false">IF(B54="","",IFERROR(INDEX(Settings!$C$8:$C$19,MATCH(B54,Settings!$B$8:$B$19,0)),"?"))</f>
        <v/>
      </c>
      <c r="J54" s="28" t="str">
        <f aca="false">IF(D54="","",IFERROR(INDEX(Settings!$K$8:$K$38,MATCH(D54,Settings!$H$8:$H$38,0))&amp;"",""))</f>
        <v/>
      </c>
      <c r="K54" s="27"/>
    </row>
    <row r="55" customFormat="false" ht="15" hidden="false" customHeight="false" outlineLevel="0" collapsed="false">
      <c r="A55" s="27"/>
      <c r="B55" s="27"/>
      <c r="C55" s="27"/>
      <c r="D55" s="27"/>
      <c r="E55" s="34"/>
      <c r="F55" s="27"/>
      <c r="G55" s="36" t="str">
        <f aca="false">IF(OR(E55="",F55=""),"",E55*IFERROR(INDEX(Settings!$N$8:$N$13,MATCH(F55,Settings!$M$8:$M$13,0)),0))</f>
        <v/>
      </c>
      <c r="H55" s="36" t="str">
        <f aca="false">IF(G55="","",G55*12)</f>
        <v/>
      </c>
      <c r="I55" s="28" t="str">
        <f aca="false">IF(B55="","",IFERROR(INDEX(Settings!$C$8:$C$19,MATCH(B55,Settings!$B$8:$B$19,0)),"?"))</f>
        <v/>
      </c>
      <c r="J55" s="28" t="str">
        <f aca="false">IF(D55="","",IFERROR(INDEX(Settings!$K$8:$K$38,MATCH(D55,Settings!$H$8:$H$38,0))&amp;"",""))</f>
        <v/>
      </c>
      <c r="K55" s="27"/>
    </row>
    <row r="56" customFormat="false" ht="15" hidden="false" customHeight="false" outlineLevel="0" collapsed="false">
      <c r="A56" s="27"/>
      <c r="B56" s="27"/>
      <c r="C56" s="27"/>
      <c r="D56" s="27"/>
      <c r="E56" s="34"/>
      <c r="F56" s="27"/>
      <c r="G56" s="36" t="str">
        <f aca="false">IF(OR(E56="",F56=""),"",E56*IFERROR(INDEX(Settings!$N$8:$N$13,MATCH(F56,Settings!$M$8:$M$13,0)),0))</f>
        <v/>
      </c>
      <c r="H56" s="36" t="str">
        <f aca="false">IF(G56="","",G56*12)</f>
        <v/>
      </c>
      <c r="I56" s="28" t="str">
        <f aca="false">IF(B56="","",IFERROR(INDEX(Settings!$C$8:$C$19,MATCH(B56,Settings!$B$8:$B$19,0)),"?"))</f>
        <v/>
      </c>
      <c r="J56" s="28" t="str">
        <f aca="false">IF(D56="","",IFERROR(INDEX(Settings!$K$8:$K$38,MATCH(D56,Settings!$H$8:$H$38,0))&amp;"",""))</f>
        <v/>
      </c>
      <c r="K56" s="27"/>
    </row>
    <row r="57" customFormat="false" ht="15" hidden="false" customHeight="false" outlineLevel="0" collapsed="false">
      <c r="A57" s="27"/>
      <c r="B57" s="27"/>
      <c r="C57" s="27"/>
      <c r="D57" s="27"/>
      <c r="E57" s="34"/>
      <c r="F57" s="27"/>
      <c r="G57" s="36" t="str">
        <f aca="false">IF(OR(E57="",F57=""),"",E57*IFERROR(INDEX(Settings!$N$8:$N$13,MATCH(F57,Settings!$M$8:$M$13,0)),0))</f>
        <v/>
      </c>
      <c r="H57" s="36" t="str">
        <f aca="false">IF(G57="","",G57*12)</f>
        <v/>
      </c>
      <c r="I57" s="28" t="str">
        <f aca="false">IF(B57="","",IFERROR(INDEX(Settings!$C$8:$C$19,MATCH(B57,Settings!$B$8:$B$19,0)),"?"))</f>
        <v/>
      </c>
      <c r="J57" s="28" t="str">
        <f aca="false">IF(D57="","",IFERROR(INDEX(Settings!$K$8:$K$38,MATCH(D57,Settings!$H$8:$H$38,0))&amp;"",""))</f>
        <v/>
      </c>
      <c r="K57" s="27"/>
    </row>
    <row r="58" customFormat="false" ht="15" hidden="false" customHeight="false" outlineLevel="0" collapsed="false">
      <c r="A58" s="27"/>
      <c r="B58" s="27"/>
      <c r="C58" s="27"/>
      <c r="D58" s="27"/>
      <c r="E58" s="34"/>
      <c r="F58" s="27"/>
      <c r="G58" s="36" t="str">
        <f aca="false">IF(OR(E58="",F58=""),"",E58*IFERROR(INDEX(Settings!$N$8:$N$13,MATCH(F58,Settings!$M$8:$M$13,0)),0))</f>
        <v/>
      </c>
      <c r="H58" s="36" t="str">
        <f aca="false">IF(G58="","",G58*12)</f>
        <v/>
      </c>
      <c r="I58" s="28" t="str">
        <f aca="false">IF(B58="","",IFERROR(INDEX(Settings!$C$8:$C$19,MATCH(B58,Settings!$B$8:$B$19,0)),"?"))</f>
        <v/>
      </c>
      <c r="J58" s="28" t="str">
        <f aca="false">IF(D58="","",IFERROR(INDEX(Settings!$K$8:$K$38,MATCH(D58,Settings!$H$8:$H$38,0))&amp;"",""))</f>
        <v/>
      </c>
      <c r="K58" s="27"/>
    </row>
    <row r="59" customFormat="false" ht="15" hidden="false" customHeight="false" outlineLevel="0" collapsed="false">
      <c r="A59" s="27"/>
      <c r="B59" s="27"/>
      <c r="C59" s="27"/>
      <c r="D59" s="27"/>
      <c r="E59" s="34"/>
      <c r="F59" s="27"/>
      <c r="G59" s="36" t="str">
        <f aca="false">IF(OR(E59="",F59=""),"",E59*IFERROR(INDEX(Settings!$N$8:$N$13,MATCH(F59,Settings!$M$8:$M$13,0)),0))</f>
        <v/>
      </c>
      <c r="H59" s="36" t="str">
        <f aca="false">IF(G59="","",G59*12)</f>
        <v/>
      </c>
      <c r="I59" s="28" t="str">
        <f aca="false">IF(B59="","",IFERROR(INDEX(Settings!$C$8:$C$19,MATCH(B59,Settings!$B$8:$B$19,0)),"?"))</f>
        <v/>
      </c>
      <c r="J59" s="28" t="str">
        <f aca="false">IF(D59="","",IFERROR(INDEX(Settings!$K$8:$K$38,MATCH(D59,Settings!$H$8:$H$38,0))&amp;"",""))</f>
        <v/>
      </c>
      <c r="K59" s="27"/>
    </row>
    <row r="60" customFormat="false" ht="15" hidden="false" customHeight="false" outlineLevel="0" collapsed="false">
      <c r="A60" s="27"/>
      <c r="B60" s="27"/>
      <c r="C60" s="27"/>
      <c r="D60" s="27"/>
      <c r="E60" s="34"/>
      <c r="F60" s="27"/>
      <c r="G60" s="36" t="str">
        <f aca="false">IF(OR(E60="",F60=""),"",E60*IFERROR(INDEX(Settings!$N$8:$N$13,MATCH(F60,Settings!$M$8:$M$13,0)),0))</f>
        <v/>
      </c>
      <c r="H60" s="36" t="str">
        <f aca="false">IF(G60="","",G60*12)</f>
        <v/>
      </c>
      <c r="I60" s="28" t="str">
        <f aca="false">IF(B60="","",IFERROR(INDEX(Settings!$C$8:$C$19,MATCH(B60,Settings!$B$8:$B$19,0)),"?"))</f>
        <v/>
      </c>
      <c r="J60" s="28" t="str">
        <f aca="false">IF(D60="","",IFERROR(INDEX(Settings!$K$8:$K$38,MATCH(D60,Settings!$H$8:$H$38,0))&amp;"",""))</f>
        <v/>
      </c>
      <c r="K60" s="27"/>
    </row>
    <row r="61" customFormat="false" ht="15" hidden="false" customHeight="false" outlineLevel="0" collapsed="false">
      <c r="A61" s="27"/>
      <c r="B61" s="27"/>
      <c r="C61" s="27"/>
      <c r="D61" s="27"/>
      <c r="E61" s="34"/>
      <c r="F61" s="27"/>
      <c r="G61" s="36" t="str">
        <f aca="false">IF(OR(E61="",F61=""),"",E61*IFERROR(INDEX(Settings!$N$8:$N$13,MATCH(F61,Settings!$M$8:$M$13,0)),0))</f>
        <v/>
      </c>
      <c r="H61" s="36" t="str">
        <f aca="false">IF(G61="","",G61*12)</f>
        <v/>
      </c>
      <c r="I61" s="28" t="str">
        <f aca="false">IF(B61="","",IFERROR(INDEX(Settings!$C$8:$C$19,MATCH(B61,Settings!$B$8:$B$19,0)),"?"))</f>
        <v/>
      </c>
      <c r="J61" s="28" t="str">
        <f aca="false">IF(D61="","",IFERROR(INDEX(Settings!$K$8:$K$38,MATCH(D61,Settings!$H$8:$H$38,0))&amp;"",""))</f>
        <v/>
      </c>
      <c r="K61" s="27"/>
    </row>
    <row r="62" customFormat="false" ht="15" hidden="false" customHeight="false" outlineLevel="0" collapsed="false">
      <c r="A62" s="27"/>
      <c r="B62" s="27"/>
      <c r="C62" s="27"/>
      <c r="D62" s="27"/>
      <c r="E62" s="34"/>
      <c r="F62" s="27"/>
      <c r="G62" s="36" t="str">
        <f aca="false">IF(OR(E62="",F62=""),"",E62*IFERROR(INDEX(Settings!$N$8:$N$13,MATCH(F62,Settings!$M$8:$M$13,0)),0))</f>
        <v/>
      </c>
      <c r="H62" s="36" t="str">
        <f aca="false">IF(G62="","",G62*12)</f>
        <v/>
      </c>
      <c r="I62" s="28" t="str">
        <f aca="false">IF(B62="","",IFERROR(INDEX(Settings!$C$8:$C$19,MATCH(B62,Settings!$B$8:$B$19,0)),"?"))</f>
        <v/>
      </c>
      <c r="J62" s="28" t="str">
        <f aca="false">IF(D62="","",IFERROR(INDEX(Settings!$K$8:$K$38,MATCH(D62,Settings!$H$8:$H$38,0))&amp;"",""))</f>
        <v/>
      </c>
      <c r="K62" s="27"/>
    </row>
    <row r="63" customFormat="false" ht="15" hidden="false" customHeight="false" outlineLevel="0" collapsed="false">
      <c r="A63" s="27"/>
      <c r="B63" s="27"/>
      <c r="C63" s="27"/>
      <c r="D63" s="27"/>
      <c r="E63" s="34"/>
      <c r="F63" s="27"/>
      <c r="G63" s="36" t="str">
        <f aca="false">IF(OR(E63="",F63=""),"",E63*IFERROR(INDEX(Settings!$N$8:$N$13,MATCH(F63,Settings!$M$8:$M$13,0)),0))</f>
        <v/>
      </c>
      <c r="H63" s="36" t="str">
        <f aca="false">IF(G63="","",G63*12)</f>
        <v/>
      </c>
      <c r="I63" s="28" t="str">
        <f aca="false">IF(B63="","",IFERROR(INDEX(Settings!$C$8:$C$19,MATCH(B63,Settings!$B$8:$B$19,0)),"?"))</f>
        <v/>
      </c>
      <c r="J63" s="28" t="str">
        <f aca="false">IF(D63="","",IFERROR(INDEX(Settings!$K$8:$K$38,MATCH(D63,Settings!$H$8:$H$38,0))&amp;"",""))</f>
        <v/>
      </c>
      <c r="K63" s="27"/>
    </row>
    <row r="64" customFormat="false" ht="15" hidden="false" customHeight="false" outlineLevel="0" collapsed="false">
      <c r="A64" s="27"/>
      <c r="B64" s="27"/>
      <c r="C64" s="27"/>
      <c r="D64" s="27"/>
      <c r="E64" s="34"/>
      <c r="F64" s="27"/>
      <c r="G64" s="36" t="str">
        <f aca="false">IF(OR(E64="",F64=""),"",E64*IFERROR(INDEX(Settings!$N$8:$N$13,MATCH(F64,Settings!$M$8:$M$13,0)),0))</f>
        <v/>
      </c>
      <c r="H64" s="36" t="str">
        <f aca="false">IF(G64="","",G64*12)</f>
        <v/>
      </c>
      <c r="I64" s="28" t="str">
        <f aca="false">IF(B64="","",IFERROR(INDEX(Settings!$C$8:$C$19,MATCH(B64,Settings!$B$8:$B$19,0)),"?"))</f>
        <v/>
      </c>
      <c r="J64" s="28" t="str">
        <f aca="false">IF(D64="","",IFERROR(INDEX(Settings!$K$8:$K$38,MATCH(D64,Settings!$H$8:$H$38,0))&amp;"",""))</f>
        <v/>
      </c>
      <c r="K64" s="27"/>
    </row>
  </sheetData>
  <dataValidations count="4">
    <dataValidation allowBlank="true" error="Pick a value from the drop-down list (edit the lists on the Settings tab)." errorStyle="warning" errorTitle="Not in list" operator="between" showDropDown="false" showErrorMessage="false" showInputMessage="false" sqref="B5:B64" type="list">
      <formula1>Settings!$B$8:$B$19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C5:C64" type="list">
      <formula1>"Income,Expense"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D5:D64" type="list">
      <formula1>Settings!$H$8:$H$38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F5:F64" type="list">
      <formula1>Settings!$M$8:$M$13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4"/>
  </cols>
  <sheetData>
    <row r="1" customFormat="false" ht="19.7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3" customFormat="false" ht="15" hidden="false" customHeight="false" outlineLevel="0" collapsed="false">
      <c r="A3" s="8" t="s">
        <v>174</v>
      </c>
      <c r="B3" s="37" t="n">
        <f aca="true">TODAY()</f>
        <v>46306</v>
      </c>
    </row>
    <row r="5" customFormat="false" ht="30" hidden="false" customHeight="true" outlineLevel="0" collapsed="false">
      <c r="A5" s="12" t="s">
        <v>175</v>
      </c>
      <c r="B5" s="12" t="s">
        <v>84</v>
      </c>
      <c r="C5" s="12" t="s">
        <v>176</v>
      </c>
      <c r="D5" s="12" t="s">
        <v>177</v>
      </c>
      <c r="E5" s="12" t="s">
        <v>178</v>
      </c>
      <c r="F5" s="32" t="s">
        <v>179</v>
      </c>
      <c r="G5" s="32" t="s">
        <v>180</v>
      </c>
      <c r="H5" s="32" t="s">
        <v>181</v>
      </c>
      <c r="I5" s="32" t="s">
        <v>182</v>
      </c>
      <c r="J5" s="32" t="s">
        <v>183</v>
      </c>
      <c r="K5" s="32" t="s">
        <v>184</v>
      </c>
    </row>
    <row r="6" customFormat="false" ht="15" hidden="false" customHeight="false" outlineLevel="0" collapsed="false">
      <c r="A6" s="27" t="s">
        <v>185</v>
      </c>
      <c r="B6" s="27" t="s">
        <v>30</v>
      </c>
      <c r="C6" s="34" t="n">
        <v>6000</v>
      </c>
      <c r="D6" s="33" t="n">
        <v>46568</v>
      </c>
      <c r="E6" s="34" t="n">
        <v>1500</v>
      </c>
      <c r="F6" s="36" t="n">
        <f aca="false">IF(A6="","",SUMIFS('Savings Log'!$D$5:$D$1004,'Savings Log'!$B$5:$B$1004,A6))</f>
        <v>600</v>
      </c>
      <c r="G6" s="36" t="n">
        <f aca="false">IF(A6="","",E6+F6)</f>
        <v>2100</v>
      </c>
      <c r="H6" s="36" t="n">
        <f aca="false">IF(A6="","",MAX(0,C6-G6))</f>
        <v>3900</v>
      </c>
      <c r="I6" s="38" t="n">
        <f aca="false">IF(OR(A6="",N(C6)=0),"",MIN(1,G6/C6))</f>
        <v>0.35</v>
      </c>
      <c r="J6" s="28" t="n">
        <f aca="false">IF(OR(A6="",D6=""),"",MAX(0,(YEAR(D6)-YEAR($B$3))*12+MONTH(D6)-MONTH($B$3)))</f>
        <v>8</v>
      </c>
      <c r="K6" s="36" t="n">
        <f aca="false">IF(OR(A6="",D6=""),"",IF(H6=0,0,IF(J6=0,H6,H6/J6)))</f>
        <v>487.5</v>
      </c>
    </row>
    <row r="7" customFormat="false" ht="15" hidden="false" customHeight="false" outlineLevel="0" collapsed="false">
      <c r="A7" s="27" t="s">
        <v>186</v>
      </c>
      <c r="B7" s="27" t="s">
        <v>30</v>
      </c>
      <c r="C7" s="34" t="n">
        <v>2500</v>
      </c>
      <c r="D7" s="33" t="n">
        <v>46569</v>
      </c>
      <c r="E7" s="34" t="n">
        <v>200</v>
      </c>
      <c r="F7" s="36" t="n">
        <f aca="false">IF(A7="","",SUMIFS('Savings Log'!$D$5:$D$1004,'Savings Log'!$B$5:$B$1004,A7))</f>
        <v>300</v>
      </c>
      <c r="G7" s="36" t="n">
        <f aca="false">IF(A7="","",E7+F7)</f>
        <v>500</v>
      </c>
      <c r="H7" s="36" t="n">
        <f aca="false">IF(A7="","",MAX(0,C7-G7))</f>
        <v>2000</v>
      </c>
      <c r="I7" s="38" t="n">
        <f aca="false">IF(OR(A7="",N(C7)=0),"",MIN(1,G7/C7))</f>
        <v>0.2</v>
      </c>
      <c r="J7" s="28" t="n">
        <f aca="false">IF(OR(A7="",D7=""),"",MAX(0,(YEAR(D7)-YEAR($B$3))*12+MONTH(D7)-MONTH($B$3)))</f>
        <v>9</v>
      </c>
      <c r="K7" s="36" t="n">
        <f aca="false">IF(OR(A7="",D7=""),"",IF(H7=0,0,IF(J7=0,H7,H7/J7)))</f>
        <v>222.222222222222</v>
      </c>
    </row>
    <row r="8" customFormat="false" ht="15" hidden="false" customHeight="false" outlineLevel="0" collapsed="false">
      <c r="A8" s="27" t="s">
        <v>187</v>
      </c>
      <c r="B8" s="27" t="str">
        <f aca="false">Settings!C3</f>
        <v>Me</v>
      </c>
      <c r="C8" s="34" t="n">
        <v>4000</v>
      </c>
      <c r="D8" s="33" t="n">
        <v>46753</v>
      </c>
      <c r="E8" s="34" t="n">
        <v>0</v>
      </c>
      <c r="F8" s="36" t="n">
        <f aca="false">IF(A8="","",SUMIFS('Savings Log'!$D$5:$D$1004,'Savings Log'!$B$5:$B$1004,A8))</f>
        <v>200</v>
      </c>
      <c r="G8" s="36" t="n">
        <f aca="false">IF(A8="","",E8+F8)</f>
        <v>200</v>
      </c>
      <c r="H8" s="36" t="n">
        <f aca="false">IF(A8="","",MAX(0,C8-G8))</f>
        <v>3800</v>
      </c>
      <c r="I8" s="38" t="n">
        <f aca="false">IF(OR(A8="",N(C8)=0),"",MIN(1,G8/C8))</f>
        <v>0.05</v>
      </c>
      <c r="J8" s="28" t="n">
        <f aca="false">IF(OR(A8="",D8=""),"",MAX(0,(YEAR(D8)-YEAR($B$3))*12+MONTH(D8)-MONTH($B$3)))</f>
        <v>15</v>
      </c>
      <c r="K8" s="36" t="n">
        <f aca="false">IF(OR(A8="",D8=""),"",IF(H8=0,0,IF(J8=0,H8,H8/J8)))</f>
        <v>253.333333333333</v>
      </c>
    </row>
    <row r="9" customFormat="false" ht="15" hidden="false" customHeight="false" outlineLevel="0" collapsed="false">
      <c r="A9" s="27"/>
      <c r="B9" s="27"/>
      <c r="C9" s="34"/>
      <c r="D9" s="33"/>
      <c r="E9" s="34"/>
      <c r="F9" s="36" t="str">
        <f aca="false">IF(A9="","",SUMIFS('Savings Log'!$D$5:$D$1004,'Savings Log'!$B$5:$B$1004,A9))</f>
        <v/>
      </c>
      <c r="G9" s="36" t="str">
        <f aca="false">IF(A9="","",E9+F9)</f>
        <v/>
      </c>
      <c r="H9" s="36" t="str">
        <f aca="false">IF(A9="","",MAX(0,C9-G9))</f>
        <v/>
      </c>
      <c r="I9" s="38" t="str">
        <f aca="false">IF(OR(A9="",N(C9)=0),"",MIN(1,G9/C9))</f>
        <v/>
      </c>
      <c r="J9" s="28" t="str">
        <f aca="false">IF(OR(A9="",D9=""),"",MAX(0,(YEAR(D9)-YEAR($B$3))*12+MONTH(D9)-MONTH($B$3)))</f>
        <v/>
      </c>
      <c r="K9" s="36" t="str">
        <f aca="false">IF(OR(A9="",D9=""),"",IF(H9=0,0,IF(J9=0,H9,H9/J9)))</f>
        <v/>
      </c>
    </row>
    <row r="10" customFormat="false" ht="15" hidden="false" customHeight="false" outlineLevel="0" collapsed="false">
      <c r="A10" s="27"/>
      <c r="B10" s="27"/>
      <c r="C10" s="34"/>
      <c r="D10" s="33"/>
      <c r="E10" s="34"/>
      <c r="F10" s="36" t="str">
        <f aca="false">IF(A10="","",SUMIFS('Savings Log'!$D$5:$D$1004,'Savings Log'!$B$5:$B$1004,A10))</f>
        <v/>
      </c>
      <c r="G10" s="36" t="str">
        <f aca="false">IF(A10="","",E10+F10)</f>
        <v/>
      </c>
      <c r="H10" s="36" t="str">
        <f aca="false">IF(A10="","",MAX(0,C10-G10))</f>
        <v/>
      </c>
      <c r="I10" s="38" t="str">
        <f aca="false">IF(OR(A10="",N(C10)=0),"",MIN(1,G10/C10))</f>
        <v/>
      </c>
      <c r="J10" s="28" t="str">
        <f aca="false">IF(OR(A10="",D10=""),"",MAX(0,(YEAR(D10)-YEAR($B$3))*12+MONTH(D10)-MONTH($B$3)))</f>
        <v/>
      </c>
      <c r="K10" s="36" t="str">
        <f aca="false">IF(OR(A10="",D10=""),"",IF(H10=0,0,IF(J10=0,H10,H10/J10)))</f>
        <v/>
      </c>
    </row>
    <row r="11" customFormat="false" ht="15" hidden="false" customHeight="false" outlineLevel="0" collapsed="false">
      <c r="A11" s="27"/>
      <c r="B11" s="27"/>
      <c r="C11" s="34"/>
      <c r="D11" s="33"/>
      <c r="E11" s="34"/>
      <c r="F11" s="36" t="str">
        <f aca="false">IF(A11="","",SUMIFS('Savings Log'!$D$5:$D$1004,'Savings Log'!$B$5:$B$1004,A11))</f>
        <v/>
      </c>
      <c r="G11" s="36" t="str">
        <f aca="false">IF(A11="","",E11+F11)</f>
        <v/>
      </c>
      <c r="H11" s="36" t="str">
        <f aca="false">IF(A11="","",MAX(0,C11-G11))</f>
        <v/>
      </c>
      <c r="I11" s="38" t="str">
        <f aca="false">IF(OR(A11="",N(C11)=0),"",MIN(1,G11/C11))</f>
        <v/>
      </c>
      <c r="J11" s="28" t="str">
        <f aca="false">IF(OR(A11="",D11=""),"",MAX(0,(YEAR(D11)-YEAR($B$3))*12+MONTH(D11)-MONTH($B$3)))</f>
        <v/>
      </c>
      <c r="K11" s="36" t="str">
        <f aca="false">IF(OR(A11="",D11=""),"",IF(H11=0,0,IF(J11=0,H11,H11/J11)))</f>
        <v/>
      </c>
    </row>
    <row r="12" customFormat="false" ht="15" hidden="false" customHeight="false" outlineLevel="0" collapsed="false">
      <c r="A12" s="27"/>
      <c r="B12" s="27"/>
      <c r="C12" s="34"/>
      <c r="D12" s="33"/>
      <c r="E12" s="34"/>
      <c r="F12" s="36" t="str">
        <f aca="false">IF(A12="","",SUMIFS('Savings Log'!$D$5:$D$1004,'Savings Log'!$B$5:$B$1004,A12))</f>
        <v/>
      </c>
      <c r="G12" s="36" t="str">
        <f aca="false">IF(A12="","",E12+F12)</f>
        <v/>
      </c>
      <c r="H12" s="36" t="str">
        <f aca="false">IF(A12="","",MAX(0,C12-G12))</f>
        <v/>
      </c>
      <c r="I12" s="38" t="str">
        <f aca="false">IF(OR(A12="",N(C12)=0),"",MIN(1,G12/C12))</f>
        <v/>
      </c>
      <c r="J12" s="28" t="str">
        <f aca="false">IF(OR(A12="",D12=""),"",MAX(0,(YEAR(D12)-YEAR($B$3))*12+MONTH(D12)-MONTH($B$3)))</f>
        <v/>
      </c>
      <c r="K12" s="36" t="str">
        <f aca="false">IF(OR(A12="",D12=""),"",IF(H12=0,0,IF(J12=0,H12,H12/J12)))</f>
        <v/>
      </c>
    </row>
    <row r="13" customFormat="false" ht="15" hidden="false" customHeight="false" outlineLevel="0" collapsed="false">
      <c r="A13" s="27"/>
      <c r="B13" s="27"/>
      <c r="C13" s="34"/>
      <c r="D13" s="33"/>
      <c r="E13" s="34"/>
      <c r="F13" s="36" t="str">
        <f aca="false">IF(A13="","",SUMIFS('Savings Log'!$D$5:$D$1004,'Savings Log'!$B$5:$B$1004,A13))</f>
        <v/>
      </c>
      <c r="G13" s="36" t="str">
        <f aca="false">IF(A13="","",E13+F13)</f>
        <v/>
      </c>
      <c r="H13" s="36" t="str">
        <f aca="false">IF(A13="","",MAX(0,C13-G13))</f>
        <v/>
      </c>
      <c r="I13" s="38" t="str">
        <f aca="false">IF(OR(A13="",N(C13)=0),"",MIN(1,G13/C13))</f>
        <v/>
      </c>
      <c r="J13" s="28" t="str">
        <f aca="false">IF(OR(A13="",D13=""),"",MAX(0,(YEAR(D13)-YEAR($B$3))*12+MONTH(D13)-MONTH($B$3)))</f>
        <v/>
      </c>
      <c r="K13" s="36" t="str">
        <f aca="false">IF(OR(A13="",D13=""),"",IF(H13=0,0,IF(J13=0,H13,H13/J13)))</f>
        <v/>
      </c>
    </row>
    <row r="14" customFormat="false" ht="15" hidden="false" customHeight="false" outlineLevel="0" collapsed="false">
      <c r="A14" s="27"/>
      <c r="B14" s="27"/>
      <c r="C14" s="34"/>
      <c r="D14" s="33"/>
      <c r="E14" s="34"/>
      <c r="F14" s="36" t="str">
        <f aca="false">IF(A14="","",SUMIFS('Savings Log'!$D$5:$D$1004,'Savings Log'!$B$5:$B$1004,A14))</f>
        <v/>
      </c>
      <c r="G14" s="36" t="str">
        <f aca="false">IF(A14="","",E14+F14)</f>
        <v/>
      </c>
      <c r="H14" s="36" t="str">
        <f aca="false">IF(A14="","",MAX(0,C14-G14))</f>
        <v/>
      </c>
      <c r="I14" s="38" t="str">
        <f aca="false">IF(OR(A14="",N(C14)=0),"",MIN(1,G14/C14))</f>
        <v/>
      </c>
      <c r="J14" s="28" t="str">
        <f aca="false">IF(OR(A14="",D14=""),"",MAX(0,(YEAR(D14)-YEAR($B$3))*12+MONTH(D14)-MONTH($B$3)))</f>
        <v/>
      </c>
      <c r="K14" s="36" t="str">
        <f aca="false">IF(OR(A14="",D14=""),"",IF(H14=0,0,IF(J14=0,H14,H14/J14)))</f>
        <v/>
      </c>
    </row>
    <row r="15" customFormat="false" ht="15" hidden="false" customHeight="false" outlineLevel="0" collapsed="false">
      <c r="A15" s="27"/>
      <c r="B15" s="27"/>
      <c r="C15" s="34"/>
      <c r="D15" s="33"/>
      <c r="E15" s="34"/>
      <c r="F15" s="36" t="str">
        <f aca="false">IF(A15="","",SUMIFS('Savings Log'!$D$5:$D$1004,'Savings Log'!$B$5:$B$1004,A15))</f>
        <v/>
      </c>
      <c r="G15" s="36" t="str">
        <f aca="false">IF(A15="","",E15+F15)</f>
        <v/>
      </c>
      <c r="H15" s="36" t="str">
        <f aca="false">IF(A15="","",MAX(0,C15-G15))</f>
        <v/>
      </c>
      <c r="I15" s="38" t="str">
        <f aca="false">IF(OR(A15="",N(C15)=0),"",MIN(1,G15/C15))</f>
        <v/>
      </c>
      <c r="J15" s="28" t="str">
        <f aca="false">IF(OR(A15="",D15=""),"",MAX(0,(YEAR(D15)-YEAR($B$3))*12+MONTH(D15)-MONTH($B$3)))</f>
        <v/>
      </c>
      <c r="K15" s="36" t="str">
        <f aca="false">IF(OR(A15="",D15=""),"",IF(H15=0,0,IF(J15=0,H15,H15/J15)))</f>
        <v/>
      </c>
    </row>
    <row r="16" customFormat="false" ht="15" hidden="false" customHeight="false" outlineLevel="0" collapsed="false">
      <c r="A16" s="27"/>
      <c r="B16" s="27"/>
      <c r="C16" s="34"/>
      <c r="D16" s="33"/>
      <c r="E16" s="34"/>
      <c r="F16" s="36" t="str">
        <f aca="false">IF(A16="","",SUMIFS('Savings Log'!$D$5:$D$1004,'Savings Log'!$B$5:$B$1004,A16))</f>
        <v/>
      </c>
      <c r="G16" s="36" t="str">
        <f aca="false">IF(A16="","",E16+F16)</f>
        <v/>
      </c>
      <c r="H16" s="36" t="str">
        <f aca="false">IF(A16="","",MAX(0,C16-G16))</f>
        <v/>
      </c>
      <c r="I16" s="38" t="str">
        <f aca="false">IF(OR(A16="",N(C16)=0),"",MIN(1,G16/C16))</f>
        <v/>
      </c>
      <c r="J16" s="28" t="str">
        <f aca="false">IF(OR(A16="",D16=""),"",MAX(0,(YEAR(D16)-YEAR($B$3))*12+MONTH(D16)-MONTH($B$3)))</f>
        <v/>
      </c>
      <c r="K16" s="36" t="str">
        <f aca="false">IF(OR(A16="",D16=""),"",IF(H16=0,0,IF(J16=0,H16,H16/J16)))</f>
        <v/>
      </c>
    </row>
    <row r="17" customFormat="false" ht="15" hidden="false" customHeight="false" outlineLevel="0" collapsed="false">
      <c r="A17" s="27"/>
      <c r="B17" s="27"/>
      <c r="C17" s="34"/>
      <c r="D17" s="33"/>
      <c r="E17" s="34"/>
      <c r="F17" s="36" t="str">
        <f aca="false">IF(A17="","",SUMIFS('Savings Log'!$D$5:$D$1004,'Savings Log'!$B$5:$B$1004,A17))</f>
        <v/>
      </c>
      <c r="G17" s="36" t="str">
        <f aca="false">IF(A17="","",E17+F17)</f>
        <v/>
      </c>
      <c r="H17" s="36" t="str">
        <f aca="false">IF(A17="","",MAX(0,C17-G17))</f>
        <v/>
      </c>
      <c r="I17" s="38" t="str">
        <f aca="false">IF(OR(A17="",N(C17)=0),"",MIN(1,G17/C17))</f>
        <v/>
      </c>
      <c r="J17" s="28" t="str">
        <f aca="false">IF(OR(A17="",D17=""),"",MAX(0,(YEAR(D17)-YEAR($B$3))*12+MONTH(D17)-MONTH($B$3)))</f>
        <v/>
      </c>
      <c r="K17" s="36" t="str">
        <f aca="false">IF(OR(A17="",D17=""),"",IF(H17=0,0,IF(J17=0,H17,H17/J17)))</f>
        <v/>
      </c>
    </row>
    <row r="18" customFormat="false" ht="15" hidden="false" customHeight="false" outlineLevel="0" collapsed="false">
      <c r="A18" s="39" t="s">
        <v>48</v>
      </c>
      <c r="C18" s="16" t="n">
        <f aca="false">SUM(C6:C17)</f>
        <v>12500</v>
      </c>
      <c r="E18" s="16" t="n">
        <f aca="false">SUM(E6:E17)</f>
        <v>1700</v>
      </c>
      <c r="F18" s="16" t="n">
        <f aca="false">SUM(F6:F17)</f>
        <v>1100</v>
      </c>
      <c r="G18" s="16" t="n">
        <f aca="false">SUM(G6:G17)</f>
        <v>2800</v>
      </c>
      <c r="H18" s="16" t="n">
        <f aca="false">SUM(H6:H17)</f>
        <v>9700</v>
      </c>
      <c r="I18" s="40" t="n">
        <f aca="false">IF(C18=0,"",G18/C18)</f>
        <v>0.224</v>
      </c>
      <c r="K18" s="16" t="n">
        <f aca="false">SUM(K6:K17)</f>
        <v>963.055555555556</v>
      </c>
    </row>
  </sheetData>
  <conditionalFormatting sqref="I6:I17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{3ABC3B8A-8817-4120-B632-97EB2F84FDF1}</x14:id>
        </ext>
      </extLst>
    </cfRule>
  </conditionalFormatting>
  <dataValidations count="1">
    <dataValidation allowBlank="true" error="Pick a value from the drop-down list (edit the lists on the Settings tab)." errorStyle="warning" errorTitle="Not in list" operator="between" showDropDown="false" showErrorMessage="false" showInputMessage="false" sqref="B6:B17" type="list">
      <formula1>Settings!$E$8:$E$10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BC3B8A-8817-4120-B632-97EB2F84FDF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I6:I17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7" min="6" style="0" width="11"/>
  </cols>
  <sheetData>
    <row r="1" customFormat="false" ht="19.7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30" hidden="false" customHeight="true" outlineLevel="0" collapsed="false">
      <c r="A4" s="12" t="s">
        <v>140</v>
      </c>
      <c r="B4" s="12" t="s">
        <v>175</v>
      </c>
      <c r="C4" s="12" t="s">
        <v>190</v>
      </c>
      <c r="D4" s="12" t="s">
        <v>142</v>
      </c>
      <c r="E4" s="12" t="s">
        <v>144</v>
      </c>
      <c r="F4" s="32" t="s">
        <v>84</v>
      </c>
      <c r="G4" s="32" t="s">
        <v>51</v>
      </c>
    </row>
    <row r="5" customFormat="false" ht="15" hidden="false" customHeight="false" outlineLevel="0" collapsed="false">
      <c r="A5" s="33" t="n">
        <v>46264</v>
      </c>
      <c r="B5" s="27" t="s">
        <v>185</v>
      </c>
      <c r="C5" s="27" t="s">
        <v>98</v>
      </c>
      <c r="D5" s="34" t="n">
        <v>300</v>
      </c>
      <c r="E5" s="27" t="s">
        <v>146</v>
      </c>
      <c r="F5" s="28" t="str">
        <f aca="false">IF(C5="","",IFERROR(INDEX(Settings!$C$8:$C$19,MATCH(C5,Settings!$B$8:$B$19,0)),"?"))</f>
        <v>Joint</v>
      </c>
      <c r="G5" s="35" t="n">
        <f aca="false">IF(A5="","",DATE(YEAR(A5),MONTH(A5),1))</f>
        <v>46235</v>
      </c>
    </row>
    <row r="6" customFormat="false" ht="15" hidden="false" customHeight="false" outlineLevel="0" collapsed="false">
      <c r="A6" s="33" t="n">
        <v>46295</v>
      </c>
      <c r="B6" s="27" t="s">
        <v>185</v>
      </c>
      <c r="C6" s="27" t="s">
        <v>98</v>
      </c>
      <c r="D6" s="34" t="n">
        <v>300</v>
      </c>
      <c r="E6" s="27" t="s">
        <v>146</v>
      </c>
      <c r="F6" s="28" t="str">
        <f aca="false">IF(C6="","",IFERROR(INDEX(Settings!$C$8:$C$19,MATCH(C6,Settings!$B$8:$B$19,0)),"?"))</f>
        <v>Joint</v>
      </c>
      <c r="G6" s="35" t="n">
        <f aca="false">IF(A6="","",DATE(YEAR(A6),MONTH(A6),1))</f>
        <v>46266</v>
      </c>
    </row>
    <row r="7" customFormat="false" ht="15" hidden="false" customHeight="false" outlineLevel="0" collapsed="false">
      <c r="A7" s="33" t="n">
        <v>46297</v>
      </c>
      <c r="B7" s="27" t="s">
        <v>186</v>
      </c>
      <c r="C7" s="27" t="s">
        <v>91</v>
      </c>
      <c r="D7" s="34" t="n">
        <v>150</v>
      </c>
      <c r="E7" s="27" t="s">
        <v>146</v>
      </c>
      <c r="F7" s="28" t="str">
        <f aca="false">IF(C7="","",IFERROR(INDEX(Settings!$C$8:$C$19,MATCH(C7,Settings!$B$8:$B$19,0)),"?"))</f>
        <v>Me</v>
      </c>
      <c r="G7" s="35" t="n">
        <f aca="false">IF(A7="","",DATE(YEAR(A7),MONTH(A7),1))</f>
        <v>46296</v>
      </c>
    </row>
    <row r="8" customFormat="false" ht="15" hidden="false" customHeight="false" outlineLevel="0" collapsed="false">
      <c r="A8" s="33" t="n">
        <v>46297</v>
      </c>
      <c r="B8" s="27" t="s">
        <v>187</v>
      </c>
      <c r="C8" s="27" t="s">
        <v>91</v>
      </c>
      <c r="D8" s="34" t="n">
        <v>200</v>
      </c>
      <c r="E8" s="27" t="s">
        <v>146</v>
      </c>
      <c r="F8" s="28" t="str">
        <f aca="false">IF(C8="","",IFERROR(INDEX(Settings!$C$8:$C$19,MATCH(C8,Settings!$B$8:$B$19,0)),"?"))</f>
        <v>Me</v>
      </c>
      <c r="G8" s="35" t="n">
        <f aca="false">IF(A8="","",DATE(YEAR(A8),MONTH(A8),1))</f>
        <v>46296</v>
      </c>
    </row>
    <row r="9" customFormat="false" ht="15" hidden="false" customHeight="false" outlineLevel="0" collapsed="false">
      <c r="A9" s="33" t="n">
        <v>46298</v>
      </c>
      <c r="B9" s="27" t="s">
        <v>186</v>
      </c>
      <c r="C9" s="27" t="s">
        <v>94</v>
      </c>
      <c r="D9" s="34" t="n">
        <v>150</v>
      </c>
      <c r="E9" s="27" t="s">
        <v>146</v>
      </c>
      <c r="F9" s="28" t="str">
        <f aca="false">IF(C9="","",IFERROR(INDEX(Settings!$C$8:$C$19,MATCH(C9,Settings!$B$8:$B$19,0)),"?"))</f>
        <v>Partner</v>
      </c>
      <c r="G9" s="35" t="n">
        <f aca="false">IF(A9="","",DATE(YEAR(A9),MONTH(A9),1))</f>
        <v>46296</v>
      </c>
    </row>
    <row r="10" customFormat="false" ht="15" hidden="false" customHeight="false" outlineLevel="0" collapsed="false">
      <c r="A10" s="33"/>
      <c r="B10" s="27"/>
      <c r="C10" s="27"/>
      <c r="D10" s="34"/>
      <c r="E10" s="27"/>
      <c r="F10" s="28" t="str">
        <f aca="false">IF(C10="","",IFERROR(INDEX(Settings!$C$8:$C$19,MATCH(C10,Settings!$B$8:$B$19,0)),"?"))</f>
        <v/>
      </c>
      <c r="G10" s="35" t="str">
        <f aca="false">IF(A10="","",DATE(YEAR(A10),MONTH(A10),1))</f>
        <v/>
      </c>
    </row>
    <row r="11" customFormat="false" ht="15" hidden="false" customHeight="false" outlineLevel="0" collapsed="false">
      <c r="A11" s="33"/>
      <c r="B11" s="27"/>
      <c r="C11" s="27"/>
      <c r="D11" s="34"/>
      <c r="E11" s="27"/>
      <c r="F11" s="28" t="str">
        <f aca="false">IF(C11="","",IFERROR(INDEX(Settings!$C$8:$C$19,MATCH(C11,Settings!$B$8:$B$19,0)),"?"))</f>
        <v/>
      </c>
      <c r="G11" s="35" t="str">
        <f aca="false">IF(A11="","",DATE(YEAR(A11),MONTH(A11),1))</f>
        <v/>
      </c>
    </row>
    <row r="12" customFormat="false" ht="15" hidden="false" customHeight="false" outlineLevel="0" collapsed="false">
      <c r="A12" s="33"/>
      <c r="B12" s="27"/>
      <c r="C12" s="27"/>
      <c r="D12" s="34"/>
      <c r="E12" s="27"/>
      <c r="F12" s="28" t="str">
        <f aca="false">IF(C12="","",IFERROR(INDEX(Settings!$C$8:$C$19,MATCH(C12,Settings!$B$8:$B$19,0)),"?"))</f>
        <v/>
      </c>
      <c r="G12" s="35" t="str">
        <f aca="false">IF(A12="","",DATE(YEAR(A12),MONTH(A12),1))</f>
        <v/>
      </c>
    </row>
    <row r="13" customFormat="false" ht="15" hidden="false" customHeight="false" outlineLevel="0" collapsed="false">
      <c r="A13" s="33"/>
      <c r="B13" s="27"/>
      <c r="C13" s="27"/>
      <c r="D13" s="34"/>
      <c r="E13" s="27"/>
      <c r="F13" s="28" t="str">
        <f aca="false">IF(C13="","",IFERROR(INDEX(Settings!$C$8:$C$19,MATCH(C13,Settings!$B$8:$B$19,0)),"?"))</f>
        <v/>
      </c>
      <c r="G13" s="35" t="str">
        <f aca="false">IF(A13="","",DATE(YEAR(A13),MONTH(A13),1))</f>
        <v/>
      </c>
    </row>
    <row r="14" customFormat="false" ht="15" hidden="false" customHeight="false" outlineLevel="0" collapsed="false">
      <c r="A14" s="33"/>
      <c r="B14" s="27"/>
      <c r="C14" s="27"/>
      <c r="D14" s="34"/>
      <c r="E14" s="27"/>
      <c r="F14" s="28" t="str">
        <f aca="false">IF(C14="","",IFERROR(INDEX(Settings!$C$8:$C$19,MATCH(C14,Settings!$B$8:$B$19,0)),"?"))</f>
        <v/>
      </c>
      <c r="G14" s="35" t="str">
        <f aca="false">IF(A14="","",DATE(YEAR(A14),MONTH(A14),1))</f>
        <v/>
      </c>
    </row>
    <row r="15" customFormat="false" ht="15" hidden="false" customHeight="false" outlineLevel="0" collapsed="false">
      <c r="A15" s="33"/>
      <c r="B15" s="27"/>
      <c r="C15" s="27"/>
      <c r="D15" s="34"/>
      <c r="E15" s="27"/>
      <c r="F15" s="28" t="str">
        <f aca="false">IF(C15="","",IFERROR(INDEX(Settings!$C$8:$C$19,MATCH(C15,Settings!$B$8:$B$19,0)),"?"))</f>
        <v/>
      </c>
      <c r="G15" s="35" t="str">
        <f aca="false">IF(A15="","",DATE(YEAR(A15),MONTH(A15),1))</f>
        <v/>
      </c>
    </row>
    <row r="16" customFormat="false" ht="15" hidden="false" customHeight="false" outlineLevel="0" collapsed="false">
      <c r="A16" s="33"/>
      <c r="B16" s="27"/>
      <c r="C16" s="27"/>
      <c r="D16" s="34"/>
      <c r="E16" s="27"/>
      <c r="F16" s="28" t="str">
        <f aca="false">IF(C16="","",IFERROR(INDEX(Settings!$C$8:$C$19,MATCH(C16,Settings!$B$8:$B$19,0)),"?"))</f>
        <v/>
      </c>
      <c r="G16" s="35" t="str">
        <f aca="false">IF(A16="","",DATE(YEAR(A16),MONTH(A16),1))</f>
        <v/>
      </c>
    </row>
    <row r="17" customFormat="false" ht="15" hidden="false" customHeight="false" outlineLevel="0" collapsed="false">
      <c r="A17" s="33"/>
      <c r="B17" s="27"/>
      <c r="C17" s="27"/>
      <c r="D17" s="34"/>
      <c r="E17" s="27"/>
      <c r="F17" s="28" t="str">
        <f aca="false">IF(C17="","",IFERROR(INDEX(Settings!$C$8:$C$19,MATCH(C17,Settings!$B$8:$B$19,0)),"?"))</f>
        <v/>
      </c>
      <c r="G17" s="35" t="str">
        <f aca="false">IF(A17="","",DATE(YEAR(A17),MONTH(A17),1))</f>
        <v/>
      </c>
    </row>
    <row r="18" customFormat="false" ht="15" hidden="false" customHeight="false" outlineLevel="0" collapsed="false">
      <c r="A18" s="33"/>
      <c r="B18" s="27"/>
      <c r="C18" s="27"/>
      <c r="D18" s="34"/>
      <c r="E18" s="27"/>
      <c r="F18" s="28" t="str">
        <f aca="false">IF(C18="","",IFERROR(INDEX(Settings!$C$8:$C$19,MATCH(C18,Settings!$B$8:$B$19,0)),"?"))</f>
        <v/>
      </c>
      <c r="G18" s="35" t="str">
        <f aca="false">IF(A18="","",DATE(YEAR(A18),MONTH(A18),1))</f>
        <v/>
      </c>
    </row>
    <row r="19" customFormat="false" ht="15" hidden="false" customHeight="false" outlineLevel="0" collapsed="false">
      <c r="A19" s="33"/>
      <c r="B19" s="27"/>
      <c r="C19" s="27"/>
      <c r="D19" s="34"/>
      <c r="E19" s="27"/>
      <c r="F19" s="28" t="str">
        <f aca="false">IF(C19="","",IFERROR(INDEX(Settings!$C$8:$C$19,MATCH(C19,Settings!$B$8:$B$19,0)),"?"))</f>
        <v/>
      </c>
      <c r="G19" s="35" t="str">
        <f aca="false">IF(A19="","",DATE(YEAR(A19),MONTH(A19),1))</f>
        <v/>
      </c>
    </row>
    <row r="20" customFormat="false" ht="15" hidden="false" customHeight="false" outlineLevel="0" collapsed="false">
      <c r="A20" s="33"/>
      <c r="B20" s="27"/>
      <c r="C20" s="27"/>
      <c r="D20" s="34"/>
      <c r="E20" s="27"/>
      <c r="F20" s="28" t="str">
        <f aca="false">IF(C20="","",IFERROR(INDEX(Settings!$C$8:$C$19,MATCH(C20,Settings!$B$8:$B$19,0)),"?"))</f>
        <v/>
      </c>
      <c r="G20" s="35" t="str">
        <f aca="false">IF(A20="","",DATE(YEAR(A20),MONTH(A20),1))</f>
        <v/>
      </c>
    </row>
    <row r="21" customFormat="false" ht="15" hidden="false" customHeight="false" outlineLevel="0" collapsed="false">
      <c r="A21" s="33"/>
      <c r="B21" s="27"/>
      <c r="C21" s="27"/>
      <c r="D21" s="34"/>
      <c r="E21" s="27"/>
      <c r="F21" s="28" t="str">
        <f aca="false">IF(C21="","",IFERROR(INDEX(Settings!$C$8:$C$19,MATCH(C21,Settings!$B$8:$B$19,0)),"?"))</f>
        <v/>
      </c>
      <c r="G21" s="35" t="str">
        <f aca="false">IF(A21="","",DATE(YEAR(A21),MONTH(A21),1))</f>
        <v/>
      </c>
    </row>
    <row r="22" customFormat="false" ht="15" hidden="false" customHeight="false" outlineLevel="0" collapsed="false">
      <c r="A22" s="33"/>
      <c r="B22" s="27"/>
      <c r="C22" s="27"/>
      <c r="D22" s="34"/>
      <c r="E22" s="27"/>
      <c r="F22" s="28" t="str">
        <f aca="false">IF(C22="","",IFERROR(INDEX(Settings!$C$8:$C$19,MATCH(C22,Settings!$B$8:$B$19,0)),"?"))</f>
        <v/>
      </c>
      <c r="G22" s="35" t="str">
        <f aca="false">IF(A22="","",DATE(YEAR(A22),MONTH(A22),1))</f>
        <v/>
      </c>
    </row>
    <row r="23" customFormat="false" ht="15" hidden="false" customHeight="false" outlineLevel="0" collapsed="false">
      <c r="A23" s="33"/>
      <c r="B23" s="27"/>
      <c r="C23" s="27"/>
      <c r="D23" s="34"/>
      <c r="E23" s="27"/>
      <c r="F23" s="28" t="str">
        <f aca="false">IF(C23="","",IFERROR(INDEX(Settings!$C$8:$C$19,MATCH(C23,Settings!$B$8:$B$19,0)),"?"))</f>
        <v/>
      </c>
      <c r="G23" s="35" t="str">
        <f aca="false">IF(A23="","",DATE(YEAR(A23),MONTH(A23),1))</f>
        <v/>
      </c>
    </row>
    <row r="24" customFormat="false" ht="15" hidden="false" customHeight="false" outlineLevel="0" collapsed="false">
      <c r="A24" s="33"/>
      <c r="B24" s="27"/>
      <c r="C24" s="27"/>
      <c r="D24" s="34"/>
      <c r="E24" s="27"/>
      <c r="F24" s="28" t="str">
        <f aca="false">IF(C24="","",IFERROR(INDEX(Settings!$C$8:$C$19,MATCH(C24,Settings!$B$8:$B$19,0)),"?"))</f>
        <v/>
      </c>
      <c r="G24" s="35" t="str">
        <f aca="false">IF(A24="","",DATE(YEAR(A24),MONTH(A24),1))</f>
        <v/>
      </c>
    </row>
    <row r="25" customFormat="false" ht="15" hidden="false" customHeight="false" outlineLevel="0" collapsed="false">
      <c r="A25" s="33"/>
      <c r="B25" s="27"/>
      <c r="C25" s="27"/>
      <c r="D25" s="34"/>
      <c r="E25" s="27"/>
      <c r="F25" s="28" t="str">
        <f aca="false">IF(C25="","",IFERROR(INDEX(Settings!$C$8:$C$19,MATCH(C25,Settings!$B$8:$B$19,0)),"?"))</f>
        <v/>
      </c>
      <c r="G25" s="35" t="str">
        <f aca="false">IF(A25="","",DATE(YEAR(A25),MONTH(A25),1))</f>
        <v/>
      </c>
    </row>
    <row r="26" customFormat="false" ht="15" hidden="false" customHeight="false" outlineLevel="0" collapsed="false">
      <c r="A26" s="33"/>
      <c r="B26" s="27"/>
      <c r="C26" s="27"/>
      <c r="D26" s="34"/>
      <c r="E26" s="27"/>
      <c r="F26" s="28" t="str">
        <f aca="false">IF(C26="","",IFERROR(INDEX(Settings!$C$8:$C$19,MATCH(C26,Settings!$B$8:$B$19,0)),"?"))</f>
        <v/>
      </c>
      <c r="G26" s="35" t="str">
        <f aca="false">IF(A26="","",DATE(YEAR(A26),MONTH(A26),1))</f>
        <v/>
      </c>
    </row>
    <row r="27" customFormat="false" ht="15" hidden="false" customHeight="false" outlineLevel="0" collapsed="false">
      <c r="A27" s="33"/>
      <c r="B27" s="27"/>
      <c r="C27" s="27"/>
      <c r="D27" s="34"/>
      <c r="E27" s="27"/>
      <c r="F27" s="28" t="str">
        <f aca="false">IF(C27="","",IFERROR(INDEX(Settings!$C$8:$C$19,MATCH(C27,Settings!$B$8:$B$19,0)),"?"))</f>
        <v/>
      </c>
      <c r="G27" s="35" t="str">
        <f aca="false">IF(A27="","",DATE(YEAR(A27),MONTH(A27),1))</f>
        <v/>
      </c>
    </row>
    <row r="28" customFormat="false" ht="15" hidden="false" customHeight="false" outlineLevel="0" collapsed="false">
      <c r="A28" s="33"/>
      <c r="B28" s="27"/>
      <c r="C28" s="27"/>
      <c r="D28" s="34"/>
      <c r="E28" s="27"/>
      <c r="F28" s="28" t="str">
        <f aca="false">IF(C28="","",IFERROR(INDEX(Settings!$C$8:$C$19,MATCH(C28,Settings!$B$8:$B$19,0)),"?"))</f>
        <v/>
      </c>
      <c r="G28" s="35" t="str">
        <f aca="false">IF(A28="","",DATE(YEAR(A28),MONTH(A28),1))</f>
        <v/>
      </c>
    </row>
    <row r="29" customFormat="false" ht="15" hidden="false" customHeight="false" outlineLevel="0" collapsed="false">
      <c r="A29" s="33"/>
      <c r="B29" s="27"/>
      <c r="C29" s="27"/>
      <c r="D29" s="34"/>
      <c r="E29" s="27"/>
      <c r="F29" s="28" t="str">
        <f aca="false">IF(C29="","",IFERROR(INDEX(Settings!$C$8:$C$19,MATCH(C29,Settings!$B$8:$B$19,0)),"?"))</f>
        <v/>
      </c>
      <c r="G29" s="35" t="str">
        <f aca="false">IF(A29="","",DATE(YEAR(A29),MONTH(A29),1))</f>
        <v/>
      </c>
    </row>
    <row r="30" customFormat="false" ht="15" hidden="false" customHeight="false" outlineLevel="0" collapsed="false">
      <c r="A30" s="33"/>
      <c r="B30" s="27"/>
      <c r="C30" s="27"/>
      <c r="D30" s="34"/>
      <c r="E30" s="27"/>
      <c r="F30" s="28" t="str">
        <f aca="false">IF(C30="","",IFERROR(INDEX(Settings!$C$8:$C$19,MATCH(C30,Settings!$B$8:$B$19,0)),"?"))</f>
        <v/>
      </c>
      <c r="G30" s="35" t="str">
        <f aca="false">IF(A30="","",DATE(YEAR(A30),MONTH(A30),1))</f>
        <v/>
      </c>
    </row>
    <row r="31" customFormat="false" ht="15" hidden="false" customHeight="false" outlineLevel="0" collapsed="false">
      <c r="A31" s="33"/>
      <c r="B31" s="27"/>
      <c r="C31" s="27"/>
      <c r="D31" s="34"/>
      <c r="E31" s="27"/>
      <c r="F31" s="28" t="str">
        <f aca="false">IF(C31="","",IFERROR(INDEX(Settings!$C$8:$C$19,MATCH(C31,Settings!$B$8:$B$19,0)),"?"))</f>
        <v/>
      </c>
      <c r="G31" s="35" t="str">
        <f aca="false">IF(A31="","",DATE(YEAR(A31),MONTH(A31),1))</f>
        <v/>
      </c>
    </row>
    <row r="32" customFormat="false" ht="15" hidden="false" customHeight="false" outlineLevel="0" collapsed="false">
      <c r="A32" s="33"/>
      <c r="B32" s="27"/>
      <c r="C32" s="27"/>
      <c r="D32" s="34"/>
      <c r="E32" s="27"/>
      <c r="F32" s="28" t="str">
        <f aca="false">IF(C32="","",IFERROR(INDEX(Settings!$C$8:$C$19,MATCH(C32,Settings!$B$8:$B$19,0)),"?"))</f>
        <v/>
      </c>
      <c r="G32" s="35" t="str">
        <f aca="false">IF(A32="","",DATE(YEAR(A32),MONTH(A32),1))</f>
        <v/>
      </c>
    </row>
    <row r="33" customFormat="false" ht="15" hidden="false" customHeight="false" outlineLevel="0" collapsed="false">
      <c r="A33" s="33"/>
      <c r="B33" s="27"/>
      <c r="C33" s="27"/>
      <c r="D33" s="34"/>
      <c r="E33" s="27"/>
      <c r="F33" s="28" t="str">
        <f aca="false">IF(C33="","",IFERROR(INDEX(Settings!$C$8:$C$19,MATCH(C33,Settings!$B$8:$B$19,0)),"?"))</f>
        <v/>
      </c>
      <c r="G33" s="35" t="str">
        <f aca="false">IF(A33="","",DATE(YEAR(A33),MONTH(A33),1))</f>
        <v/>
      </c>
    </row>
    <row r="34" customFormat="false" ht="15" hidden="false" customHeight="false" outlineLevel="0" collapsed="false">
      <c r="A34" s="33"/>
      <c r="B34" s="27"/>
      <c r="C34" s="27"/>
      <c r="D34" s="34"/>
      <c r="E34" s="27"/>
      <c r="F34" s="28" t="str">
        <f aca="false">IF(C34="","",IFERROR(INDEX(Settings!$C$8:$C$19,MATCH(C34,Settings!$B$8:$B$19,0)),"?"))</f>
        <v/>
      </c>
      <c r="G34" s="35" t="str">
        <f aca="false">IF(A34="","",DATE(YEAR(A34),MONTH(A34),1))</f>
        <v/>
      </c>
    </row>
    <row r="35" customFormat="false" ht="15" hidden="false" customHeight="false" outlineLevel="0" collapsed="false">
      <c r="A35" s="33"/>
      <c r="B35" s="27"/>
      <c r="C35" s="27"/>
      <c r="D35" s="34"/>
      <c r="E35" s="27"/>
      <c r="F35" s="28" t="str">
        <f aca="false">IF(C35="","",IFERROR(INDEX(Settings!$C$8:$C$19,MATCH(C35,Settings!$B$8:$B$19,0)),"?"))</f>
        <v/>
      </c>
      <c r="G35" s="35" t="str">
        <f aca="false">IF(A35="","",DATE(YEAR(A35),MONTH(A35),1))</f>
        <v/>
      </c>
    </row>
    <row r="36" customFormat="false" ht="15" hidden="false" customHeight="false" outlineLevel="0" collapsed="false">
      <c r="A36" s="33"/>
      <c r="B36" s="27"/>
      <c r="C36" s="27"/>
      <c r="D36" s="34"/>
      <c r="E36" s="27"/>
      <c r="F36" s="28" t="str">
        <f aca="false">IF(C36="","",IFERROR(INDEX(Settings!$C$8:$C$19,MATCH(C36,Settings!$B$8:$B$19,0)),"?"))</f>
        <v/>
      </c>
      <c r="G36" s="35" t="str">
        <f aca="false">IF(A36="","",DATE(YEAR(A36),MONTH(A36),1))</f>
        <v/>
      </c>
    </row>
    <row r="37" customFormat="false" ht="15" hidden="false" customHeight="false" outlineLevel="0" collapsed="false">
      <c r="A37" s="33"/>
      <c r="B37" s="27"/>
      <c r="C37" s="27"/>
      <c r="D37" s="34"/>
      <c r="E37" s="27"/>
      <c r="F37" s="28" t="str">
        <f aca="false">IF(C37="","",IFERROR(INDEX(Settings!$C$8:$C$19,MATCH(C37,Settings!$B$8:$B$19,0)),"?"))</f>
        <v/>
      </c>
      <c r="G37" s="35" t="str">
        <f aca="false">IF(A37="","",DATE(YEAR(A37),MONTH(A37),1))</f>
        <v/>
      </c>
    </row>
    <row r="38" customFormat="false" ht="15" hidden="false" customHeight="false" outlineLevel="0" collapsed="false">
      <c r="A38" s="33"/>
      <c r="B38" s="27"/>
      <c r="C38" s="27"/>
      <c r="D38" s="34"/>
      <c r="E38" s="27"/>
      <c r="F38" s="28" t="str">
        <f aca="false">IF(C38="","",IFERROR(INDEX(Settings!$C$8:$C$19,MATCH(C38,Settings!$B$8:$B$19,0)),"?"))</f>
        <v/>
      </c>
      <c r="G38" s="35" t="str">
        <f aca="false">IF(A38="","",DATE(YEAR(A38),MONTH(A38),1))</f>
        <v/>
      </c>
    </row>
    <row r="39" customFormat="false" ht="15" hidden="false" customHeight="false" outlineLevel="0" collapsed="false">
      <c r="A39" s="33"/>
      <c r="B39" s="27"/>
      <c r="C39" s="27"/>
      <c r="D39" s="34"/>
      <c r="E39" s="27"/>
      <c r="F39" s="28" t="str">
        <f aca="false">IF(C39="","",IFERROR(INDEX(Settings!$C$8:$C$19,MATCH(C39,Settings!$B$8:$B$19,0)),"?"))</f>
        <v/>
      </c>
      <c r="G39" s="35" t="str">
        <f aca="false">IF(A39="","",DATE(YEAR(A39),MONTH(A39),1))</f>
        <v/>
      </c>
    </row>
    <row r="40" customFormat="false" ht="15" hidden="false" customHeight="false" outlineLevel="0" collapsed="false">
      <c r="A40" s="33"/>
      <c r="B40" s="27"/>
      <c r="C40" s="27"/>
      <c r="D40" s="34"/>
      <c r="E40" s="27"/>
      <c r="F40" s="28" t="str">
        <f aca="false">IF(C40="","",IFERROR(INDEX(Settings!$C$8:$C$19,MATCH(C40,Settings!$B$8:$B$19,0)),"?"))</f>
        <v/>
      </c>
      <c r="G40" s="35" t="str">
        <f aca="false">IF(A40="","",DATE(YEAR(A40),MONTH(A40),1))</f>
        <v/>
      </c>
    </row>
    <row r="41" customFormat="false" ht="15" hidden="false" customHeight="false" outlineLevel="0" collapsed="false">
      <c r="A41" s="33"/>
      <c r="B41" s="27"/>
      <c r="C41" s="27"/>
      <c r="D41" s="34"/>
      <c r="E41" s="27"/>
      <c r="F41" s="28" t="str">
        <f aca="false">IF(C41="","",IFERROR(INDEX(Settings!$C$8:$C$19,MATCH(C41,Settings!$B$8:$B$19,0)),"?"))</f>
        <v/>
      </c>
      <c r="G41" s="35" t="str">
        <f aca="false">IF(A41="","",DATE(YEAR(A41),MONTH(A41),1))</f>
        <v/>
      </c>
    </row>
    <row r="42" customFormat="false" ht="15" hidden="false" customHeight="false" outlineLevel="0" collapsed="false">
      <c r="A42" s="33"/>
      <c r="B42" s="27"/>
      <c r="C42" s="27"/>
      <c r="D42" s="34"/>
      <c r="E42" s="27"/>
      <c r="F42" s="28" t="str">
        <f aca="false">IF(C42="","",IFERROR(INDEX(Settings!$C$8:$C$19,MATCH(C42,Settings!$B$8:$B$19,0)),"?"))</f>
        <v/>
      </c>
      <c r="G42" s="35" t="str">
        <f aca="false">IF(A42="","",DATE(YEAR(A42),MONTH(A42),1))</f>
        <v/>
      </c>
    </row>
    <row r="43" customFormat="false" ht="15" hidden="false" customHeight="false" outlineLevel="0" collapsed="false">
      <c r="A43" s="33"/>
      <c r="B43" s="27"/>
      <c r="C43" s="27"/>
      <c r="D43" s="34"/>
      <c r="E43" s="27"/>
      <c r="F43" s="28" t="str">
        <f aca="false">IF(C43="","",IFERROR(INDEX(Settings!$C$8:$C$19,MATCH(C43,Settings!$B$8:$B$19,0)),"?"))</f>
        <v/>
      </c>
      <c r="G43" s="35" t="str">
        <f aca="false">IF(A43="","",DATE(YEAR(A43),MONTH(A43),1))</f>
        <v/>
      </c>
    </row>
    <row r="44" customFormat="false" ht="15" hidden="false" customHeight="false" outlineLevel="0" collapsed="false">
      <c r="A44" s="33"/>
      <c r="B44" s="27"/>
      <c r="C44" s="27"/>
      <c r="D44" s="34"/>
      <c r="E44" s="27"/>
      <c r="F44" s="28" t="str">
        <f aca="false">IF(C44="","",IFERROR(INDEX(Settings!$C$8:$C$19,MATCH(C44,Settings!$B$8:$B$19,0)),"?"))</f>
        <v/>
      </c>
      <c r="G44" s="35" t="str">
        <f aca="false">IF(A44="","",DATE(YEAR(A44),MONTH(A44),1))</f>
        <v/>
      </c>
    </row>
    <row r="45" customFormat="false" ht="15" hidden="false" customHeight="false" outlineLevel="0" collapsed="false">
      <c r="A45" s="33"/>
      <c r="B45" s="27"/>
      <c r="C45" s="27"/>
      <c r="D45" s="34"/>
      <c r="E45" s="27"/>
      <c r="F45" s="28" t="str">
        <f aca="false">IF(C45="","",IFERROR(INDEX(Settings!$C$8:$C$19,MATCH(C45,Settings!$B$8:$B$19,0)),"?"))</f>
        <v/>
      </c>
      <c r="G45" s="35" t="str">
        <f aca="false">IF(A45="","",DATE(YEAR(A45),MONTH(A45),1))</f>
        <v/>
      </c>
    </row>
    <row r="46" customFormat="false" ht="15" hidden="false" customHeight="false" outlineLevel="0" collapsed="false">
      <c r="A46" s="33"/>
      <c r="B46" s="27"/>
      <c r="C46" s="27"/>
      <c r="D46" s="34"/>
      <c r="E46" s="27"/>
      <c r="F46" s="28" t="str">
        <f aca="false">IF(C46="","",IFERROR(INDEX(Settings!$C$8:$C$19,MATCH(C46,Settings!$B$8:$B$19,0)),"?"))</f>
        <v/>
      </c>
      <c r="G46" s="35" t="str">
        <f aca="false">IF(A46="","",DATE(YEAR(A46),MONTH(A46),1))</f>
        <v/>
      </c>
    </row>
    <row r="47" customFormat="false" ht="15" hidden="false" customHeight="false" outlineLevel="0" collapsed="false">
      <c r="A47" s="33"/>
      <c r="B47" s="27"/>
      <c r="C47" s="27"/>
      <c r="D47" s="34"/>
      <c r="E47" s="27"/>
      <c r="F47" s="28" t="str">
        <f aca="false">IF(C47="","",IFERROR(INDEX(Settings!$C$8:$C$19,MATCH(C47,Settings!$B$8:$B$19,0)),"?"))</f>
        <v/>
      </c>
      <c r="G47" s="35" t="str">
        <f aca="false">IF(A47="","",DATE(YEAR(A47),MONTH(A47),1))</f>
        <v/>
      </c>
    </row>
    <row r="48" customFormat="false" ht="15" hidden="false" customHeight="false" outlineLevel="0" collapsed="false">
      <c r="A48" s="33"/>
      <c r="B48" s="27"/>
      <c r="C48" s="27"/>
      <c r="D48" s="34"/>
      <c r="E48" s="27"/>
      <c r="F48" s="28" t="str">
        <f aca="false">IF(C48="","",IFERROR(INDEX(Settings!$C$8:$C$19,MATCH(C48,Settings!$B$8:$B$19,0)),"?"))</f>
        <v/>
      </c>
      <c r="G48" s="35" t="str">
        <f aca="false">IF(A48="","",DATE(YEAR(A48),MONTH(A48),1))</f>
        <v/>
      </c>
    </row>
    <row r="49" customFormat="false" ht="15" hidden="false" customHeight="false" outlineLevel="0" collapsed="false">
      <c r="A49" s="33"/>
      <c r="B49" s="27"/>
      <c r="C49" s="27"/>
      <c r="D49" s="34"/>
      <c r="E49" s="27"/>
      <c r="F49" s="28" t="str">
        <f aca="false">IF(C49="","",IFERROR(INDEX(Settings!$C$8:$C$19,MATCH(C49,Settings!$B$8:$B$19,0)),"?"))</f>
        <v/>
      </c>
      <c r="G49" s="35" t="str">
        <f aca="false">IF(A49="","",DATE(YEAR(A49),MONTH(A49),1))</f>
        <v/>
      </c>
    </row>
    <row r="50" customFormat="false" ht="15" hidden="false" customHeight="false" outlineLevel="0" collapsed="false">
      <c r="A50" s="33"/>
      <c r="B50" s="27"/>
      <c r="C50" s="27"/>
      <c r="D50" s="34"/>
      <c r="E50" s="27"/>
      <c r="F50" s="28" t="str">
        <f aca="false">IF(C50="","",IFERROR(INDEX(Settings!$C$8:$C$19,MATCH(C50,Settings!$B$8:$B$19,0)),"?"))</f>
        <v/>
      </c>
      <c r="G50" s="35" t="str">
        <f aca="false">IF(A50="","",DATE(YEAR(A50),MONTH(A50),1))</f>
        <v/>
      </c>
    </row>
    <row r="51" customFormat="false" ht="15" hidden="false" customHeight="false" outlineLevel="0" collapsed="false">
      <c r="A51" s="33"/>
      <c r="B51" s="27"/>
      <c r="C51" s="27"/>
      <c r="D51" s="34"/>
      <c r="E51" s="27"/>
      <c r="F51" s="28" t="str">
        <f aca="false">IF(C51="","",IFERROR(INDEX(Settings!$C$8:$C$19,MATCH(C51,Settings!$B$8:$B$19,0)),"?"))</f>
        <v/>
      </c>
      <c r="G51" s="35" t="str">
        <f aca="false">IF(A51="","",DATE(YEAR(A51),MONTH(A51),1))</f>
        <v/>
      </c>
    </row>
    <row r="52" customFormat="false" ht="15" hidden="false" customHeight="false" outlineLevel="0" collapsed="false">
      <c r="A52" s="33"/>
      <c r="B52" s="27"/>
      <c r="C52" s="27"/>
      <c r="D52" s="34"/>
      <c r="E52" s="27"/>
      <c r="F52" s="28" t="str">
        <f aca="false">IF(C52="","",IFERROR(INDEX(Settings!$C$8:$C$19,MATCH(C52,Settings!$B$8:$B$19,0)),"?"))</f>
        <v/>
      </c>
      <c r="G52" s="35" t="str">
        <f aca="false">IF(A52="","",DATE(YEAR(A52),MONTH(A52),1))</f>
        <v/>
      </c>
    </row>
    <row r="53" customFormat="false" ht="15" hidden="false" customHeight="false" outlineLevel="0" collapsed="false">
      <c r="A53" s="33"/>
      <c r="B53" s="27"/>
      <c r="C53" s="27"/>
      <c r="D53" s="34"/>
      <c r="E53" s="27"/>
      <c r="F53" s="28" t="str">
        <f aca="false">IF(C53="","",IFERROR(INDEX(Settings!$C$8:$C$19,MATCH(C53,Settings!$B$8:$B$19,0)),"?"))</f>
        <v/>
      </c>
      <c r="G53" s="35" t="str">
        <f aca="false">IF(A53="","",DATE(YEAR(A53),MONTH(A53),1))</f>
        <v/>
      </c>
    </row>
    <row r="54" customFormat="false" ht="15" hidden="false" customHeight="false" outlineLevel="0" collapsed="false">
      <c r="A54" s="33"/>
      <c r="B54" s="27"/>
      <c r="C54" s="27"/>
      <c r="D54" s="34"/>
      <c r="E54" s="27"/>
      <c r="F54" s="28" t="str">
        <f aca="false">IF(C54="","",IFERROR(INDEX(Settings!$C$8:$C$19,MATCH(C54,Settings!$B$8:$B$19,0)),"?"))</f>
        <v/>
      </c>
      <c r="G54" s="35" t="str">
        <f aca="false">IF(A54="","",DATE(YEAR(A54),MONTH(A54),1))</f>
        <v/>
      </c>
    </row>
    <row r="55" customFormat="false" ht="15" hidden="false" customHeight="false" outlineLevel="0" collapsed="false">
      <c r="A55" s="33"/>
      <c r="B55" s="27"/>
      <c r="C55" s="27"/>
      <c r="D55" s="34"/>
      <c r="E55" s="27"/>
      <c r="F55" s="28" t="str">
        <f aca="false">IF(C55="","",IFERROR(INDEX(Settings!$C$8:$C$19,MATCH(C55,Settings!$B$8:$B$19,0)),"?"))</f>
        <v/>
      </c>
      <c r="G55" s="35" t="str">
        <f aca="false">IF(A55="","",DATE(YEAR(A55),MONTH(A55),1))</f>
        <v/>
      </c>
    </row>
    <row r="56" customFormat="false" ht="15" hidden="false" customHeight="false" outlineLevel="0" collapsed="false">
      <c r="A56" s="33"/>
      <c r="B56" s="27"/>
      <c r="C56" s="27"/>
      <c r="D56" s="34"/>
      <c r="E56" s="27"/>
      <c r="F56" s="28" t="str">
        <f aca="false">IF(C56="","",IFERROR(INDEX(Settings!$C$8:$C$19,MATCH(C56,Settings!$B$8:$B$19,0)),"?"))</f>
        <v/>
      </c>
      <c r="G56" s="35" t="str">
        <f aca="false">IF(A56="","",DATE(YEAR(A56),MONTH(A56),1))</f>
        <v/>
      </c>
    </row>
    <row r="57" customFormat="false" ht="15" hidden="false" customHeight="false" outlineLevel="0" collapsed="false">
      <c r="A57" s="33"/>
      <c r="B57" s="27"/>
      <c r="C57" s="27"/>
      <c r="D57" s="34"/>
      <c r="E57" s="27"/>
      <c r="F57" s="28" t="str">
        <f aca="false">IF(C57="","",IFERROR(INDEX(Settings!$C$8:$C$19,MATCH(C57,Settings!$B$8:$B$19,0)),"?"))</f>
        <v/>
      </c>
      <c r="G57" s="35" t="str">
        <f aca="false">IF(A57="","",DATE(YEAR(A57),MONTH(A57),1))</f>
        <v/>
      </c>
    </row>
    <row r="58" customFormat="false" ht="15" hidden="false" customHeight="false" outlineLevel="0" collapsed="false">
      <c r="A58" s="33"/>
      <c r="B58" s="27"/>
      <c r="C58" s="27"/>
      <c r="D58" s="34"/>
      <c r="E58" s="27"/>
      <c r="F58" s="28" t="str">
        <f aca="false">IF(C58="","",IFERROR(INDEX(Settings!$C$8:$C$19,MATCH(C58,Settings!$B$8:$B$19,0)),"?"))</f>
        <v/>
      </c>
      <c r="G58" s="35" t="str">
        <f aca="false">IF(A58="","",DATE(YEAR(A58),MONTH(A58),1))</f>
        <v/>
      </c>
    </row>
    <row r="59" customFormat="false" ht="15" hidden="false" customHeight="false" outlineLevel="0" collapsed="false">
      <c r="A59" s="33"/>
      <c r="B59" s="27"/>
      <c r="C59" s="27"/>
      <c r="D59" s="34"/>
      <c r="E59" s="27"/>
      <c r="F59" s="28" t="str">
        <f aca="false">IF(C59="","",IFERROR(INDEX(Settings!$C$8:$C$19,MATCH(C59,Settings!$B$8:$B$19,0)),"?"))</f>
        <v/>
      </c>
      <c r="G59" s="35" t="str">
        <f aca="false">IF(A59="","",DATE(YEAR(A59),MONTH(A59),1))</f>
        <v/>
      </c>
    </row>
    <row r="60" customFormat="false" ht="15" hidden="false" customHeight="false" outlineLevel="0" collapsed="false">
      <c r="A60" s="33"/>
      <c r="B60" s="27"/>
      <c r="C60" s="27"/>
      <c r="D60" s="34"/>
      <c r="E60" s="27"/>
      <c r="F60" s="28" t="str">
        <f aca="false">IF(C60="","",IFERROR(INDEX(Settings!$C$8:$C$19,MATCH(C60,Settings!$B$8:$B$19,0)),"?"))</f>
        <v/>
      </c>
      <c r="G60" s="35" t="str">
        <f aca="false">IF(A60="","",DATE(YEAR(A60),MONTH(A60),1))</f>
        <v/>
      </c>
    </row>
    <row r="61" customFormat="false" ht="15" hidden="false" customHeight="false" outlineLevel="0" collapsed="false">
      <c r="A61" s="33"/>
      <c r="B61" s="27"/>
      <c r="C61" s="27"/>
      <c r="D61" s="34"/>
      <c r="E61" s="27"/>
      <c r="F61" s="28" t="str">
        <f aca="false">IF(C61="","",IFERROR(INDEX(Settings!$C$8:$C$19,MATCH(C61,Settings!$B$8:$B$19,0)),"?"))</f>
        <v/>
      </c>
      <c r="G61" s="35" t="str">
        <f aca="false">IF(A61="","",DATE(YEAR(A61),MONTH(A61),1))</f>
        <v/>
      </c>
    </row>
    <row r="62" customFormat="false" ht="15" hidden="false" customHeight="false" outlineLevel="0" collapsed="false">
      <c r="A62" s="33"/>
      <c r="B62" s="27"/>
      <c r="C62" s="27"/>
      <c r="D62" s="34"/>
      <c r="E62" s="27"/>
      <c r="F62" s="28" t="str">
        <f aca="false">IF(C62="","",IFERROR(INDEX(Settings!$C$8:$C$19,MATCH(C62,Settings!$B$8:$B$19,0)),"?"))</f>
        <v/>
      </c>
      <c r="G62" s="35" t="str">
        <f aca="false">IF(A62="","",DATE(YEAR(A62),MONTH(A62),1))</f>
        <v/>
      </c>
    </row>
    <row r="63" customFormat="false" ht="15" hidden="false" customHeight="false" outlineLevel="0" collapsed="false">
      <c r="A63" s="33"/>
      <c r="B63" s="27"/>
      <c r="C63" s="27"/>
      <c r="D63" s="34"/>
      <c r="E63" s="27"/>
      <c r="F63" s="28" t="str">
        <f aca="false">IF(C63="","",IFERROR(INDEX(Settings!$C$8:$C$19,MATCH(C63,Settings!$B$8:$B$19,0)),"?"))</f>
        <v/>
      </c>
      <c r="G63" s="35" t="str">
        <f aca="false">IF(A63="","",DATE(YEAR(A63),MONTH(A63),1))</f>
        <v/>
      </c>
    </row>
    <row r="64" customFormat="false" ht="15" hidden="false" customHeight="false" outlineLevel="0" collapsed="false">
      <c r="A64" s="33"/>
      <c r="B64" s="27"/>
      <c r="C64" s="27"/>
      <c r="D64" s="34"/>
      <c r="E64" s="27"/>
      <c r="F64" s="28" t="str">
        <f aca="false">IF(C64="","",IFERROR(INDEX(Settings!$C$8:$C$19,MATCH(C64,Settings!$B$8:$B$19,0)),"?"))</f>
        <v/>
      </c>
      <c r="G64" s="35" t="str">
        <f aca="false">IF(A64="","",DATE(YEAR(A64),MONTH(A64),1))</f>
        <v/>
      </c>
    </row>
    <row r="65" customFormat="false" ht="15" hidden="false" customHeight="false" outlineLevel="0" collapsed="false">
      <c r="A65" s="33"/>
      <c r="B65" s="27"/>
      <c r="C65" s="27"/>
      <c r="D65" s="34"/>
      <c r="E65" s="27"/>
      <c r="F65" s="28" t="str">
        <f aca="false">IF(C65="","",IFERROR(INDEX(Settings!$C$8:$C$19,MATCH(C65,Settings!$B$8:$B$19,0)),"?"))</f>
        <v/>
      </c>
      <c r="G65" s="35" t="str">
        <f aca="false">IF(A65="","",DATE(YEAR(A65),MONTH(A65),1))</f>
        <v/>
      </c>
    </row>
    <row r="66" customFormat="false" ht="15" hidden="false" customHeight="false" outlineLevel="0" collapsed="false">
      <c r="A66" s="33"/>
      <c r="B66" s="27"/>
      <c r="C66" s="27"/>
      <c r="D66" s="34"/>
      <c r="E66" s="27"/>
      <c r="F66" s="28" t="str">
        <f aca="false">IF(C66="","",IFERROR(INDEX(Settings!$C$8:$C$19,MATCH(C66,Settings!$B$8:$B$19,0)),"?"))</f>
        <v/>
      </c>
      <c r="G66" s="35" t="str">
        <f aca="false">IF(A66="","",DATE(YEAR(A66),MONTH(A66),1))</f>
        <v/>
      </c>
    </row>
    <row r="67" customFormat="false" ht="15" hidden="false" customHeight="false" outlineLevel="0" collapsed="false">
      <c r="A67" s="33"/>
      <c r="B67" s="27"/>
      <c r="C67" s="27"/>
      <c r="D67" s="34"/>
      <c r="E67" s="27"/>
      <c r="F67" s="28" t="str">
        <f aca="false">IF(C67="","",IFERROR(INDEX(Settings!$C$8:$C$19,MATCH(C67,Settings!$B$8:$B$19,0)),"?"))</f>
        <v/>
      </c>
      <c r="G67" s="35" t="str">
        <f aca="false">IF(A67="","",DATE(YEAR(A67),MONTH(A67),1))</f>
        <v/>
      </c>
    </row>
    <row r="68" customFormat="false" ht="15" hidden="false" customHeight="false" outlineLevel="0" collapsed="false">
      <c r="A68" s="33"/>
      <c r="B68" s="27"/>
      <c r="C68" s="27"/>
      <c r="D68" s="34"/>
      <c r="E68" s="27"/>
      <c r="F68" s="28" t="str">
        <f aca="false">IF(C68="","",IFERROR(INDEX(Settings!$C$8:$C$19,MATCH(C68,Settings!$B$8:$B$19,0)),"?"))</f>
        <v/>
      </c>
      <c r="G68" s="35" t="str">
        <f aca="false">IF(A68="","",DATE(YEAR(A68),MONTH(A68),1))</f>
        <v/>
      </c>
    </row>
    <row r="69" customFormat="false" ht="15" hidden="false" customHeight="false" outlineLevel="0" collapsed="false">
      <c r="A69" s="33"/>
      <c r="B69" s="27"/>
      <c r="C69" s="27"/>
      <c r="D69" s="34"/>
      <c r="E69" s="27"/>
      <c r="F69" s="28" t="str">
        <f aca="false">IF(C69="","",IFERROR(INDEX(Settings!$C$8:$C$19,MATCH(C69,Settings!$B$8:$B$19,0)),"?"))</f>
        <v/>
      </c>
      <c r="G69" s="35" t="str">
        <f aca="false">IF(A69="","",DATE(YEAR(A69),MONTH(A69),1))</f>
        <v/>
      </c>
    </row>
    <row r="70" customFormat="false" ht="15" hidden="false" customHeight="false" outlineLevel="0" collapsed="false">
      <c r="A70" s="33"/>
      <c r="B70" s="27"/>
      <c r="C70" s="27"/>
      <c r="D70" s="34"/>
      <c r="E70" s="27"/>
      <c r="F70" s="28" t="str">
        <f aca="false">IF(C70="","",IFERROR(INDEX(Settings!$C$8:$C$19,MATCH(C70,Settings!$B$8:$B$19,0)),"?"))</f>
        <v/>
      </c>
      <c r="G70" s="35" t="str">
        <f aca="false">IF(A70="","",DATE(YEAR(A70),MONTH(A70),1))</f>
        <v/>
      </c>
    </row>
    <row r="71" customFormat="false" ht="15" hidden="false" customHeight="false" outlineLevel="0" collapsed="false">
      <c r="A71" s="33"/>
      <c r="B71" s="27"/>
      <c r="C71" s="27"/>
      <c r="D71" s="34"/>
      <c r="E71" s="27"/>
      <c r="F71" s="28" t="str">
        <f aca="false">IF(C71="","",IFERROR(INDEX(Settings!$C$8:$C$19,MATCH(C71,Settings!$B$8:$B$19,0)),"?"))</f>
        <v/>
      </c>
      <c r="G71" s="35" t="str">
        <f aca="false">IF(A71="","",DATE(YEAR(A71),MONTH(A71),1))</f>
        <v/>
      </c>
    </row>
    <row r="72" customFormat="false" ht="15" hidden="false" customHeight="false" outlineLevel="0" collapsed="false">
      <c r="A72" s="33"/>
      <c r="B72" s="27"/>
      <c r="C72" s="27"/>
      <c r="D72" s="34"/>
      <c r="E72" s="27"/>
      <c r="F72" s="28" t="str">
        <f aca="false">IF(C72="","",IFERROR(INDEX(Settings!$C$8:$C$19,MATCH(C72,Settings!$B$8:$B$19,0)),"?"))</f>
        <v/>
      </c>
      <c r="G72" s="35" t="str">
        <f aca="false">IF(A72="","",DATE(YEAR(A72),MONTH(A72),1))</f>
        <v/>
      </c>
    </row>
    <row r="73" customFormat="false" ht="15" hidden="false" customHeight="false" outlineLevel="0" collapsed="false">
      <c r="A73" s="33"/>
      <c r="B73" s="27"/>
      <c r="C73" s="27"/>
      <c r="D73" s="34"/>
      <c r="E73" s="27"/>
      <c r="F73" s="28" t="str">
        <f aca="false">IF(C73="","",IFERROR(INDEX(Settings!$C$8:$C$19,MATCH(C73,Settings!$B$8:$B$19,0)),"?"))</f>
        <v/>
      </c>
      <c r="G73" s="35" t="str">
        <f aca="false">IF(A73="","",DATE(YEAR(A73),MONTH(A73),1))</f>
        <v/>
      </c>
    </row>
    <row r="74" customFormat="false" ht="15" hidden="false" customHeight="false" outlineLevel="0" collapsed="false">
      <c r="A74" s="33"/>
      <c r="B74" s="27"/>
      <c r="C74" s="27"/>
      <c r="D74" s="34"/>
      <c r="E74" s="27"/>
      <c r="F74" s="28" t="str">
        <f aca="false">IF(C74="","",IFERROR(INDEX(Settings!$C$8:$C$19,MATCH(C74,Settings!$B$8:$B$19,0)),"?"))</f>
        <v/>
      </c>
      <c r="G74" s="35" t="str">
        <f aca="false">IF(A74="","",DATE(YEAR(A74),MONTH(A74),1))</f>
        <v/>
      </c>
    </row>
    <row r="75" customFormat="false" ht="15" hidden="false" customHeight="false" outlineLevel="0" collapsed="false">
      <c r="A75" s="33"/>
      <c r="B75" s="27"/>
      <c r="C75" s="27"/>
      <c r="D75" s="34"/>
      <c r="E75" s="27"/>
      <c r="F75" s="28" t="str">
        <f aca="false">IF(C75="","",IFERROR(INDEX(Settings!$C$8:$C$19,MATCH(C75,Settings!$B$8:$B$19,0)),"?"))</f>
        <v/>
      </c>
      <c r="G75" s="35" t="str">
        <f aca="false">IF(A75="","",DATE(YEAR(A75),MONTH(A75),1))</f>
        <v/>
      </c>
    </row>
    <row r="76" customFormat="false" ht="15" hidden="false" customHeight="false" outlineLevel="0" collapsed="false">
      <c r="A76" s="33"/>
      <c r="B76" s="27"/>
      <c r="C76" s="27"/>
      <c r="D76" s="34"/>
      <c r="E76" s="27"/>
      <c r="F76" s="28" t="str">
        <f aca="false">IF(C76="","",IFERROR(INDEX(Settings!$C$8:$C$19,MATCH(C76,Settings!$B$8:$B$19,0)),"?"))</f>
        <v/>
      </c>
      <c r="G76" s="35" t="str">
        <f aca="false">IF(A76="","",DATE(YEAR(A76),MONTH(A76),1))</f>
        <v/>
      </c>
    </row>
    <row r="77" customFormat="false" ht="15" hidden="false" customHeight="false" outlineLevel="0" collapsed="false">
      <c r="A77" s="33"/>
      <c r="B77" s="27"/>
      <c r="C77" s="27"/>
      <c r="D77" s="34"/>
      <c r="E77" s="27"/>
      <c r="F77" s="28" t="str">
        <f aca="false">IF(C77="","",IFERROR(INDEX(Settings!$C$8:$C$19,MATCH(C77,Settings!$B$8:$B$19,0)),"?"))</f>
        <v/>
      </c>
      <c r="G77" s="35" t="str">
        <f aca="false">IF(A77="","",DATE(YEAR(A77),MONTH(A77),1))</f>
        <v/>
      </c>
    </row>
    <row r="78" customFormat="false" ht="15" hidden="false" customHeight="false" outlineLevel="0" collapsed="false">
      <c r="A78" s="33"/>
      <c r="B78" s="27"/>
      <c r="C78" s="27"/>
      <c r="D78" s="34"/>
      <c r="E78" s="27"/>
      <c r="F78" s="28" t="str">
        <f aca="false">IF(C78="","",IFERROR(INDEX(Settings!$C$8:$C$19,MATCH(C78,Settings!$B$8:$B$19,0)),"?"))</f>
        <v/>
      </c>
      <c r="G78" s="35" t="str">
        <f aca="false">IF(A78="","",DATE(YEAR(A78),MONTH(A78),1))</f>
        <v/>
      </c>
    </row>
    <row r="79" customFormat="false" ht="15" hidden="false" customHeight="false" outlineLevel="0" collapsed="false">
      <c r="A79" s="33"/>
      <c r="B79" s="27"/>
      <c r="C79" s="27"/>
      <c r="D79" s="34"/>
      <c r="E79" s="27"/>
      <c r="F79" s="28" t="str">
        <f aca="false">IF(C79="","",IFERROR(INDEX(Settings!$C$8:$C$19,MATCH(C79,Settings!$B$8:$B$19,0)),"?"))</f>
        <v/>
      </c>
      <c r="G79" s="35" t="str">
        <f aca="false">IF(A79="","",DATE(YEAR(A79),MONTH(A79),1))</f>
        <v/>
      </c>
    </row>
    <row r="80" customFormat="false" ht="15" hidden="false" customHeight="false" outlineLevel="0" collapsed="false">
      <c r="A80" s="33"/>
      <c r="B80" s="27"/>
      <c r="C80" s="27"/>
      <c r="D80" s="34"/>
      <c r="E80" s="27"/>
      <c r="F80" s="28" t="str">
        <f aca="false">IF(C80="","",IFERROR(INDEX(Settings!$C$8:$C$19,MATCH(C80,Settings!$B$8:$B$19,0)),"?"))</f>
        <v/>
      </c>
      <c r="G80" s="35" t="str">
        <f aca="false">IF(A80="","",DATE(YEAR(A80),MONTH(A80),1))</f>
        <v/>
      </c>
    </row>
    <row r="81" customFormat="false" ht="15" hidden="false" customHeight="false" outlineLevel="0" collapsed="false">
      <c r="A81" s="33"/>
      <c r="B81" s="27"/>
      <c r="C81" s="27"/>
      <c r="D81" s="34"/>
      <c r="E81" s="27"/>
      <c r="F81" s="28" t="str">
        <f aca="false">IF(C81="","",IFERROR(INDEX(Settings!$C$8:$C$19,MATCH(C81,Settings!$B$8:$B$19,0)),"?"))</f>
        <v/>
      </c>
      <c r="G81" s="35" t="str">
        <f aca="false">IF(A81="","",DATE(YEAR(A81),MONTH(A81),1))</f>
        <v/>
      </c>
    </row>
    <row r="82" customFormat="false" ht="15" hidden="false" customHeight="false" outlineLevel="0" collapsed="false">
      <c r="A82" s="33"/>
      <c r="B82" s="27"/>
      <c r="C82" s="27"/>
      <c r="D82" s="34"/>
      <c r="E82" s="27"/>
      <c r="F82" s="28" t="str">
        <f aca="false">IF(C82="","",IFERROR(INDEX(Settings!$C$8:$C$19,MATCH(C82,Settings!$B$8:$B$19,0)),"?"))</f>
        <v/>
      </c>
      <c r="G82" s="35" t="str">
        <f aca="false">IF(A82="","",DATE(YEAR(A82),MONTH(A82),1))</f>
        <v/>
      </c>
    </row>
    <row r="83" customFormat="false" ht="15" hidden="false" customHeight="false" outlineLevel="0" collapsed="false">
      <c r="A83" s="33"/>
      <c r="B83" s="27"/>
      <c r="C83" s="27"/>
      <c r="D83" s="34"/>
      <c r="E83" s="27"/>
      <c r="F83" s="28" t="str">
        <f aca="false">IF(C83="","",IFERROR(INDEX(Settings!$C$8:$C$19,MATCH(C83,Settings!$B$8:$B$19,0)),"?"))</f>
        <v/>
      </c>
      <c r="G83" s="35" t="str">
        <f aca="false">IF(A83="","",DATE(YEAR(A83),MONTH(A83),1))</f>
        <v/>
      </c>
    </row>
    <row r="84" customFormat="false" ht="15" hidden="false" customHeight="false" outlineLevel="0" collapsed="false">
      <c r="A84" s="33"/>
      <c r="B84" s="27"/>
      <c r="C84" s="27"/>
      <c r="D84" s="34"/>
      <c r="E84" s="27"/>
      <c r="F84" s="28" t="str">
        <f aca="false">IF(C84="","",IFERROR(INDEX(Settings!$C$8:$C$19,MATCH(C84,Settings!$B$8:$B$19,0)),"?"))</f>
        <v/>
      </c>
      <c r="G84" s="35" t="str">
        <f aca="false">IF(A84="","",DATE(YEAR(A84),MONTH(A84),1))</f>
        <v/>
      </c>
    </row>
    <row r="85" customFormat="false" ht="15" hidden="false" customHeight="false" outlineLevel="0" collapsed="false">
      <c r="A85" s="33"/>
      <c r="B85" s="27"/>
      <c r="C85" s="27"/>
      <c r="D85" s="34"/>
      <c r="E85" s="27"/>
      <c r="F85" s="28" t="str">
        <f aca="false">IF(C85="","",IFERROR(INDEX(Settings!$C$8:$C$19,MATCH(C85,Settings!$B$8:$B$19,0)),"?"))</f>
        <v/>
      </c>
      <c r="G85" s="35" t="str">
        <f aca="false">IF(A85="","",DATE(YEAR(A85),MONTH(A85),1))</f>
        <v/>
      </c>
    </row>
    <row r="86" customFormat="false" ht="15" hidden="false" customHeight="false" outlineLevel="0" collapsed="false">
      <c r="A86" s="33"/>
      <c r="B86" s="27"/>
      <c r="C86" s="27"/>
      <c r="D86" s="34"/>
      <c r="E86" s="27"/>
      <c r="F86" s="28" t="str">
        <f aca="false">IF(C86="","",IFERROR(INDEX(Settings!$C$8:$C$19,MATCH(C86,Settings!$B$8:$B$19,0)),"?"))</f>
        <v/>
      </c>
      <c r="G86" s="35" t="str">
        <f aca="false">IF(A86="","",DATE(YEAR(A86),MONTH(A86),1))</f>
        <v/>
      </c>
    </row>
    <row r="87" customFormat="false" ht="15" hidden="false" customHeight="false" outlineLevel="0" collapsed="false">
      <c r="A87" s="33"/>
      <c r="B87" s="27"/>
      <c r="C87" s="27"/>
      <c r="D87" s="34"/>
      <c r="E87" s="27"/>
      <c r="F87" s="28" t="str">
        <f aca="false">IF(C87="","",IFERROR(INDEX(Settings!$C$8:$C$19,MATCH(C87,Settings!$B$8:$B$19,0)),"?"))</f>
        <v/>
      </c>
      <c r="G87" s="35" t="str">
        <f aca="false">IF(A87="","",DATE(YEAR(A87),MONTH(A87),1))</f>
        <v/>
      </c>
    </row>
    <row r="88" customFormat="false" ht="15" hidden="false" customHeight="false" outlineLevel="0" collapsed="false">
      <c r="A88" s="33"/>
      <c r="B88" s="27"/>
      <c r="C88" s="27"/>
      <c r="D88" s="34"/>
      <c r="E88" s="27"/>
      <c r="F88" s="28" t="str">
        <f aca="false">IF(C88="","",IFERROR(INDEX(Settings!$C$8:$C$19,MATCH(C88,Settings!$B$8:$B$19,0)),"?"))</f>
        <v/>
      </c>
      <c r="G88" s="35" t="str">
        <f aca="false">IF(A88="","",DATE(YEAR(A88),MONTH(A88),1))</f>
        <v/>
      </c>
    </row>
    <row r="89" customFormat="false" ht="15" hidden="false" customHeight="false" outlineLevel="0" collapsed="false">
      <c r="A89" s="33"/>
      <c r="B89" s="27"/>
      <c r="C89" s="27"/>
      <c r="D89" s="34"/>
      <c r="E89" s="27"/>
      <c r="F89" s="28" t="str">
        <f aca="false">IF(C89="","",IFERROR(INDEX(Settings!$C$8:$C$19,MATCH(C89,Settings!$B$8:$B$19,0)),"?"))</f>
        <v/>
      </c>
      <c r="G89" s="35" t="str">
        <f aca="false">IF(A89="","",DATE(YEAR(A89),MONTH(A89),1))</f>
        <v/>
      </c>
    </row>
    <row r="90" customFormat="false" ht="15" hidden="false" customHeight="false" outlineLevel="0" collapsed="false">
      <c r="A90" s="33"/>
      <c r="B90" s="27"/>
      <c r="C90" s="27"/>
      <c r="D90" s="34"/>
      <c r="E90" s="27"/>
      <c r="F90" s="28" t="str">
        <f aca="false">IF(C90="","",IFERROR(INDEX(Settings!$C$8:$C$19,MATCH(C90,Settings!$B$8:$B$19,0)),"?"))</f>
        <v/>
      </c>
      <c r="G90" s="35" t="str">
        <f aca="false">IF(A90="","",DATE(YEAR(A90),MONTH(A90),1))</f>
        <v/>
      </c>
    </row>
    <row r="91" customFormat="false" ht="15" hidden="false" customHeight="false" outlineLevel="0" collapsed="false">
      <c r="A91" s="33"/>
      <c r="B91" s="27"/>
      <c r="C91" s="27"/>
      <c r="D91" s="34"/>
      <c r="E91" s="27"/>
      <c r="F91" s="28" t="str">
        <f aca="false">IF(C91="","",IFERROR(INDEX(Settings!$C$8:$C$19,MATCH(C91,Settings!$B$8:$B$19,0)),"?"))</f>
        <v/>
      </c>
      <c r="G91" s="35" t="str">
        <f aca="false">IF(A91="","",DATE(YEAR(A91),MONTH(A91),1))</f>
        <v/>
      </c>
    </row>
    <row r="92" customFormat="false" ht="15" hidden="false" customHeight="false" outlineLevel="0" collapsed="false">
      <c r="A92" s="33"/>
      <c r="B92" s="27"/>
      <c r="C92" s="27"/>
      <c r="D92" s="34"/>
      <c r="E92" s="27"/>
      <c r="F92" s="28" t="str">
        <f aca="false">IF(C92="","",IFERROR(INDEX(Settings!$C$8:$C$19,MATCH(C92,Settings!$B$8:$B$19,0)),"?"))</f>
        <v/>
      </c>
      <c r="G92" s="35" t="str">
        <f aca="false">IF(A92="","",DATE(YEAR(A92),MONTH(A92),1))</f>
        <v/>
      </c>
    </row>
    <row r="93" customFormat="false" ht="15" hidden="false" customHeight="false" outlineLevel="0" collapsed="false">
      <c r="A93" s="33"/>
      <c r="B93" s="27"/>
      <c r="C93" s="27"/>
      <c r="D93" s="34"/>
      <c r="E93" s="27"/>
      <c r="F93" s="28" t="str">
        <f aca="false">IF(C93="","",IFERROR(INDEX(Settings!$C$8:$C$19,MATCH(C93,Settings!$B$8:$B$19,0)),"?"))</f>
        <v/>
      </c>
      <c r="G93" s="35" t="str">
        <f aca="false">IF(A93="","",DATE(YEAR(A93),MONTH(A93),1))</f>
        <v/>
      </c>
    </row>
    <row r="94" customFormat="false" ht="15" hidden="false" customHeight="false" outlineLevel="0" collapsed="false">
      <c r="A94" s="33"/>
      <c r="B94" s="27"/>
      <c r="C94" s="27"/>
      <c r="D94" s="34"/>
      <c r="E94" s="27"/>
      <c r="F94" s="28" t="str">
        <f aca="false">IF(C94="","",IFERROR(INDEX(Settings!$C$8:$C$19,MATCH(C94,Settings!$B$8:$B$19,0)),"?"))</f>
        <v/>
      </c>
      <c r="G94" s="35" t="str">
        <f aca="false">IF(A94="","",DATE(YEAR(A94),MONTH(A94),1))</f>
        <v/>
      </c>
    </row>
    <row r="95" customFormat="false" ht="15" hidden="false" customHeight="false" outlineLevel="0" collapsed="false">
      <c r="A95" s="33"/>
      <c r="B95" s="27"/>
      <c r="C95" s="27"/>
      <c r="D95" s="34"/>
      <c r="E95" s="27"/>
      <c r="F95" s="28" t="str">
        <f aca="false">IF(C95="","",IFERROR(INDEX(Settings!$C$8:$C$19,MATCH(C95,Settings!$B$8:$B$19,0)),"?"))</f>
        <v/>
      </c>
      <c r="G95" s="35" t="str">
        <f aca="false">IF(A95="","",DATE(YEAR(A95),MONTH(A95),1))</f>
        <v/>
      </c>
    </row>
    <row r="96" customFormat="false" ht="15" hidden="false" customHeight="false" outlineLevel="0" collapsed="false">
      <c r="A96" s="33"/>
      <c r="B96" s="27"/>
      <c r="C96" s="27"/>
      <c r="D96" s="34"/>
      <c r="E96" s="27"/>
      <c r="F96" s="28" t="str">
        <f aca="false">IF(C96="","",IFERROR(INDEX(Settings!$C$8:$C$19,MATCH(C96,Settings!$B$8:$B$19,0)),"?"))</f>
        <v/>
      </c>
      <c r="G96" s="35" t="str">
        <f aca="false">IF(A96="","",DATE(YEAR(A96),MONTH(A96),1))</f>
        <v/>
      </c>
    </row>
    <row r="97" customFormat="false" ht="15" hidden="false" customHeight="false" outlineLevel="0" collapsed="false">
      <c r="A97" s="33"/>
      <c r="B97" s="27"/>
      <c r="C97" s="27"/>
      <c r="D97" s="34"/>
      <c r="E97" s="27"/>
      <c r="F97" s="28" t="str">
        <f aca="false">IF(C97="","",IFERROR(INDEX(Settings!$C$8:$C$19,MATCH(C97,Settings!$B$8:$B$19,0)),"?"))</f>
        <v/>
      </c>
      <c r="G97" s="35" t="str">
        <f aca="false">IF(A97="","",DATE(YEAR(A97),MONTH(A97),1))</f>
        <v/>
      </c>
    </row>
    <row r="98" customFormat="false" ht="15" hidden="false" customHeight="false" outlineLevel="0" collapsed="false">
      <c r="A98" s="33"/>
      <c r="B98" s="27"/>
      <c r="C98" s="27"/>
      <c r="D98" s="34"/>
      <c r="E98" s="27"/>
      <c r="F98" s="28" t="str">
        <f aca="false">IF(C98="","",IFERROR(INDEX(Settings!$C$8:$C$19,MATCH(C98,Settings!$B$8:$B$19,0)),"?"))</f>
        <v/>
      </c>
      <c r="G98" s="35" t="str">
        <f aca="false">IF(A98="","",DATE(YEAR(A98),MONTH(A98),1))</f>
        <v/>
      </c>
    </row>
    <row r="99" customFormat="false" ht="15" hidden="false" customHeight="false" outlineLevel="0" collapsed="false">
      <c r="A99" s="33"/>
      <c r="B99" s="27"/>
      <c r="C99" s="27"/>
      <c r="D99" s="34"/>
      <c r="E99" s="27"/>
      <c r="F99" s="28" t="str">
        <f aca="false">IF(C99="","",IFERROR(INDEX(Settings!$C$8:$C$19,MATCH(C99,Settings!$B$8:$B$19,0)),"?"))</f>
        <v/>
      </c>
      <c r="G99" s="35" t="str">
        <f aca="false">IF(A99="","",DATE(YEAR(A99),MONTH(A99),1))</f>
        <v/>
      </c>
    </row>
    <row r="100" customFormat="false" ht="15" hidden="false" customHeight="false" outlineLevel="0" collapsed="false">
      <c r="A100" s="33"/>
      <c r="B100" s="27"/>
      <c r="C100" s="27"/>
      <c r="D100" s="34"/>
      <c r="E100" s="27"/>
      <c r="F100" s="28" t="str">
        <f aca="false">IF(C100="","",IFERROR(INDEX(Settings!$C$8:$C$19,MATCH(C100,Settings!$B$8:$B$19,0)),"?"))</f>
        <v/>
      </c>
      <c r="G100" s="35" t="str">
        <f aca="false">IF(A100="","",DATE(YEAR(A100),MONTH(A100),1))</f>
        <v/>
      </c>
    </row>
    <row r="101" customFormat="false" ht="15" hidden="false" customHeight="false" outlineLevel="0" collapsed="false">
      <c r="A101" s="33"/>
      <c r="B101" s="27"/>
      <c r="C101" s="27"/>
      <c r="D101" s="34"/>
      <c r="E101" s="27"/>
      <c r="F101" s="28" t="str">
        <f aca="false">IF(C101="","",IFERROR(INDEX(Settings!$C$8:$C$19,MATCH(C101,Settings!$B$8:$B$19,0)),"?"))</f>
        <v/>
      </c>
      <c r="G101" s="35" t="str">
        <f aca="false">IF(A101="","",DATE(YEAR(A101),MONTH(A101),1))</f>
        <v/>
      </c>
    </row>
    <row r="102" customFormat="false" ht="15" hidden="false" customHeight="false" outlineLevel="0" collapsed="false">
      <c r="A102" s="33"/>
      <c r="B102" s="27"/>
      <c r="C102" s="27"/>
      <c r="D102" s="34"/>
      <c r="E102" s="27"/>
      <c r="F102" s="28" t="str">
        <f aca="false">IF(C102="","",IFERROR(INDEX(Settings!$C$8:$C$19,MATCH(C102,Settings!$B$8:$B$19,0)),"?"))</f>
        <v/>
      </c>
      <c r="G102" s="35" t="str">
        <f aca="false">IF(A102="","",DATE(YEAR(A102),MONTH(A102),1))</f>
        <v/>
      </c>
    </row>
    <row r="103" customFormat="false" ht="15" hidden="false" customHeight="false" outlineLevel="0" collapsed="false">
      <c r="A103" s="33"/>
      <c r="B103" s="27"/>
      <c r="C103" s="27"/>
      <c r="D103" s="34"/>
      <c r="E103" s="27"/>
      <c r="F103" s="28" t="str">
        <f aca="false">IF(C103="","",IFERROR(INDEX(Settings!$C$8:$C$19,MATCH(C103,Settings!$B$8:$B$19,0)),"?"))</f>
        <v/>
      </c>
      <c r="G103" s="35" t="str">
        <f aca="false">IF(A103="","",DATE(YEAR(A103),MONTH(A103),1))</f>
        <v/>
      </c>
    </row>
    <row r="104" customFormat="false" ht="15" hidden="false" customHeight="false" outlineLevel="0" collapsed="false">
      <c r="A104" s="33"/>
      <c r="B104" s="27"/>
      <c r="C104" s="27"/>
      <c r="D104" s="34"/>
      <c r="E104" s="27"/>
      <c r="F104" s="28" t="str">
        <f aca="false">IF(C104="","",IFERROR(INDEX(Settings!$C$8:$C$19,MATCH(C104,Settings!$B$8:$B$19,0)),"?"))</f>
        <v/>
      </c>
      <c r="G104" s="35" t="str">
        <f aca="false">IF(A104="","",DATE(YEAR(A104),MONTH(A104),1))</f>
        <v/>
      </c>
    </row>
    <row r="105" customFormat="false" ht="15" hidden="false" customHeight="false" outlineLevel="0" collapsed="false">
      <c r="A105" s="33"/>
      <c r="B105" s="27"/>
      <c r="C105" s="27"/>
      <c r="D105" s="34"/>
      <c r="E105" s="27"/>
      <c r="F105" s="28" t="str">
        <f aca="false">IF(C105="","",IFERROR(INDEX(Settings!$C$8:$C$19,MATCH(C105,Settings!$B$8:$B$19,0)),"?"))</f>
        <v/>
      </c>
      <c r="G105" s="35" t="str">
        <f aca="false">IF(A105="","",DATE(YEAR(A105),MONTH(A105),1))</f>
        <v/>
      </c>
    </row>
    <row r="106" customFormat="false" ht="15" hidden="false" customHeight="false" outlineLevel="0" collapsed="false">
      <c r="A106" s="33"/>
      <c r="B106" s="27"/>
      <c r="C106" s="27"/>
      <c r="D106" s="34"/>
      <c r="E106" s="27"/>
      <c r="F106" s="28" t="str">
        <f aca="false">IF(C106="","",IFERROR(INDEX(Settings!$C$8:$C$19,MATCH(C106,Settings!$B$8:$B$19,0)),"?"))</f>
        <v/>
      </c>
      <c r="G106" s="35" t="str">
        <f aca="false">IF(A106="","",DATE(YEAR(A106),MONTH(A106),1))</f>
        <v/>
      </c>
    </row>
    <row r="107" customFormat="false" ht="15" hidden="false" customHeight="false" outlineLevel="0" collapsed="false">
      <c r="A107" s="33"/>
      <c r="B107" s="27"/>
      <c r="C107" s="27"/>
      <c r="D107" s="34"/>
      <c r="E107" s="27"/>
      <c r="F107" s="28" t="str">
        <f aca="false">IF(C107="","",IFERROR(INDEX(Settings!$C$8:$C$19,MATCH(C107,Settings!$B$8:$B$19,0)),"?"))</f>
        <v/>
      </c>
      <c r="G107" s="35" t="str">
        <f aca="false">IF(A107="","",DATE(YEAR(A107),MONTH(A107),1))</f>
        <v/>
      </c>
    </row>
    <row r="108" customFormat="false" ht="15" hidden="false" customHeight="false" outlineLevel="0" collapsed="false">
      <c r="A108" s="33"/>
      <c r="B108" s="27"/>
      <c r="C108" s="27"/>
      <c r="D108" s="34"/>
      <c r="E108" s="27"/>
      <c r="F108" s="28" t="str">
        <f aca="false">IF(C108="","",IFERROR(INDEX(Settings!$C$8:$C$19,MATCH(C108,Settings!$B$8:$B$19,0)),"?"))</f>
        <v/>
      </c>
      <c r="G108" s="35" t="str">
        <f aca="false">IF(A108="","",DATE(YEAR(A108),MONTH(A108),1))</f>
        <v/>
      </c>
    </row>
    <row r="109" customFormat="false" ht="15" hidden="false" customHeight="false" outlineLevel="0" collapsed="false">
      <c r="A109" s="33"/>
      <c r="B109" s="27"/>
      <c r="C109" s="27"/>
      <c r="D109" s="34"/>
      <c r="E109" s="27"/>
      <c r="F109" s="28" t="str">
        <f aca="false">IF(C109="","",IFERROR(INDEX(Settings!$C$8:$C$19,MATCH(C109,Settings!$B$8:$B$19,0)),"?"))</f>
        <v/>
      </c>
      <c r="G109" s="35" t="str">
        <f aca="false">IF(A109="","",DATE(YEAR(A109),MONTH(A109),1))</f>
        <v/>
      </c>
    </row>
    <row r="110" customFormat="false" ht="15" hidden="false" customHeight="false" outlineLevel="0" collapsed="false">
      <c r="A110" s="33"/>
      <c r="B110" s="27"/>
      <c r="C110" s="27"/>
      <c r="D110" s="34"/>
      <c r="E110" s="27"/>
      <c r="F110" s="28" t="str">
        <f aca="false">IF(C110="","",IFERROR(INDEX(Settings!$C$8:$C$19,MATCH(C110,Settings!$B$8:$B$19,0)),"?"))</f>
        <v/>
      </c>
      <c r="G110" s="35" t="str">
        <f aca="false">IF(A110="","",DATE(YEAR(A110),MONTH(A110),1))</f>
        <v/>
      </c>
    </row>
    <row r="111" customFormat="false" ht="15" hidden="false" customHeight="false" outlineLevel="0" collapsed="false">
      <c r="A111" s="33"/>
      <c r="B111" s="27"/>
      <c r="C111" s="27"/>
      <c r="D111" s="34"/>
      <c r="E111" s="27"/>
      <c r="F111" s="28" t="str">
        <f aca="false">IF(C111="","",IFERROR(INDEX(Settings!$C$8:$C$19,MATCH(C111,Settings!$B$8:$B$19,0)),"?"))</f>
        <v/>
      </c>
      <c r="G111" s="35" t="str">
        <f aca="false">IF(A111="","",DATE(YEAR(A111),MONTH(A111),1))</f>
        <v/>
      </c>
    </row>
    <row r="112" customFormat="false" ht="15" hidden="false" customHeight="false" outlineLevel="0" collapsed="false">
      <c r="A112" s="33"/>
      <c r="B112" s="27"/>
      <c r="C112" s="27"/>
      <c r="D112" s="34"/>
      <c r="E112" s="27"/>
      <c r="F112" s="28" t="str">
        <f aca="false">IF(C112="","",IFERROR(INDEX(Settings!$C$8:$C$19,MATCH(C112,Settings!$B$8:$B$19,0)),"?"))</f>
        <v/>
      </c>
      <c r="G112" s="35" t="str">
        <f aca="false">IF(A112="","",DATE(YEAR(A112),MONTH(A112),1))</f>
        <v/>
      </c>
    </row>
    <row r="113" customFormat="false" ht="15" hidden="false" customHeight="false" outlineLevel="0" collapsed="false">
      <c r="A113" s="33"/>
      <c r="B113" s="27"/>
      <c r="C113" s="27"/>
      <c r="D113" s="34"/>
      <c r="E113" s="27"/>
      <c r="F113" s="28" t="str">
        <f aca="false">IF(C113="","",IFERROR(INDEX(Settings!$C$8:$C$19,MATCH(C113,Settings!$B$8:$B$19,0)),"?"))</f>
        <v/>
      </c>
      <c r="G113" s="35" t="str">
        <f aca="false">IF(A113="","",DATE(YEAR(A113),MONTH(A113),1))</f>
        <v/>
      </c>
    </row>
    <row r="114" customFormat="false" ht="15" hidden="false" customHeight="false" outlineLevel="0" collapsed="false">
      <c r="A114" s="33"/>
      <c r="B114" s="27"/>
      <c r="C114" s="27"/>
      <c r="D114" s="34"/>
      <c r="E114" s="27"/>
      <c r="F114" s="28" t="str">
        <f aca="false">IF(C114="","",IFERROR(INDEX(Settings!$C$8:$C$19,MATCH(C114,Settings!$B$8:$B$19,0)),"?"))</f>
        <v/>
      </c>
      <c r="G114" s="35" t="str">
        <f aca="false">IF(A114="","",DATE(YEAR(A114),MONTH(A114),1))</f>
        <v/>
      </c>
    </row>
    <row r="115" customFormat="false" ht="15" hidden="false" customHeight="false" outlineLevel="0" collapsed="false">
      <c r="A115" s="33"/>
      <c r="B115" s="27"/>
      <c r="C115" s="27"/>
      <c r="D115" s="34"/>
      <c r="E115" s="27"/>
      <c r="F115" s="28" t="str">
        <f aca="false">IF(C115="","",IFERROR(INDEX(Settings!$C$8:$C$19,MATCH(C115,Settings!$B$8:$B$19,0)),"?"))</f>
        <v/>
      </c>
      <c r="G115" s="35" t="str">
        <f aca="false">IF(A115="","",DATE(YEAR(A115),MONTH(A115),1))</f>
        <v/>
      </c>
    </row>
    <row r="116" customFormat="false" ht="15" hidden="false" customHeight="false" outlineLevel="0" collapsed="false">
      <c r="A116" s="33"/>
      <c r="B116" s="27"/>
      <c r="C116" s="27"/>
      <c r="D116" s="34"/>
      <c r="E116" s="27"/>
      <c r="F116" s="28" t="str">
        <f aca="false">IF(C116="","",IFERROR(INDEX(Settings!$C$8:$C$19,MATCH(C116,Settings!$B$8:$B$19,0)),"?"))</f>
        <v/>
      </c>
      <c r="G116" s="35" t="str">
        <f aca="false">IF(A116="","",DATE(YEAR(A116),MONTH(A116),1))</f>
        <v/>
      </c>
    </row>
    <row r="117" customFormat="false" ht="15" hidden="false" customHeight="false" outlineLevel="0" collapsed="false">
      <c r="A117" s="33"/>
      <c r="B117" s="27"/>
      <c r="C117" s="27"/>
      <c r="D117" s="34"/>
      <c r="E117" s="27"/>
      <c r="F117" s="28" t="str">
        <f aca="false">IF(C117="","",IFERROR(INDEX(Settings!$C$8:$C$19,MATCH(C117,Settings!$B$8:$B$19,0)),"?"))</f>
        <v/>
      </c>
      <c r="G117" s="35" t="str">
        <f aca="false">IF(A117="","",DATE(YEAR(A117),MONTH(A117),1))</f>
        <v/>
      </c>
    </row>
    <row r="118" customFormat="false" ht="15" hidden="false" customHeight="false" outlineLevel="0" collapsed="false">
      <c r="A118" s="33"/>
      <c r="B118" s="27"/>
      <c r="C118" s="27"/>
      <c r="D118" s="34"/>
      <c r="E118" s="27"/>
      <c r="F118" s="28" t="str">
        <f aca="false">IF(C118="","",IFERROR(INDEX(Settings!$C$8:$C$19,MATCH(C118,Settings!$B$8:$B$19,0)),"?"))</f>
        <v/>
      </c>
      <c r="G118" s="35" t="str">
        <f aca="false">IF(A118="","",DATE(YEAR(A118),MONTH(A118),1))</f>
        <v/>
      </c>
    </row>
    <row r="119" customFormat="false" ht="15" hidden="false" customHeight="false" outlineLevel="0" collapsed="false">
      <c r="A119" s="33"/>
      <c r="B119" s="27"/>
      <c r="C119" s="27"/>
      <c r="D119" s="34"/>
      <c r="E119" s="27"/>
      <c r="F119" s="28" t="str">
        <f aca="false">IF(C119="","",IFERROR(INDEX(Settings!$C$8:$C$19,MATCH(C119,Settings!$B$8:$B$19,0)),"?"))</f>
        <v/>
      </c>
      <c r="G119" s="35" t="str">
        <f aca="false">IF(A119="","",DATE(YEAR(A119),MONTH(A119),1))</f>
        <v/>
      </c>
    </row>
    <row r="120" customFormat="false" ht="15" hidden="false" customHeight="false" outlineLevel="0" collapsed="false">
      <c r="A120" s="33"/>
      <c r="B120" s="27"/>
      <c r="C120" s="27"/>
      <c r="D120" s="34"/>
      <c r="E120" s="27"/>
      <c r="F120" s="28" t="str">
        <f aca="false">IF(C120="","",IFERROR(INDEX(Settings!$C$8:$C$19,MATCH(C120,Settings!$B$8:$B$19,0)),"?"))</f>
        <v/>
      </c>
      <c r="G120" s="35" t="str">
        <f aca="false">IF(A120="","",DATE(YEAR(A120),MONTH(A120),1))</f>
        <v/>
      </c>
    </row>
    <row r="121" customFormat="false" ht="15" hidden="false" customHeight="false" outlineLevel="0" collapsed="false">
      <c r="A121" s="33"/>
      <c r="B121" s="27"/>
      <c r="C121" s="27"/>
      <c r="D121" s="34"/>
      <c r="E121" s="27"/>
      <c r="F121" s="28" t="str">
        <f aca="false">IF(C121="","",IFERROR(INDEX(Settings!$C$8:$C$19,MATCH(C121,Settings!$B$8:$B$19,0)),"?"))</f>
        <v/>
      </c>
      <c r="G121" s="35" t="str">
        <f aca="false">IF(A121="","",DATE(YEAR(A121),MONTH(A121),1))</f>
        <v/>
      </c>
    </row>
    <row r="122" customFormat="false" ht="15" hidden="false" customHeight="false" outlineLevel="0" collapsed="false">
      <c r="A122" s="33"/>
      <c r="B122" s="27"/>
      <c r="C122" s="27"/>
      <c r="D122" s="34"/>
      <c r="E122" s="27"/>
      <c r="F122" s="28" t="str">
        <f aca="false">IF(C122="","",IFERROR(INDEX(Settings!$C$8:$C$19,MATCH(C122,Settings!$B$8:$B$19,0)),"?"))</f>
        <v/>
      </c>
      <c r="G122" s="35" t="str">
        <f aca="false">IF(A122="","",DATE(YEAR(A122),MONTH(A122),1))</f>
        <v/>
      </c>
    </row>
    <row r="123" customFormat="false" ht="15" hidden="false" customHeight="false" outlineLevel="0" collapsed="false">
      <c r="A123" s="33"/>
      <c r="B123" s="27"/>
      <c r="C123" s="27"/>
      <c r="D123" s="34"/>
      <c r="E123" s="27"/>
      <c r="F123" s="28" t="str">
        <f aca="false">IF(C123="","",IFERROR(INDEX(Settings!$C$8:$C$19,MATCH(C123,Settings!$B$8:$B$19,0)),"?"))</f>
        <v/>
      </c>
      <c r="G123" s="35" t="str">
        <f aca="false">IF(A123="","",DATE(YEAR(A123),MONTH(A123),1))</f>
        <v/>
      </c>
    </row>
    <row r="124" customFormat="false" ht="15" hidden="false" customHeight="false" outlineLevel="0" collapsed="false">
      <c r="A124" s="33"/>
      <c r="B124" s="27"/>
      <c r="C124" s="27"/>
      <c r="D124" s="34"/>
      <c r="E124" s="27"/>
      <c r="F124" s="28" t="str">
        <f aca="false">IF(C124="","",IFERROR(INDEX(Settings!$C$8:$C$19,MATCH(C124,Settings!$B$8:$B$19,0)),"?"))</f>
        <v/>
      </c>
      <c r="G124" s="35" t="str">
        <f aca="false">IF(A124="","",DATE(YEAR(A124),MONTH(A124),1))</f>
        <v/>
      </c>
    </row>
    <row r="125" customFormat="false" ht="15" hidden="false" customHeight="false" outlineLevel="0" collapsed="false">
      <c r="A125" s="33"/>
      <c r="B125" s="27"/>
      <c r="C125" s="27"/>
      <c r="D125" s="34"/>
      <c r="E125" s="27"/>
      <c r="F125" s="28" t="str">
        <f aca="false">IF(C125="","",IFERROR(INDEX(Settings!$C$8:$C$19,MATCH(C125,Settings!$B$8:$B$19,0)),"?"))</f>
        <v/>
      </c>
      <c r="G125" s="35" t="str">
        <f aca="false">IF(A125="","",DATE(YEAR(A125),MONTH(A125),1))</f>
        <v/>
      </c>
    </row>
    <row r="126" customFormat="false" ht="15" hidden="false" customHeight="false" outlineLevel="0" collapsed="false">
      <c r="A126" s="33"/>
      <c r="B126" s="27"/>
      <c r="C126" s="27"/>
      <c r="D126" s="34"/>
      <c r="E126" s="27"/>
      <c r="F126" s="28" t="str">
        <f aca="false">IF(C126="","",IFERROR(INDEX(Settings!$C$8:$C$19,MATCH(C126,Settings!$B$8:$B$19,0)),"?"))</f>
        <v/>
      </c>
      <c r="G126" s="35" t="str">
        <f aca="false">IF(A126="","",DATE(YEAR(A126),MONTH(A126),1))</f>
        <v/>
      </c>
    </row>
    <row r="127" customFormat="false" ht="15" hidden="false" customHeight="false" outlineLevel="0" collapsed="false">
      <c r="A127" s="33"/>
      <c r="B127" s="27"/>
      <c r="C127" s="27"/>
      <c r="D127" s="34"/>
      <c r="E127" s="27"/>
      <c r="F127" s="28" t="str">
        <f aca="false">IF(C127="","",IFERROR(INDEX(Settings!$C$8:$C$19,MATCH(C127,Settings!$B$8:$B$19,0)),"?"))</f>
        <v/>
      </c>
      <c r="G127" s="35" t="str">
        <f aca="false">IF(A127="","",DATE(YEAR(A127),MONTH(A127),1))</f>
        <v/>
      </c>
    </row>
    <row r="128" customFormat="false" ht="15" hidden="false" customHeight="false" outlineLevel="0" collapsed="false">
      <c r="A128" s="33"/>
      <c r="B128" s="27"/>
      <c r="C128" s="27"/>
      <c r="D128" s="34"/>
      <c r="E128" s="27"/>
      <c r="F128" s="28" t="str">
        <f aca="false">IF(C128="","",IFERROR(INDEX(Settings!$C$8:$C$19,MATCH(C128,Settings!$B$8:$B$19,0)),"?"))</f>
        <v/>
      </c>
      <c r="G128" s="35" t="str">
        <f aca="false">IF(A128="","",DATE(YEAR(A128),MONTH(A128),1))</f>
        <v/>
      </c>
    </row>
    <row r="129" customFormat="false" ht="15" hidden="false" customHeight="false" outlineLevel="0" collapsed="false">
      <c r="A129" s="33"/>
      <c r="B129" s="27"/>
      <c r="C129" s="27"/>
      <c r="D129" s="34"/>
      <c r="E129" s="27"/>
      <c r="F129" s="28" t="str">
        <f aca="false">IF(C129="","",IFERROR(INDEX(Settings!$C$8:$C$19,MATCH(C129,Settings!$B$8:$B$19,0)),"?"))</f>
        <v/>
      </c>
      <c r="G129" s="35" t="str">
        <f aca="false">IF(A129="","",DATE(YEAR(A129),MONTH(A129),1))</f>
        <v/>
      </c>
    </row>
    <row r="130" customFormat="false" ht="15" hidden="false" customHeight="false" outlineLevel="0" collapsed="false">
      <c r="A130" s="33"/>
      <c r="B130" s="27"/>
      <c r="C130" s="27"/>
      <c r="D130" s="34"/>
      <c r="E130" s="27"/>
      <c r="F130" s="28" t="str">
        <f aca="false">IF(C130="","",IFERROR(INDEX(Settings!$C$8:$C$19,MATCH(C130,Settings!$B$8:$B$19,0)),"?"))</f>
        <v/>
      </c>
      <c r="G130" s="35" t="str">
        <f aca="false">IF(A130="","",DATE(YEAR(A130),MONTH(A130),1))</f>
        <v/>
      </c>
    </row>
    <row r="131" customFormat="false" ht="15" hidden="false" customHeight="false" outlineLevel="0" collapsed="false">
      <c r="A131" s="33"/>
      <c r="B131" s="27"/>
      <c r="C131" s="27"/>
      <c r="D131" s="34"/>
      <c r="E131" s="27"/>
      <c r="F131" s="28" t="str">
        <f aca="false">IF(C131="","",IFERROR(INDEX(Settings!$C$8:$C$19,MATCH(C131,Settings!$B$8:$B$19,0)),"?"))</f>
        <v/>
      </c>
      <c r="G131" s="35" t="str">
        <f aca="false">IF(A131="","",DATE(YEAR(A131),MONTH(A131),1))</f>
        <v/>
      </c>
    </row>
    <row r="132" customFormat="false" ht="15" hidden="false" customHeight="false" outlineLevel="0" collapsed="false">
      <c r="A132" s="33"/>
      <c r="B132" s="27"/>
      <c r="C132" s="27"/>
      <c r="D132" s="34"/>
      <c r="E132" s="27"/>
      <c r="F132" s="28" t="str">
        <f aca="false">IF(C132="","",IFERROR(INDEX(Settings!$C$8:$C$19,MATCH(C132,Settings!$B$8:$B$19,0)),"?"))</f>
        <v/>
      </c>
      <c r="G132" s="35" t="str">
        <f aca="false">IF(A132="","",DATE(YEAR(A132),MONTH(A132),1))</f>
        <v/>
      </c>
    </row>
    <row r="133" customFormat="false" ht="15" hidden="false" customHeight="false" outlineLevel="0" collapsed="false">
      <c r="A133" s="33"/>
      <c r="B133" s="27"/>
      <c r="C133" s="27"/>
      <c r="D133" s="34"/>
      <c r="E133" s="27"/>
      <c r="F133" s="28" t="str">
        <f aca="false">IF(C133="","",IFERROR(INDEX(Settings!$C$8:$C$19,MATCH(C133,Settings!$B$8:$B$19,0)),"?"))</f>
        <v/>
      </c>
      <c r="G133" s="35" t="str">
        <f aca="false">IF(A133="","",DATE(YEAR(A133),MONTH(A133),1))</f>
        <v/>
      </c>
    </row>
    <row r="134" customFormat="false" ht="15" hidden="false" customHeight="false" outlineLevel="0" collapsed="false">
      <c r="A134" s="33"/>
      <c r="B134" s="27"/>
      <c r="C134" s="27"/>
      <c r="D134" s="34"/>
      <c r="E134" s="27"/>
      <c r="F134" s="28" t="str">
        <f aca="false">IF(C134="","",IFERROR(INDEX(Settings!$C$8:$C$19,MATCH(C134,Settings!$B$8:$B$19,0)),"?"))</f>
        <v/>
      </c>
      <c r="G134" s="35" t="str">
        <f aca="false">IF(A134="","",DATE(YEAR(A134),MONTH(A134),1))</f>
        <v/>
      </c>
    </row>
    <row r="135" customFormat="false" ht="15" hidden="false" customHeight="false" outlineLevel="0" collapsed="false">
      <c r="A135" s="33"/>
      <c r="B135" s="27"/>
      <c r="C135" s="27"/>
      <c r="D135" s="34"/>
      <c r="E135" s="27"/>
      <c r="F135" s="28" t="str">
        <f aca="false">IF(C135="","",IFERROR(INDEX(Settings!$C$8:$C$19,MATCH(C135,Settings!$B$8:$B$19,0)),"?"))</f>
        <v/>
      </c>
      <c r="G135" s="35" t="str">
        <f aca="false">IF(A135="","",DATE(YEAR(A135),MONTH(A135),1))</f>
        <v/>
      </c>
    </row>
    <row r="136" customFormat="false" ht="15" hidden="false" customHeight="false" outlineLevel="0" collapsed="false">
      <c r="A136" s="33"/>
      <c r="B136" s="27"/>
      <c r="C136" s="27"/>
      <c r="D136" s="34"/>
      <c r="E136" s="27"/>
      <c r="F136" s="28" t="str">
        <f aca="false">IF(C136="","",IFERROR(INDEX(Settings!$C$8:$C$19,MATCH(C136,Settings!$B$8:$B$19,0)),"?"))</f>
        <v/>
      </c>
      <c r="G136" s="35" t="str">
        <f aca="false">IF(A136="","",DATE(YEAR(A136),MONTH(A136),1))</f>
        <v/>
      </c>
    </row>
    <row r="137" customFormat="false" ht="15" hidden="false" customHeight="false" outlineLevel="0" collapsed="false">
      <c r="A137" s="33"/>
      <c r="B137" s="27"/>
      <c r="C137" s="27"/>
      <c r="D137" s="34"/>
      <c r="E137" s="27"/>
      <c r="F137" s="28" t="str">
        <f aca="false">IF(C137="","",IFERROR(INDEX(Settings!$C$8:$C$19,MATCH(C137,Settings!$B$8:$B$19,0)),"?"))</f>
        <v/>
      </c>
      <c r="G137" s="35" t="str">
        <f aca="false">IF(A137="","",DATE(YEAR(A137),MONTH(A137),1))</f>
        <v/>
      </c>
    </row>
    <row r="138" customFormat="false" ht="15" hidden="false" customHeight="false" outlineLevel="0" collapsed="false">
      <c r="A138" s="33"/>
      <c r="B138" s="27"/>
      <c r="C138" s="27"/>
      <c r="D138" s="34"/>
      <c r="E138" s="27"/>
      <c r="F138" s="28" t="str">
        <f aca="false">IF(C138="","",IFERROR(INDEX(Settings!$C$8:$C$19,MATCH(C138,Settings!$B$8:$B$19,0)),"?"))</f>
        <v/>
      </c>
      <c r="G138" s="35" t="str">
        <f aca="false">IF(A138="","",DATE(YEAR(A138),MONTH(A138),1))</f>
        <v/>
      </c>
    </row>
    <row r="139" customFormat="false" ht="15" hidden="false" customHeight="false" outlineLevel="0" collapsed="false">
      <c r="A139" s="33"/>
      <c r="B139" s="27"/>
      <c r="C139" s="27"/>
      <c r="D139" s="34"/>
      <c r="E139" s="27"/>
      <c r="F139" s="28" t="str">
        <f aca="false">IF(C139="","",IFERROR(INDEX(Settings!$C$8:$C$19,MATCH(C139,Settings!$B$8:$B$19,0)),"?"))</f>
        <v/>
      </c>
      <c r="G139" s="35" t="str">
        <f aca="false">IF(A139="","",DATE(YEAR(A139),MONTH(A139),1))</f>
        <v/>
      </c>
    </row>
    <row r="140" customFormat="false" ht="15" hidden="false" customHeight="false" outlineLevel="0" collapsed="false">
      <c r="A140" s="33"/>
      <c r="B140" s="27"/>
      <c r="C140" s="27"/>
      <c r="D140" s="34"/>
      <c r="E140" s="27"/>
      <c r="F140" s="28" t="str">
        <f aca="false">IF(C140="","",IFERROR(INDEX(Settings!$C$8:$C$19,MATCH(C140,Settings!$B$8:$B$19,0)),"?"))</f>
        <v/>
      </c>
      <c r="G140" s="35" t="str">
        <f aca="false">IF(A140="","",DATE(YEAR(A140),MONTH(A140),1))</f>
        <v/>
      </c>
    </row>
    <row r="141" customFormat="false" ht="15" hidden="false" customHeight="false" outlineLevel="0" collapsed="false">
      <c r="A141" s="33"/>
      <c r="B141" s="27"/>
      <c r="C141" s="27"/>
      <c r="D141" s="34"/>
      <c r="E141" s="27"/>
      <c r="F141" s="28" t="str">
        <f aca="false">IF(C141="","",IFERROR(INDEX(Settings!$C$8:$C$19,MATCH(C141,Settings!$B$8:$B$19,0)),"?"))</f>
        <v/>
      </c>
      <c r="G141" s="35" t="str">
        <f aca="false">IF(A141="","",DATE(YEAR(A141),MONTH(A141),1))</f>
        <v/>
      </c>
    </row>
    <row r="142" customFormat="false" ht="15" hidden="false" customHeight="false" outlineLevel="0" collapsed="false">
      <c r="A142" s="33"/>
      <c r="B142" s="27"/>
      <c r="C142" s="27"/>
      <c r="D142" s="34"/>
      <c r="E142" s="27"/>
      <c r="F142" s="28" t="str">
        <f aca="false">IF(C142="","",IFERROR(INDEX(Settings!$C$8:$C$19,MATCH(C142,Settings!$B$8:$B$19,0)),"?"))</f>
        <v/>
      </c>
      <c r="G142" s="35" t="str">
        <f aca="false">IF(A142="","",DATE(YEAR(A142),MONTH(A142),1))</f>
        <v/>
      </c>
    </row>
    <row r="143" customFormat="false" ht="15" hidden="false" customHeight="false" outlineLevel="0" collapsed="false">
      <c r="A143" s="33"/>
      <c r="B143" s="27"/>
      <c r="C143" s="27"/>
      <c r="D143" s="34"/>
      <c r="E143" s="27"/>
      <c r="F143" s="28" t="str">
        <f aca="false">IF(C143="","",IFERROR(INDEX(Settings!$C$8:$C$19,MATCH(C143,Settings!$B$8:$B$19,0)),"?"))</f>
        <v/>
      </c>
      <c r="G143" s="35" t="str">
        <f aca="false">IF(A143="","",DATE(YEAR(A143),MONTH(A143),1))</f>
        <v/>
      </c>
    </row>
    <row r="144" customFormat="false" ht="15" hidden="false" customHeight="false" outlineLevel="0" collapsed="false">
      <c r="A144" s="33"/>
      <c r="B144" s="27"/>
      <c r="C144" s="27"/>
      <c r="D144" s="34"/>
      <c r="E144" s="27"/>
      <c r="F144" s="28" t="str">
        <f aca="false">IF(C144="","",IFERROR(INDEX(Settings!$C$8:$C$19,MATCH(C144,Settings!$B$8:$B$19,0)),"?"))</f>
        <v/>
      </c>
      <c r="G144" s="35" t="str">
        <f aca="false">IF(A144="","",DATE(YEAR(A144),MONTH(A144),1))</f>
        <v/>
      </c>
    </row>
    <row r="145" customFormat="false" ht="15" hidden="false" customHeight="false" outlineLevel="0" collapsed="false">
      <c r="A145" s="33"/>
      <c r="B145" s="27"/>
      <c r="C145" s="27"/>
      <c r="D145" s="34"/>
      <c r="E145" s="27"/>
      <c r="F145" s="28" t="str">
        <f aca="false">IF(C145="","",IFERROR(INDEX(Settings!$C$8:$C$19,MATCH(C145,Settings!$B$8:$B$19,0)),"?"))</f>
        <v/>
      </c>
      <c r="G145" s="35" t="str">
        <f aca="false">IF(A145="","",DATE(YEAR(A145),MONTH(A145),1))</f>
        <v/>
      </c>
    </row>
    <row r="146" customFormat="false" ht="15" hidden="false" customHeight="false" outlineLevel="0" collapsed="false">
      <c r="A146" s="33"/>
      <c r="B146" s="27"/>
      <c r="C146" s="27"/>
      <c r="D146" s="34"/>
      <c r="E146" s="27"/>
      <c r="F146" s="28" t="str">
        <f aca="false">IF(C146="","",IFERROR(INDEX(Settings!$C$8:$C$19,MATCH(C146,Settings!$B$8:$B$19,0)),"?"))</f>
        <v/>
      </c>
      <c r="G146" s="35" t="str">
        <f aca="false">IF(A146="","",DATE(YEAR(A146),MONTH(A146),1))</f>
        <v/>
      </c>
    </row>
    <row r="147" customFormat="false" ht="15" hidden="false" customHeight="false" outlineLevel="0" collapsed="false">
      <c r="A147" s="33"/>
      <c r="B147" s="27"/>
      <c r="C147" s="27"/>
      <c r="D147" s="34"/>
      <c r="E147" s="27"/>
      <c r="F147" s="28" t="str">
        <f aca="false">IF(C147="","",IFERROR(INDEX(Settings!$C$8:$C$19,MATCH(C147,Settings!$B$8:$B$19,0)),"?"))</f>
        <v/>
      </c>
      <c r="G147" s="35" t="str">
        <f aca="false">IF(A147="","",DATE(YEAR(A147),MONTH(A147),1))</f>
        <v/>
      </c>
    </row>
    <row r="148" customFormat="false" ht="15" hidden="false" customHeight="false" outlineLevel="0" collapsed="false">
      <c r="A148" s="33"/>
      <c r="B148" s="27"/>
      <c r="C148" s="27"/>
      <c r="D148" s="34"/>
      <c r="E148" s="27"/>
      <c r="F148" s="28" t="str">
        <f aca="false">IF(C148="","",IFERROR(INDEX(Settings!$C$8:$C$19,MATCH(C148,Settings!$B$8:$B$19,0)),"?"))</f>
        <v/>
      </c>
      <c r="G148" s="35" t="str">
        <f aca="false">IF(A148="","",DATE(YEAR(A148),MONTH(A148),1))</f>
        <v/>
      </c>
    </row>
    <row r="149" customFormat="false" ht="15" hidden="false" customHeight="false" outlineLevel="0" collapsed="false">
      <c r="A149" s="33"/>
      <c r="B149" s="27"/>
      <c r="C149" s="27"/>
      <c r="D149" s="34"/>
      <c r="E149" s="27"/>
      <c r="F149" s="28" t="str">
        <f aca="false">IF(C149="","",IFERROR(INDEX(Settings!$C$8:$C$19,MATCH(C149,Settings!$B$8:$B$19,0)),"?"))</f>
        <v/>
      </c>
      <c r="G149" s="35" t="str">
        <f aca="false">IF(A149="","",DATE(YEAR(A149),MONTH(A149),1))</f>
        <v/>
      </c>
    </row>
    <row r="150" customFormat="false" ht="15" hidden="false" customHeight="false" outlineLevel="0" collapsed="false">
      <c r="A150" s="33"/>
      <c r="B150" s="27"/>
      <c r="C150" s="27"/>
      <c r="D150" s="34"/>
      <c r="E150" s="27"/>
      <c r="F150" s="28" t="str">
        <f aca="false">IF(C150="","",IFERROR(INDEX(Settings!$C$8:$C$19,MATCH(C150,Settings!$B$8:$B$19,0)),"?"))</f>
        <v/>
      </c>
      <c r="G150" s="35" t="str">
        <f aca="false">IF(A150="","",DATE(YEAR(A150),MONTH(A150),1))</f>
        <v/>
      </c>
    </row>
    <row r="151" customFormat="false" ht="15" hidden="false" customHeight="false" outlineLevel="0" collapsed="false">
      <c r="A151" s="33"/>
      <c r="B151" s="27"/>
      <c r="C151" s="27"/>
      <c r="D151" s="34"/>
      <c r="E151" s="27"/>
      <c r="F151" s="28" t="str">
        <f aca="false">IF(C151="","",IFERROR(INDEX(Settings!$C$8:$C$19,MATCH(C151,Settings!$B$8:$B$19,0)),"?"))</f>
        <v/>
      </c>
      <c r="G151" s="35" t="str">
        <f aca="false">IF(A151="","",DATE(YEAR(A151),MONTH(A151),1))</f>
        <v/>
      </c>
    </row>
    <row r="152" customFormat="false" ht="15" hidden="false" customHeight="false" outlineLevel="0" collapsed="false">
      <c r="A152" s="33"/>
      <c r="B152" s="27"/>
      <c r="C152" s="27"/>
      <c r="D152" s="34"/>
      <c r="E152" s="27"/>
      <c r="F152" s="28" t="str">
        <f aca="false">IF(C152="","",IFERROR(INDEX(Settings!$C$8:$C$19,MATCH(C152,Settings!$B$8:$B$19,0)),"?"))</f>
        <v/>
      </c>
      <c r="G152" s="35" t="str">
        <f aca="false">IF(A152="","",DATE(YEAR(A152),MONTH(A152),1))</f>
        <v/>
      </c>
    </row>
    <row r="153" customFormat="false" ht="15" hidden="false" customHeight="false" outlineLevel="0" collapsed="false">
      <c r="A153" s="33"/>
      <c r="B153" s="27"/>
      <c r="C153" s="27"/>
      <c r="D153" s="34"/>
      <c r="E153" s="27"/>
      <c r="F153" s="28" t="str">
        <f aca="false">IF(C153="","",IFERROR(INDEX(Settings!$C$8:$C$19,MATCH(C153,Settings!$B$8:$B$19,0)),"?"))</f>
        <v/>
      </c>
      <c r="G153" s="35" t="str">
        <f aca="false">IF(A153="","",DATE(YEAR(A153),MONTH(A153),1))</f>
        <v/>
      </c>
    </row>
    <row r="154" customFormat="false" ht="15" hidden="false" customHeight="false" outlineLevel="0" collapsed="false">
      <c r="A154" s="33"/>
      <c r="B154" s="27"/>
      <c r="C154" s="27"/>
      <c r="D154" s="34"/>
      <c r="E154" s="27"/>
      <c r="F154" s="28" t="str">
        <f aca="false">IF(C154="","",IFERROR(INDEX(Settings!$C$8:$C$19,MATCH(C154,Settings!$B$8:$B$19,0)),"?"))</f>
        <v/>
      </c>
      <c r="G154" s="35" t="str">
        <f aca="false">IF(A154="","",DATE(YEAR(A154),MONTH(A154),1))</f>
        <v/>
      </c>
    </row>
    <row r="155" customFormat="false" ht="15" hidden="false" customHeight="false" outlineLevel="0" collapsed="false">
      <c r="A155" s="33"/>
      <c r="B155" s="27"/>
      <c r="C155" s="27"/>
      <c r="D155" s="34"/>
      <c r="E155" s="27"/>
      <c r="F155" s="28" t="str">
        <f aca="false">IF(C155="","",IFERROR(INDEX(Settings!$C$8:$C$19,MATCH(C155,Settings!$B$8:$B$19,0)),"?"))</f>
        <v/>
      </c>
      <c r="G155" s="35" t="str">
        <f aca="false">IF(A155="","",DATE(YEAR(A155),MONTH(A155),1))</f>
        <v/>
      </c>
    </row>
    <row r="156" customFormat="false" ht="15" hidden="false" customHeight="false" outlineLevel="0" collapsed="false">
      <c r="A156" s="33"/>
      <c r="B156" s="27"/>
      <c r="C156" s="27"/>
      <c r="D156" s="34"/>
      <c r="E156" s="27"/>
      <c r="F156" s="28" t="str">
        <f aca="false">IF(C156="","",IFERROR(INDEX(Settings!$C$8:$C$19,MATCH(C156,Settings!$B$8:$B$19,0)),"?"))</f>
        <v/>
      </c>
      <c r="G156" s="35" t="str">
        <f aca="false">IF(A156="","",DATE(YEAR(A156),MONTH(A156),1))</f>
        <v/>
      </c>
    </row>
    <row r="157" customFormat="false" ht="15" hidden="false" customHeight="false" outlineLevel="0" collapsed="false">
      <c r="A157" s="33"/>
      <c r="B157" s="27"/>
      <c r="C157" s="27"/>
      <c r="D157" s="34"/>
      <c r="E157" s="27"/>
      <c r="F157" s="28" t="str">
        <f aca="false">IF(C157="","",IFERROR(INDEX(Settings!$C$8:$C$19,MATCH(C157,Settings!$B$8:$B$19,0)),"?"))</f>
        <v/>
      </c>
      <c r="G157" s="35" t="str">
        <f aca="false">IF(A157="","",DATE(YEAR(A157),MONTH(A157),1))</f>
        <v/>
      </c>
    </row>
    <row r="158" customFormat="false" ht="15" hidden="false" customHeight="false" outlineLevel="0" collapsed="false">
      <c r="A158" s="33"/>
      <c r="B158" s="27"/>
      <c r="C158" s="27"/>
      <c r="D158" s="34"/>
      <c r="E158" s="27"/>
      <c r="F158" s="28" t="str">
        <f aca="false">IF(C158="","",IFERROR(INDEX(Settings!$C$8:$C$19,MATCH(C158,Settings!$B$8:$B$19,0)),"?"))</f>
        <v/>
      </c>
      <c r="G158" s="35" t="str">
        <f aca="false">IF(A158="","",DATE(YEAR(A158),MONTH(A158),1))</f>
        <v/>
      </c>
    </row>
    <row r="159" customFormat="false" ht="15" hidden="false" customHeight="false" outlineLevel="0" collapsed="false">
      <c r="A159" s="33"/>
      <c r="B159" s="27"/>
      <c r="C159" s="27"/>
      <c r="D159" s="34"/>
      <c r="E159" s="27"/>
      <c r="F159" s="28" t="str">
        <f aca="false">IF(C159="","",IFERROR(INDEX(Settings!$C$8:$C$19,MATCH(C159,Settings!$B$8:$B$19,0)),"?"))</f>
        <v/>
      </c>
      <c r="G159" s="35" t="str">
        <f aca="false">IF(A159="","",DATE(YEAR(A159),MONTH(A159),1))</f>
        <v/>
      </c>
    </row>
    <row r="160" customFormat="false" ht="15" hidden="false" customHeight="false" outlineLevel="0" collapsed="false">
      <c r="A160" s="33"/>
      <c r="B160" s="27"/>
      <c r="C160" s="27"/>
      <c r="D160" s="34"/>
      <c r="E160" s="27"/>
      <c r="F160" s="28" t="str">
        <f aca="false">IF(C160="","",IFERROR(INDEX(Settings!$C$8:$C$19,MATCH(C160,Settings!$B$8:$B$19,0)),"?"))</f>
        <v/>
      </c>
      <c r="G160" s="35" t="str">
        <f aca="false">IF(A160="","",DATE(YEAR(A160),MONTH(A160),1))</f>
        <v/>
      </c>
    </row>
    <row r="161" customFormat="false" ht="15" hidden="false" customHeight="false" outlineLevel="0" collapsed="false">
      <c r="A161" s="33"/>
      <c r="B161" s="27"/>
      <c r="C161" s="27"/>
      <c r="D161" s="34"/>
      <c r="E161" s="27"/>
      <c r="F161" s="28" t="str">
        <f aca="false">IF(C161="","",IFERROR(INDEX(Settings!$C$8:$C$19,MATCH(C161,Settings!$B$8:$B$19,0)),"?"))</f>
        <v/>
      </c>
      <c r="G161" s="35" t="str">
        <f aca="false">IF(A161="","",DATE(YEAR(A161),MONTH(A161),1))</f>
        <v/>
      </c>
    </row>
    <row r="162" customFormat="false" ht="15" hidden="false" customHeight="false" outlineLevel="0" collapsed="false">
      <c r="A162" s="33"/>
      <c r="B162" s="27"/>
      <c r="C162" s="27"/>
      <c r="D162" s="34"/>
      <c r="E162" s="27"/>
      <c r="F162" s="28" t="str">
        <f aca="false">IF(C162="","",IFERROR(INDEX(Settings!$C$8:$C$19,MATCH(C162,Settings!$B$8:$B$19,0)),"?"))</f>
        <v/>
      </c>
      <c r="G162" s="35" t="str">
        <f aca="false">IF(A162="","",DATE(YEAR(A162),MONTH(A162),1))</f>
        <v/>
      </c>
    </row>
    <row r="163" customFormat="false" ht="15" hidden="false" customHeight="false" outlineLevel="0" collapsed="false">
      <c r="A163" s="33"/>
      <c r="B163" s="27"/>
      <c r="C163" s="27"/>
      <c r="D163" s="34"/>
      <c r="E163" s="27"/>
      <c r="F163" s="28" t="str">
        <f aca="false">IF(C163="","",IFERROR(INDEX(Settings!$C$8:$C$19,MATCH(C163,Settings!$B$8:$B$19,0)),"?"))</f>
        <v/>
      </c>
      <c r="G163" s="35" t="str">
        <f aca="false">IF(A163="","",DATE(YEAR(A163),MONTH(A163),1))</f>
        <v/>
      </c>
    </row>
    <row r="164" customFormat="false" ht="15" hidden="false" customHeight="false" outlineLevel="0" collapsed="false">
      <c r="A164" s="33"/>
      <c r="B164" s="27"/>
      <c r="C164" s="27"/>
      <c r="D164" s="34"/>
      <c r="E164" s="27"/>
      <c r="F164" s="28" t="str">
        <f aca="false">IF(C164="","",IFERROR(INDEX(Settings!$C$8:$C$19,MATCH(C164,Settings!$B$8:$B$19,0)),"?"))</f>
        <v/>
      </c>
      <c r="G164" s="35" t="str">
        <f aca="false">IF(A164="","",DATE(YEAR(A164),MONTH(A164),1))</f>
        <v/>
      </c>
    </row>
    <row r="165" customFormat="false" ht="15" hidden="false" customHeight="false" outlineLevel="0" collapsed="false">
      <c r="A165" s="33"/>
      <c r="B165" s="27"/>
      <c r="C165" s="27"/>
      <c r="D165" s="34"/>
      <c r="E165" s="27"/>
      <c r="F165" s="28" t="str">
        <f aca="false">IF(C165="","",IFERROR(INDEX(Settings!$C$8:$C$19,MATCH(C165,Settings!$B$8:$B$19,0)),"?"))</f>
        <v/>
      </c>
      <c r="G165" s="35" t="str">
        <f aca="false">IF(A165="","",DATE(YEAR(A165),MONTH(A165),1))</f>
        <v/>
      </c>
    </row>
    <row r="166" customFormat="false" ht="15" hidden="false" customHeight="false" outlineLevel="0" collapsed="false">
      <c r="A166" s="33"/>
      <c r="B166" s="27"/>
      <c r="C166" s="27"/>
      <c r="D166" s="34"/>
      <c r="E166" s="27"/>
      <c r="F166" s="28" t="str">
        <f aca="false">IF(C166="","",IFERROR(INDEX(Settings!$C$8:$C$19,MATCH(C166,Settings!$B$8:$B$19,0)),"?"))</f>
        <v/>
      </c>
      <c r="G166" s="35" t="str">
        <f aca="false">IF(A166="","",DATE(YEAR(A166),MONTH(A166),1))</f>
        <v/>
      </c>
    </row>
    <row r="167" customFormat="false" ht="15" hidden="false" customHeight="false" outlineLevel="0" collapsed="false">
      <c r="A167" s="33"/>
      <c r="B167" s="27"/>
      <c r="C167" s="27"/>
      <c r="D167" s="34"/>
      <c r="E167" s="27"/>
      <c r="F167" s="28" t="str">
        <f aca="false">IF(C167="","",IFERROR(INDEX(Settings!$C$8:$C$19,MATCH(C167,Settings!$B$8:$B$19,0)),"?"))</f>
        <v/>
      </c>
      <c r="G167" s="35" t="str">
        <f aca="false">IF(A167="","",DATE(YEAR(A167),MONTH(A167),1))</f>
        <v/>
      </c>
    </row>
    <row r="168" customFormat="false" ht="15" hidden="false" customHeight="false" outlineLevel="0" collapsed="false">
      <c r="A168" s="33"/>
      <c r="B168" s="27"/>
      <c r="C168" s="27"/>
      <c r="D168" s="34"/>
      <c r="E168" s="27"/>
      <c r="F168" s="28" t="str">
        <f aca="false">IF(C168="","",IFERROR(INDEX(Settings!$C$8:$C$19,MATCH(C168,Settings!$B$8:$B$19,0)),"?"))</f>
        <v/>
      </c>
      <c r="G168" s="35" t="str">
        <f aca="false">IF(A168="","",DATE(YEAR(A168),MONTH(A168),1))</f>
        <v/>
      </c>
    </row>
    <row r="169" customFormat="false" ht="15" hidden="false" customHeight="false" outlineLevel="0" collapsed="false">
      <c r="A169" s="33"/>
      <c r="B169" s="27"/>
      <c r="C169" s="27"/>
      <c r="D169" s="34"/>
      <c r="E169" s="27"/>
      <c r="F169" s="28" t="str">
        <f aca="false">IF(C169="","",IFERROR(INDEX(Settings!$C$8:$C$19,MATCH(C169,Settings!$B$8:$B$19,0)),"?"))</f>
        <v/>
      </c>
      <c r="G169" s="35" t="str">
        <f aca="false">IF(A169="","",DATE(YEAR(A169),MONTH(A169),1))</f>
        <v/>
      </c>
    </row>
    <row r="170" customFormat="false" ht="15" hidden="false" customHeight="false" outlineLevel="0" collapsed="false">
      <c r="A170" s="33"/>
      <c r="B170" s="27"/>
      <c r="C170" s="27"/>
      <c r="D170" s="34"/>
      <c r="E170" s="27"/>
      <c r="F170" s="28" t="str">
        <f aca="false">IF(C170="","",IFERROR(INDEX(Settings!$C$8:$C$19,MATCH(C170,Settings!$B$8:$B$19,0)),"?"))</f>
        <v/>
      </c>
      <c r="G170" s="35" t="str">
        <f aca="false">IF(A170="","",DATE(YEAR(A170),MONTH(A170),1))</f>
        <v/>
      </c>
    </row>
    <row r="171" customFormat="false" ht="15" hidden="false" customHeight="false" outlineLevel="0" collapsed="false">
      <c r="A171" s="33"/>
      <c r="B171" s="27"/>
      <c r="C171" s="27"/>
      <c r="D171" s="34"/>
      <c r="E171" s="27"/>
      <c r="F171" s="28" t="str">
        <f aca="false">IF(C171="","",IFERROR(INDEX(Settings!$C$8:$C$19,MATCH(C171,Settings!$B$8:$B$19,0)),"?"))</f>
        <v/>
      </c>
      <c r="G171" s="35" t="str">
        <f aca="false">IF(A171="","",DATE(YEAR(A171),MONTH(A171),1))</f>
        <v/>
      </c>
    </row>
    <row r="172" customFormat="false" ht="15" hidden="false" customHeight="false" outlineLevel="0" collapsed="false">
      <c r="A172" s="33"/>
      <c r="B172" s="27"/>
      <c r="C172" s="27"/>
      <c r="D172" s="34"/>
      <c r="E172" s="27"/>
      <c r="F172" s="28" t="str">
        <f aca="false">IF(C172="","",IFERROR(INDEX(Settings!$C$8:$C$19,MATCH(C172,Settings!$B$8:$B$19,0)),"?"))</f>
        <v/>
      </c>
      <c r="G172" s="35" t="str">
        <f aca="false">IF(A172="","",DATE(YEAR(A172),MONTH(A172),1))</f>
        <v/>
      </c>
    </row>
    <row r="173" customFormat="false" ht="15" hidden="false" customHeight="false" outlineLevel="0" collapsed="false">
      <c r="A173" s="33"/>
      <c r="B173" s="27"/>
      <c r="C173" s="27"/>
      <c r="D173" s="34"/>
      <c r="E173" s="27"/>
      <c r="F173" s="28" t="str">
        <f aca="false">IF(C173="","",IFERROR(INDEX(Settings!$C$8:$C$19,MATCH(C173,Settings!$B$8:$B$19,0)),"?"))</f>
        <v/>
      </c>
      <c r="G173" s="35" t="str">
        <f aca="false">IF(A173="","",DATE(YEAR(A173),MONTH(A173),1))</f>
        <v/>
      </c>
    </row>
    <row r="174" customFormat="false" ht="15" hidden="false" customHeight="false" outlineLevel="0" collapsed="false">
      <c r="A174" s="33"/>
      <c r="B174" s="27"/>
      <c r="C174" s="27"/>
      <c r="D174" s="34"/>
      <c r="E174" s="27"/>
      <c r="F174" s="28" t="str">
        <f aca="false">IF(C174="","",IFERROR(INDEX(Settings!$C$8:$C$19,MATCH(C174,Settings!$B$8:$B$19,0)),"?"))</f>
        <v/>
      </c>
      <c r="G174" s="35" t="str">
        <f aca="false">IF(A174="","",DATE(YEAR(A174),MONTH(A174),1))</f>
        <v/>
      </c>
    </row>
    <row r="175" customFormat="false" ht="15" hidden="false" customHeight="false" outlineLevel="0" collapsed="false">
      <c r="A175" s="33"/>
      <c r="B175" s="27"/>
      <c r="C175" s="27"/>
      <c r="D175" s="34"/>
      <c r="E175" s="27"/>
      <c r="F175" s="28" t="str">
        <f aca="false">IF(C175="","",IFERROR(INDEX(Settings!$C$8:$C$19,MATCH(C175,Settings!$B$8:$B$19,0)),"?"))</f>
        <v/>
      </c>
      <c r="G175" s="35" t="str">
        <f aca="false">IF(A175="","",DATE(YEAR(A175),MONTH(A175),1))</f>
        <v/>
      </c>
    </row>
    <row r="176" customFormat="false" ht="15" hidden="false" customHeight="false" outlineLevel="0" collapsed="false">
      <c r="A176" s="33"/>
      <c r="B176" s="27"/>
      <c r="C176" s="27"/>
      <c r="D176" s="34"/>
      <c r="E176" s="27"/>
      <c r="F176" s="28" t="str">
        <f aca="false">IF(C176="","",IFERROR(INDEX(Settings!$C$8:$C$19,MATCH(C176,Settings!$B$8:$B$19,0)),"?"))</f>
        <v/>
      </c>
      <c r="G176" s="35" t="str">
        <f aca="false">IF(A176="","",DATE(YEAR(A176),MONTH(A176),1))</f>
        <v/>
      </c>
    </row>
    <row r="177" customFormat="false" ht="15" hidden="false" customHeight="false" outlineLevel="0" collapsed="false">
      <c r="A177" s="33"/>
      <c r="B177" s="27"/>
      <c r="C177" s="27"/>
      <c r="D177" s="34"/>
      <c r="E177" s="27"/>
      <c r="F177" s="28" t="str">
        <f aca="false">IF(C177="","",IFERROR(INDEX(Settings!$C$8:$C$19,MATCH(C177,Settings!$B$8:$B$19,0)),"?"))</f>
        <v/>
      </c>
      <c r="G177" s="35" t="str">
        <f aca="false">IF(A177="","",DATE(YEAR(A177),MONTH(A177),1))</f>
        <v/>
      </c>
    </row>
    <row r="178" customFormat="false" ht="15" hidden="false" customHeight="false" outlineLevel="0" collapsed="false">
      <c r="A178" s="33"/>
      <c r="B178" s="27"/>
      <c r="C178" s="27"/>
      <c r="D178" s="34"/>
      <c r="E178" s="27"/>
      <c r="F178" s="28" t="str">
        <f aca="false">IF(C178="","",IFERROR(INDEX(Settings!$C$8:$C$19,MATCH(C178,Settings!$B$8:$B$19,0)),"?"))</f>
        <v/>
      </c>
      <c r="G178" s="35" t="str">
        <f aca="false">IF(A178="","",DATE(YEAR(A178),MONTH(A178),1))</f>
        <v/>
      </c>
    </row>
    <row r="179" customFormat="false" ht="15" hidden="false" customHeight="false" outlineLevel="0" collapsed="false">
      <c r="A179" s="33"/>
      <c r="B179" s="27"/>
      <c r="C179" s="27"/>
      <c r="D179" s="34"/>
      <c r="E179" s="27"/>
      <c r="F179" s="28" t="str">
        <f aca="false">IF(C179="","",IFERROR(INDEX(Settings!$C$8:$C$19,MATCH(C179,Settings!$B$8:$B$19,0)),"?"))</f>
        <v/>
      </c>
      <c r="G179" s="35" t="str">
        <f aca="false">IF(A179="","",DATE(YEAR(A179),MONTH(A179),1))</f>
        <v/>
      </c>
    </row>
    <row r="180" customFormat="false" ht="15" hidden="false" customHeight="false" outlineLevel="0" collapsed="false">
      <c r="A180" s="33"/>
      <c r="B180" s="27"/>
      <c r="C180" s="27"/>
      <c r="D180" s="34"/>
      <c r="E180" s="27"/>
      <c r="F180" s="28" t="str">
        <f aca="false">IF(C180="","",IFERROR(INDEX(Settings!$C$8:$C$19,MATCH(C180,Settings!$B$8:$B$19,0)),"?"))</f>
        <v/>
      </c>
      <c r="G180" s="35" t="str">
        <f aca="false">IF(A180="","",DATE(YEAR(A180),MONTH(A180),1))</f>
        <v/>
      </c>
    </row>
    <row r="181" customFormat="false" ht="15" hidden="false" customHeight="false" outlineLevel="0" collapsed="false">
      <c r="A181" s="33"/>
      <c r="B181" s="27"/>
      <c r="C181" s="27"/>
      <c r="D181" s="34"/>
      <c r="E181" s="27"/>
      <c r="F181" s="28" t="str">
        <f aca="false">IF(C181="","",IFERROR(INDEX(Settings!$C$8:$C$19,MATCH(C181,Settings!$B$8:$B$19,0)),"?"))</f>
        <v/>
      </c>
      <c r="G181" s="35" t="str">
        <f aca="false">IF(A181="","",DATE(YEAR(A181),MONTH(A181),1))</f>
        <v/>
      </c>
    </row>
    <row r="182" customFormat="false" ht="15" hidden="false" customHeight="false" outlineLevel="0" collapsed="false">
      <c r="A182" s="33"/>
      <c r="B182" s="27"/>
      <c r="C182" s="27"/>
      <c r="D182" s="34"/>
      <c r="E182" s="27"/>
      <c r="F182" s="28" t="str">
        <f aca="false">IF(C182="","",IFERROR(INDEX(Settings!$C$8:$C$19,MATCH(C182,Settings!$B$8:$B$19,0)),"?"))</f>
        <v/>
      </c>
      <c r="G182" s="35" t="str">
        <f aca="false">IF(A182="","",DATE(YEAR(A182),MONTH(A182),1))</f>
        <v/>
      </c>
    </row>
    <row r="183" customFormat="false" ht="15" hidden="false" customHeight="false" outlineLevel="0" collapsed="false">
      <c r="A183" s="33"/>
      <c r="B183" s="27"/>
      <c r="C183" s="27"/>
      <c r="D183" s="34"/>
      <c r="E183" s="27"/>
      <c r="F183" s="28" t="str">
        <f aca="false">IF(C183="","",IFERROR(INDEX(Settings!$C$8:$C$19,MATCH(C183,Settings!$B$8:$B$19,0)),"?"))</f>
        <v/>
      </c>
      <c r="G183" s="35" t="str">
        <f aca="false">IF(A183="","",DATE(YEAR(A183),MONTH(A183),1))</f>
        <v/>
      </c>
    </row>
    <row r="184" customFormat="false" ht="15" hidden="false" customHeight="false" outlineLevel="0" collapsed="false">
      <c r="A184" s="33"/>
      <c r="B184" s="27"/>
      <c r="C184" s="27"/>
      <c r="D184" s="34"/>
      <c r="E184" s="27"/>
      <c r="F184" s="28" t="str">
        <f aca="false">IF(C184="","",IFERROR(INDEX(Settings!$C$8:$C$19,MATCH(C184,Settings!$B$8:$B$19,0)),"?"))</f>
        <v/>
      </c>
      <c r="G184" s="35" t="str">
        <f aca="false">IF(A184="","",DATE(YEAR(A184),MONTH(A184),1))</f>
        <v/>
      </c>
    </row>
    <row r="185" customFormat="false" ht="15" hidden="false" customHeight="false" outlineLevel="0" collapsed="false">
      <c r="A185" s="33"/>
      <c r="B185" s="27"/>
      <c r="C185" s="27"/>
      <c r="D185" s="34"/>
      <c r="E185" s="27"/>
      <c r="F185" s="28" t="str">
        <f aca="false">IF(C185="","",IFERROR(INDEX(Settings!$C$8:$C$19,MATCH(C185,Settings!$B$8:$B$19,0)),"?"))</f>
        <v/>
      </c>
      <c r="G185" s="35" t="str">
        <f aca="false">IF(A185="","",DATE(YEAR(A185),MONTH(A185),1))</f>
        <v/>
      </c>
    </row>
    <row r="186" customFormat="false" ht="15" hidden="false" customHeight="false" outlineLevel="0" collapsed="false">
      <c r="A186" s="33"/>
      <c r="B186" s="27"/>
      <c r="C186" s="27"/>
      <c r="D186" s="34"/>
      <c r="E186" s="27"/>
      <c r="F186" s="28" t="str">
        <f aca="false">IF(C186="","",IFERROR(INDEX(Settings!$C$8:$C$19,MATCH(C186,Settings!$B$8:$B$19,0)),"?"))</f>
        <v/>
      </c>
      <c r="G186" s="35" t="str">
        <f aca="false">IF(A186="","",DATE(YEAR(A186),MONTH(A186),1))</f>
        <v/>
      </c>
    </row>
    <row r="187" customFormat="false" ht="15" hidden="false" customHeight="false" outlineLevel="0" collapsed="false">
      <c r="A187" s="33"/>
      <c r="B187" s="27"/>
      <c r="C187" s="27"/>
      <c r="D187" s="34"/>
      <c r="E187" s="27"/>
      <c r="F187" s="28" t="str">
        <f aca="false">IF(C187="","",IFERROR(INDEX(Settings!$C$8:$C$19,MATCH(C187,Settings!$B$8:$B$19,0)),"?"))</f>
        <v/>
      </c>
      <c r="G187" s="35" t="str">
        <f aca="false">IF(A187="","",DATE(YEAR(A187),MONTH(A187),1))</f>
        <v/>
      </c>
    </row>
    <row r="188" customFormat="false" ht="15" hidden="false" customHeight="false" outlineLevel="0" collapsed="false">
      <c r="A188" s="33"/>
      <c r="B188" s="27"/>
      <c r="C188" s="27"/>
      <c r="D188" s="34"/>
      <c r="E188" s="27"/>
      <c r="F188" s="28" t="str">
        <f aca="false">IF(C188="","",IFERROR(INDEX(Settings!$C$8:$C$19,MATCH(C188,Settings!$B$8:$B$19,0)),"?"))</f>
        <v/>
      </c>
      <c r="G188" s="35" t="str">
        <f aca="false">IF(A188="","",DATE(YEAR(A188),MONTH(A188),1))</f>
        <v/>
      </c>
    </row>
    <row r="189" customFormat="false" ht="15" hidden="false" customHeight="false" outlineLevel="0" collapsed="false">
      <c r="A189" s="33"/>
      <c r="B189" s="27"/>
      <c r="C189" s="27"/>
      <c r="D189" s="34"/>
      <c r="E189" s="27"/>
      <c r="F189" s="28" t="str">
        <f aca="false">IF(C189="","",IFERROR(INDEX(Settings!$C$8:$C$19,MATCH(C189,Settings!$B$8:$B$19,0)),"?"))</f>
        <v/>
      </c>
      <c r="G189" s="35" t="str">
        <f aca="false">IF(A189="","",DATE(YEAR(A189),MONTH(A189),1))</f>
        <v/>
      </c>
    </row>
    <row r="190" customFormat="false" ht="15" hidden="false" customHeight="false" outlineLevel="0" collapsed="false">
      <c r="A190" s="33"/>
      <c r="B190" s="27"/>
      <c r="C190" s="27"/>
      <c r="D190" s="34"/>
      <c r="E190" s="27"/>
      <c r="F190" s="28" t="str">
        <f aca="false">IF(C190="","",IFERROR(INDEX(Settings!$C$8:$C$19,MATCH(C190,Settings!$B$8:$B$19,0)),"?"))</f>
        <v/>
      </c>
      <c r="G190" s="35" t="str">
        <f aca="false">IF(A190="","",DATE(YEAR(A190),MONTH(A190),1))</f>
        <v/>
      </c>
    </row>
    <row r="191" customFormat="false" ht="15" hidden="false" customHeight="false" outlineLevel="0" collapsed="false">
      <c r="A191" s="33"/>
      <c r="B191" s="27"/>
      <c r="C191" s="27"/>
      <c r="D191" s="34"/>
      <c r="E191" s="27"/>
      <c r="F191" s="28" t="str">
        <f aca="false">IF(C191="","",IFERROR(INDEX(Settings!$C$8:$C$19,MATCH(C191,Settings!$B$8:$B$19,0)),"?"))</f>
        <v/>
      </c>
      <c r="G191" s="35" t="str">
        <f aca="false">IF(A191="","",DATE(YEAR(A191),MONTH(A191),1))</f>
        <v/>
      </c>
    </row>
    <row r="192" customFormat="false" ht="15" hidden="false" customHeight="false" outlineLevel="0" collapsed="false">
      <c r="A192" s="33"/>
      <c r="B192" s="27"/>
      <c r="C192" s="27"/>
      <c r="D192" s="34"/>
      <c r="E192" s="27"/>
      <c r="F192" s="28" t="str">
        <f aca="false">IF(C192="","",IFERROR(INDEX(Settings!$C$8:$C$19,MATCH(C192,Settings!$B$8:$B$19,0)),"?"))</f>
        <v/>
      </c>
      <c r="G192" s="35" t="str">
        <f aca="false">IF(A192="","",DATE(YEAR(A192),MONTH(A192),1))</f>
        <v/>
      </c>
    </row>
    <row r="193" customFormat="false" ht="15" hidden="false" customHeight="false" outlineLevel="0" collapsed="false">
      <c r="A193" s="33"/>
      <c r="B193" s="27"/>
      <c r="C193" s="27"/>
      <c r="D193" s="34"/>
      <c r="E193" s="27"/>
      <c r="F193" s="28" t="str">
        <f aca="false">IF(C193="","",IFERROR(INDEX(Settings!$C$8:$C$19,MATCH(C193,Settings!$B$8:$B$19,0)),"?"))</f>
        <v/>
      </c>
      <c r="G193" s="35" t="str">
        <f aca="false">IF(A193="","",DATE(YEAR(A193),MONTH(A193),1))</f>
        <v/>
      </c>
    </row>
    <row r="194" customFormat="false" ht="15" hidden="false" customHeight="false" outlineLevel="0" collapsed="false">
      <c r="A194" s="33"/>
      <c r="B194" s="27"/>
      <c r="C194" s="27"/>
      <c r="D194" s="34"/>
      <c r="E194" s="27"/>
      <c r="F194" s="28" t="str">
        <f aca="false">IF(C194="","",IFERROR(INDEX(Settings!$C$8:$C$19,MATCH(C194,Settings!$B$8:$B$19,0)),"?"))</f>
        <v/>
      </c>
      <c r="G194" s="35" t="str">
        <f aca="false">IF(A194="","",DATE(YEAR(A194),MONTH(A194),1))</f>
        <v/>
      </c>
    </row>
    <row r="195" customFormat="false" ht="15" hidden="false" customHeight="false" outlineLevel="0" collapsed="false">
      <c r="A195" s="33"/>
      <c r="B195" s="27"/>
      <c r="C195" s="27"/>
      <c r="D195" s="34"/>
      <c r="E195" s="27"/>
      <c r="F195" s="28" t="str">
        <f aca="false">IF(C195="","",IFERROR(INDEX(Settings!$C$8:$C$19,MATCH(C195,Settings!$B$8:$B$19,0)),"?"))</f>
        <v/>
      </c>
      <c r="G195" s="35" t="str">
        <f aca="false">IF(A195="","",DATE(YEAR(A195),MONTH(A195),1))</f>
        <v/>
      </c>
    </row>
    <row r="196" customFormat="false" ht="15" hidden="false" customHeight="false" outlineLevel="0" collapsed="false">
      <c r="A196" s="33"/>
      <c r="B196" s="27"/>
      <c r="C196" s="27"/>
      <c r="D196" s="34"/>
      <c r="E196" s="27"/>
      <c r="F196" s="28" t="str">
        <f aca="false">IF(C196="","",IFERROR(INDEX(Settings!$C$8:$C$19,MATCH(C196,Settings!$B$8:$B$19,0)),"?"))</f>
        <v/>
      </c>
      <c r="G196" s="35" t="str">
        <f aca="false">IF(A196="","",DATE(YEAR(A196),MONTH(A196),1))</f>
        <v/>
      </c>
    </row>
    <row r="197" customFormat="false" ht="15" hidden="false" customHeight="false" outlineLevel="0" collapsed="false">
      <c r="A197" s="33"/>
      <c r="B197" s="27"/>
      <c r="C197" s="27"/>
      <c r="D197" s="34"/>
      <c r="E197" s="27"/>
      <c r="F197" s="28" t="str">
        <f aca="false">IF(C197="","",IFERROR(INDEX(Settings!$C$8:$C$19,MATCH(C197,Settings!$B$8:$B$19,0)),"?"))</f>
        <v/>
      </c>
      <c r="G197" s="35" t="str">
        <f aca="false">IF(A197="","",DATE(YEAR(A197),MONTH(A197),1))</f>
        <v/>
      </c>
    </row>
    <row r="198" customFormat="false" ht="15" hidden="false" customHeight="false" outlineLevel="0" collapsed="false">
      <c r="A198" s="33"/>
      <c r="B198" s="27"/>
      <c r="C198" s="27"/>
      <c r="D198" s="34"/>
      <c r="E198" s="27"/>
      <c r="F198" s="28" t="str">
        <f aca="false">IF(C198="","",IFERROR(INDEX(Settings!$C$8:$C$19,MATCH(C198,Settings!$B$8:$B$19,0)),"?"))</f>
        <v/>
      </c>
      <c r="G198" s="35" t="str">
        <f aca="false">IF(A198="","",DATE(YEAR(A198),MONTH(A198),1))</f>
        <v/>
      </c>
    </row>
    <row r="199" customFormat="false" ht="15" hidden="false" customHeight="false" outlineLevel="0" collapsed="false">
      <c r="A199" s="33"/>
      <c r="B199" s="27"/>
      <c r="C199" s="27"/>
      <c r="D199" s="34"/>
      <c r="E199" s="27"/>
      <c r="F199" s="28" t="str">
        <f aca="false">IF(C199="","",IFERROR(INDEX(Settings!$C$8:$C$19,MATCH(C199,Settings!$B$8:$B$19,0)),"?"))</f>
        <v/>
      </c>
      <c r="G199" s="35" t="str">
        <f aca="false">IF(A199="","",DATE(YEAR(A199),MONTH(A199),1))</f>
        <v/>
      </c>
    </row>
    <row r="200" customFormat="false" ht="15" hidden="false" customHeight="false" outlineLevel="0" collapsed="false">
      <c r="A200" s="33"/>
      <c r="B200" s="27"/>
      <c r="C200" s="27"/>
      <c r="D200" s="34"/>
      <c r="E200" s="27"/>
      <c r="F200" s="28" t="str">
        <f aca="false">IF(C200="","",IFERROR(INDEX(Settings!$C$8:$C$19,MATCH(C200,Settings!$B$8:$B$19,0)),"?"))</f>
        <v/>
      </c>
      <c r="G200" s="35" t="str">
        <f aca="false">IF(A200="","",DATE(YEAR(A200),MONTH(A200),1))</f>
        <v/>
      </c>
    </row>
    <row r="201" customFormat="false" ht="15" hidden="false" customHeight="false" outlineLevel="0" collapsed="false">
      <c r="A201" s="33"/>
      <c r="B201" s="27"/>
      <c r="C201" s="27"/>
      <c r="D201" s="34"/>
      <c r="E201" s="27"/>
      <c r="F201" s="28" t="str">
        <f aca="false">IF(C201="","",IFERROR(INDEX(Settings!$C$8:$C$19,MATCH(C201,Settings!$B$8:$B$19,0)),"?"))</f>
        <v/>
      </c>
      <c r="G201" s="35" t="str">
        <f aca="false">IF(A201="","",DATE(YEAR(A201),MONTH(A201),1))</f>
        <v/>
      </c>
    </row>
    <row r="202" customFormat="false" ht="15" hidden="false" customHeight="false" outlineLevel="0" collapsed="false">
      <c r="A202" s="33"/>
      <c r="B202" s="27"/>
      <c r="C202" s="27"/>
      <c r="D202" s="34"/>
      <c r="E202" s="27"/>
      <c r="F202" s="28" t="str">
        <f aca="false">IF(C202="","",IFERROR(INDEX(Settings!$C$8:$C$19,MATCH(C202,Settings!$B$8:$B$19,0)),"?"))</f>
        <v/>
      </c>
      <c r="G202" s="35" t="str">
        <f aca="false">IF(A202="","",DATE(YEAR(A202),MONTH(A202),1))</f>
        <v/>
      </c>
    </row>
    <row r="203" customFormat="false" ht="15" hidden="false" customHeight="false" outlineLevel="0" collapsed="false">
      <c r="A203" s="33"/>
      <c r="B203" s="27"/>
      <c r="C203" s="27"/>
      <c r="D203" s="34"/>
      <c r="E203" s="27"/>
      <c r="F203" s="28" t="str">
        <f aca="false">IF(C203="","",IFERROR(INDEX(Settings!$C$8:$C$19,MATCH(C203,Settings!$B$8:$B$19,0)),"?"))</f>
        <v/>
      </c>
      <c r="G203" s="35" t="str">
        <f aca="false">IF(A203="","",DATE(YEAR(A203),MONTH(A203),1))</f>
        <v/>
      </c>
    </row>
    <row r="204" customFormat="false" ht="15" hidden="false" customHeight="false" outlineLevel="0" collapsed="false">
      <c r="A204" s="33"/>
      <c r="B204" s="27"/>
      <c r="C204" s="27"/>
      <c r="D204" s="34"/>
      <c r="E204" s="27"/>
      <c r="F204" s="28" t="str">
        <f aca="false">IF(C204="","",IFERROR(INDEX(Settings!$C$8:$C$19,MATCH(C204,Settings!$B$8:$B$19,0)),"?"))</f>
        <v/>
      </c>
      <c r="G204" s="35" t="str">
        <f aca="false">IF(A204="","",DATE(YEAR(A204),MONTH(A204),1))</f>
        <v/>
      </c>
    </row>
    <row r="205" customFormat="false" ht="15" hidden="false" customHeight="false" outlineLevel="0" collapsed="false">
      <c r="A205" s="33"/>
      <c r="B205" s="27"/>
      <c r="C205" s="27"/>
      <c r="D205" s="34"/>
      <c r="E205" s="27"/>
      <c r="F205" s="28" t="str">
        <f aca="false">IF(C205="","",IFERROR(INDEX(Settings!$C$8:$C$19,MATCH(C205,Settings!$B$8:$B$19,0)),"?"))</f>
        <v/>
      </c>
      <c r="G205" s="35" t="str">
        <f aca="false">IF(A205="","",DATE(YEAR(A205),MONTH(A205),1))</f>
        <v/>
      </c>
    </row>
    <row r="206" customFormat="false" ht="15" hidden="false" customHeight="false" outlineLevel="0" collapsed="false">
      <c r="A206" s="33"/>
      <c r="B206" s="27"/>
      <c r="C206" s="27"/>
      <c r="D206" s="34"/>
      <c r="E206" s="27"/>
      <c r="F206" s="28" t="str">
        <f aca="false">IF(C206="","",IFERROR(INDEX(Settings!$C$8:$C$19,MATCH(C206,Settings!$B$8:$B$19,0)),"?"))</f>
        <v/>
      </c>
      <c r="G206" s="35" t="str">
        <f aca="false">IF(A206="","",DATE(YEAR(A206),MONTH(A206),1))</f>
        <v/>
      </c>
    </row>
    <row r="207" customFormat="false" ht="15" hidden="false" customHeight="false" outlineLevel="0" collapsed="false">
      <c r="A207" s="33"/>
      <c r="B207" s="27"/>
      <c r="C207" s="27"/>
      <c r="D207" s="34"/>
      <c r="E207" s="27"/>
      <c r="F207" s="28" t="str">
        <f aca="false">IF(C207="","",IFERROR(INDEX(Settings!$C$8:$C$19,MATCH(C207,Settings!$B$8:$B$19,0)),"?"))</f>
        <v/>
      </c>
      <c r="G207" s="35" t="str">
        <f aca="false">IF(A207="","",DATE(YEAR(A207),MONTH(A207),1))</f>
        <v/>
      </c>
    </row>
    <row r="208" customFormat="false" ht="15" hidden="false" customHeight="false" outlineLevel="0" collapsed="false">
      <c r="A208" s="33"/>
      <c r="B208" s="27"/>
      <c r="C208" s="27"/>
      <c r="D208" s="34"/>
      <c r="E208" s="27"/>
      <c r="F208" s="28" t="str">
        <f aca="false">IF(C208="","",IFERROR(INDEX(Settings!$C$8:$C$19,MATCH(C208,Settings!$B$8:$B$19,0)),"?"))</f>
        <v/>
      </c>
      <c r="G208" s="35" t="str">
        <f aca="false">IF(A208="","",DATE(YEAR(A208),MONTH(A208),1))</f>
        <v/>
      </c>
    </row>
    <row r="209" customFormat="false" ht="15" hidden="false" customHeight="false" outlineLevel="0" collapsed="false">
      <c r="A209" s="33"/>
      <c r="B209" s="27"/>
      <c r="C209" s="27"/>
      <c r="D209" s="34"/>
      <c r="E209" s="27"/>
      <c r="F209" s="28" t="str">
        <f aca="false">IF(C209="","",IFERROR(INDEX(Settings!$C$8:$C$19,MATCH(C209,Settings!$B$8:$B$19,0)),"?"))</f>
        <v/>
      </c>
      <c r="G209" s="35" t="str">
        <f aca="false">IF(A209="","",DATE(YEAR(A209),MONTH(A209),1))</f>
        <v/>
      </c>
    </row>
    <row r="210" customFormat="false" ht="15" hidden="false" customHeight="false" outlineLevel="0" collapsed="false">
      <c r="A210" s="33"/>
      <c r="B210" s="27"/>
      <c r="C210" s="27"/>
      <c r="D210" s="34"/>
      <c r="E210" s="27"/>
      <c r="F210" s="28" t="str">
        <f aca="false">IF(C210="","",IFERROR(INDEX(Settings!$C$8:$C$19,MATCH(C210,Settings!$B$8:$B$19,0)),"?"))</f>
        <v/>
      </c>
      <c r="G210" s="35" t="str">
        <f aca="false">IF(A210="","",DATE(YEAR(A210),MONTH(A210),1))</f>
        <v/>
      </c>
    </row>
    <row r="211" customFormat="false" ht="15" hidden="false" customHeight="false" outlineLevel="0" collapsed="false">
      <c r="A211" s="33"/>
      <c r="B211" s="27"/>
      <c r="C211" s="27"/>
      <c r="D211" s="34"/>
      <c r="E211" s="27"/>
      <c r="F211" s="28" t="str">
        <f aca="false">IF(C211="","",IFERROR(INDEX(Settings!$C$8:$C$19,MATCH(C211,Settings!$B$8:$B$19,0)),"?"))</f>
        <v/>
      </c>
      <c r="G211" s="35" t="str">
        <f aca="false">IF(A211="","",DATE(YEAR(A211),MONTH(A211),1))</f>
        <v/>
      </c>
    </row>
    <row r="212" customFormat="false" ht="15" hidden="false" customHeight="false" outlineLevel="0" collapsed="false">
      <c r="A212" s="33"/>
      <c r="B212" s="27"/>
      <c r="C212" s="27"/>
      <c r="D212" s="34"/>
      <c r="E212" s="27"/>
      <c r="F212" s="28" t="str">
        <f aca="false">IF(C212="","",IFERROR(INDEX(Settings!$C$8:$C$19,MATCH(C212,Settings!$B$8:$B$19,0)),"?"))</f>
        <v/>
      </c>
      <c r="G212" s="35" t="str">
        <f aca="false">IF(A212="","",DATE(YEAR(A212),MONTH(A212),1))</f>
        <v/>
      </c>
    </row>
    <row r="213" customFormat="false" ht="15" hidden="false" customHeight="false" outlineLevel="0" collapsed="false">
      <c r="A213" s="33"/>
      <c r="B213" s="27"/>
      <c r="C213" s="27"/>
      <c r="D213" s="34"/>
      <c r="E213" s="27"/>
      <c r="F213" s="28" t="str">
        <f aca="false">IF(C213="","",IFERROR(INDEX(Settings!$C$8:$C$19,MATCH(C213,Settings!$B$8:$B$19,0)),"?"))</f>
        <v/>
      </c>
      <c r="G213" s="35" t="str">
        <f aca="false">IF(A213="","",DATE(YEAR(A213),MONTH(A213),1))</f>
        <v/>
      </c>
    </row>
    <row r="214" customFormat="false" ht="15" hidden="false" customHeight="false" outlineLevel="0" collapsed="false">
      <c r="A214" s="33"/>
      <c r="B214" s="27"/>
      <c r="C214" s="27"/>
      <c r="D214" s="34"/>
      <c r="E214" s="27"/>
      <c r="F214" s="28" t="str">
        <f aca="false">IF(C214="","",IFERROR(INDEX(Settings!$C$8:$C$19,MATCH(C214,Settings!$B$8:$B$19,0)),"?"))</f>
        <v/>
      </c>
      <c r="G214" s="35" t="str">
        <f aca="false">IF(A214="","",DATE(YEAR(A214),MONTH(A214),1))</f>
        <v/>
      </c>
    </row>
    <row r="215" customFormat="false" ht="15" hidden="false" customHeight="false" outlineLevel="0" collapsed="false">
      <c r="A215" s="33"/>
      <c r="B215" s="27"/>
      <c r="C215" s="27"/>
      <c r="D215" s="34"/>
      <c r="E215" s="27"/>
      <c r="F215" s="28" t="str">
        <f aca="false">IF(C215="","",IFERROR(INDEX(Settings!$C$8:$C$19,MATCH(C215,Settings!$B$8:$B$19,0)),"?"))</f>
        <v/>
      </c>
      <c r="G215" s="35" t="str">
        <f aca="false">IF(A215="","",DATE(YEAR(A215),MONTH(A215),1))</f>
        <v/>
      </c>
    </row>
    <row r="216" customFormat="false" ht="15" hidden="false" customHeight="false" outlineLevel="0" collapsed="false">
      <c r="A216" s="33"/>
      <c r="B216" s="27"/>
      <c r="C216" s="27"/>
      <c r="D216" s="34"/>
      <c r="E216" s="27"/>
      <c r="F216" s="28" t="str">
        <f aca="false">IF(C216="","",IFERROR(INDEX(Settings!$C$8:$C$19,MATCH(C216,Settings!$B$8:$B$19,0)),"?"))</f>
        <v/>
      </c>
      <c r="G216" s="35" t="str">
        <f aca="false">IF(A216="","",DATE(YEAR(A216),MONTH(A216),1))</f>
        <v/>
      </c>
    </row>
    <row r="217" customFormat="false" ht="15" hidden="false" customHeight="false" outlineLevel="0" collapsed="false">
      <c r="A217" s="33"/>
      <c r="B217" s="27"/>
      <c r="C217" s="27"/>
      <c r="D217" s="34"/>
      <c r="E217" s="27"/>
      <c r="F217" s="28" t="str">
        <f aca="false">IF(C217="","",IFERROR(INDEX(Settings!$C$8:$C$19,MATCH(C217,Settings!$B$8:$B$19,0)),"?"))</f>
        <v/>
      </c>
      <c r="G217" s="35" t="str">
        <f aca="false">IF(A217="","",DATE(YEAR(A217),MONTH(A217),1))</f>
        <v/>
      </c>
    </row>
    <row r="218" customFormat="false" ht="15" hidden="false" customHeight="false" outlineLevel="0" collapsed="false">
      <c r="A218" s="33"/>
      <c r="B218" s="27"/>
      <c r="C218" s="27"/>
      <c r="D218" s="34"/>
      <c r="E218" s="27"/>
      <c r="F218" s="28" t="str">
        <f aca="false">IF(C218="","",IFERROR(INDEX(Settings!$C$8:$C$19,MATCH(C218,Settings!$B$8:$B$19,0)),"?"))</f>
        <v/>
      </c>
      <c r="G218" s="35" t="str">
        <f aca="false">IF(A218="","",DATE(YEAR(A218),MONTH(A218),1))</f>
        <v/>
      </c>
    </row>
    <row r="219" customFormat="false" ht="15" hidden="false" customHeight="false" outlineLevel="0" collapsed="false">
      <c r="A219" s="33"/>
      <c r="B219" s="27"/>
      <c r="C219" s="27"/>
      <c r="D219" s="34"/>
      <c r="E219" s="27"/>
      <c r="F219" s="28" t="str">
        <f aca="false">IF(C219="","",IFERROR(INDEX(Settings!$C$8:$C$19,MATCH(C219,Settings!$B$8:$B$19,0)),"?"))</f>
        <v/>
      </c>
      <c r="G219" s="35" t="str">
        <f aca="false">IF(A219="","",DATE(YEAR(A219),MONTH(A219),1))</f>
        <v/>
      </c>
    </row>
    <row r="220" customFormat="false" ht="15" hidden="false" customHeight="false" outlineLevel="0" collapsed="false">
      <c r="A220" s="33"/>
      <c r="B220" s="27"/>
      <c r="C220" s="27"/>
      <c r="D220" s="34"/>
      <c r="E220" s="27"/>
      <c r="F220" s="28" t="str">
        <f aca="false">IF(C220="","",IFERROR(INDEX(Settings!$C$8:$C$19,MATCH(C220,Settings!$B$8:$B$19,0)),"?"))</f>
        <v/>
      </c>
      <c r="G220" s="35" t="str">
        <f aca="false">IF(A220="","",DATE(YEAR(A220),MONTH(A220),1))</f>
        <v/>
      </c>
    </row>
    <row r="221" customFormat="false" ht="15" hidden="false" customHeight="false" outlineLevel="0" collapsed="false">
      <c r="A221" s="33"/>
      <c r="B221" s="27"/>
      <c r="C221" s="27"/>
      <c r="D221" s="34"/>
      <c r="E221" s="27"/>
      <c r="F221" s="28" t="str">
        <f aca="false">IF(C221="","",IFERROR(INDEX(Settings!$C$8:$C$19,MATCH(C221,Settings!$B$8:$B$19,0)),"?"))</f>
        <v/>
      </c>
      <c r="G221" s="35" t="str">
        <f aca="false">IF(A221="","",DATE(YEAR(A221),MONTH(A221),1))</f>
        <v/>
      </c>
    </row>
    <row r="222" customFormat="false" ht="15" hidden="false" customHeight="false" outlineLevel="0" collapsed="false">
      <c r="A222" s="33"/>
      <c r="B222" s="27"/>
      <c r="C222" s="27"/>
      <c r="D222" s="34"/>
      <c r="E222" s="27"/>
      <c r="F222" s="28" t="str">
        <f aca="false">IF(C222="","",IFERROR(INDEX(Settings!$C$8:$C$19,MATCH(C222,Settings!$B$8:$B$19,0)),"?"))</f>
        <v/>
      </c>
      <c r="G222" s="35" t="str">
        <f aca="false">IF(A222="","",DATE(YEAR(A222),MONTH(A222),1))</f>
        <v/>
      </c>
    </row>
    <row r="223" customFormat="false" ht="15" hidden="false" customHeight="false" outlineLevel="0" collapsed="false">
      <c r="A223" s="33"/>
      <c r="B223" s="27"/>
      <c r="C223" s="27"/>
      <c r="D223" s="34"/>
      <c r="E223" s="27"/>
      <c r="F223" s="28" t="str">
        <f aca="false">IF(C223="","",IFERROR(INDEX(Settings!$C$8:$C$19,MATCH(C223,Settings!$B$8:$B$19,0)),"?"))</f>
        <v/>
      </c>
      <c r="G223" s="35" t="str">
        <f aca="false">IF(A223="","",DATE(YEAR(A223),MONTH(A223),1))</f>
        <v/>
      </c>
    </row>
    <row r="224" customFormat="false" ht="15" hidden="false" customHeight="false" outlineLevel="0" collapsed="false">
      <c r="A224" s="33"/>
      <c r="B224" s="27"/>
      <c r="C224" s="27"/>
      <c r="D224" s="34"/>
      <c r="E224" s="27"/>
      <c r="F224" s="28" t="str">
        <f aca="false">IF(C224="","",IFERROR(INDEX(Settings!$C$8:$C$19,MATCH(C224,Settings!$B$8:$B$19,0)),"?"))</f>
        <v/>
      </c>
      <c r="G224" s="35" t="str">
        <f aca="false">IF(A224="","",DATE(YEAR(A224),MONTH(A224),1))</f>
        <v/>
      </c>
    </row>
    <row r="225" customFormat="false" ht="15" hidden="false" customHeight="false" outlineLevel="0" collapsed="false">
      <c r="A225" s="33"/>
      <c r="B225" s="27"/>
      <c r="C225" s="27"/>
      <c r="D225" s="34"/>
      <c r="E225" s="27"/>
      <c r="F225" s="28" t="str">
        <f aca="false">IF(C225="","",IFERROR(INDEX(Settings!$C$8:$C$19,MATCH(C225,Settings!$B$8:$B$19,0)),"?"))</f>
        <v/>
      </c>
      <c r="G225" s="35" t="str">
        <f aca="false">IF(A225="","",DATE(YEAR(A225),MONTH(A225),1))</f>
        <v/>
      </c>
    </row>
    <row r="226" customFormat="false" ht="15" hidden="false" customHeight="false" outlineLevel="0" collapsed="false">
      <c r="A226" s="33"/>
      <c r="B226" s="27"/>
      <c r="C226" s="27"/>
      <c r="D226" s="34"/>
      <c r="E226" s="27"/>
      <c r="F226" s="28" t="str">
        <f aca="false">IF(C226="","",IFERROR(INDEX(Settings!$C$8:$C$19,MATCH(C226,Settings!$B$8:$B$19,0)),"?"))</f>
        <v/>
      </c>
      <c r="G226" s="35" t="str">
        <f aca="false">IF(A226="","",DATE(YEAR(A226),MONTH(A226),1))</f>
        <v/>
      </c>
    </row>
    <row r="227" customFormat="false" ht="15" hidden="false" customHeight="false" outlineLevel="0" collapsed="false">
      <c r="A227" s="33"/>
      <c r="B227" s="27"/>
      <c r="C227" s="27"/>
      <c r="D227" s="34"/>
      <c r="E227" s="27"/>
      <c r="F227" s="28" t="str">
        <f aca="false">IF(C227="","",IFERROR(INDEX(Settings!$C$8:$C$19,MATCH(C227,Settings!$B$8:$B$19,0)),"?"))</f>
        <v/>
      </c>
      <c r="G227" s="35" t="str">
        <f aca="false">IF(A227="","",DATE(YEAR(A227),MONTH(A227),1))</f>
        <v/>
      </c>
    </row>
    <row r="228" customFormat="false" ht="15" hidden="false" customHeight="false" outlineLevel="0" collapsed="false">
      <c r="A228" s="33"/>
      <c r="B228" s="27"/>
      <c r="C228" s="27"/>
      <c r="D228" s="34"/>
      <c r="E228" s="27"/>
      <c r="F228" s="28" t="str">
        <f aca="false">IF(C228="","",IFERROR(INDEX(Settings!$C$8:$C$19,MATCH(C228,Settings!$B$8:$B$19,0)),"?"))</f>
        <v/>
      </c>
      <c r="G228" s="35" t="str">
        <f aca="false">IF(A228="","",DATE(YEAR(A228),MONTH(A228),1))</f>
        <v/>
      </c>
    </row>
    <row r="229" customFormat="false" ht="15" hidden="false" customHeight="false" outlineLevel="0" collapsed="false">
      <c r="A229" s="33"/>
      <c r="B229" s="27"/>
      <c r="C229" s="27"/>
      <c r="D229" s="34"/>
      <c r="E229" s="27"/>
      <c r="F229" s="28" t="str">
        <f aca="false">IF(C229="","",IFERROR(INDEX(Settings!$C$8:$C$19,MATCH(C229,Settings!$B$8:$B$19,0)),"?"))</f>
        <v/>
      </c>
      <c r="G229" s="35" t="str">
        <f aca="false">IF(A229="","",DATE(YEAR(A229),MONTH(A229),1))</f>
        <v/>
      </c>
    </row>
    <row r="230" customFormat="false" ht="15" hidden="false" customHeight="false" outlineLevel="0" collapsed="false">
      <c r="A230" s="33"/>
      <c r="B230" s="27"/>
      <c r="C230" s="27"/>
      <c r="D230" s="34"/>
      <c r="E230" s="27"/>
      <c r="F230" s="28" t="str">
        <f aca="false">IF(C230="","",IFERROR(INDEX(Settings!$C$8:$C$19,MATCH(C230,Settings!$B$8:$B$19,0)),"?"))</f>
        <v/>
      </c>
      <c r="G230" s="35" t="str">
        <f aca="false">IF(A230="","",DATE(YEAR(A230),MONTH(A230),1))</f>
        <v/>
      </c>
    </row>
    <row r="231" customFormat="false" ht="15" hidden="false" customHeight="false" outlineLevel="0" collapsed="false">
      <c r="A231" s="33"/>
      <c r="B231" s="27"/>
      <c r="C231" s="27"/>
      <c r="D231" s="34"/>
      <c r="E231" s="27"/>
      <c r="F231" s="28" t="str">
        <f aca="false">IF(C231="","",IFERROR(INDEX(Settings!$C$8:$C$19,MATCH(C231,Settings!$B$8:$B$19,0)),"?"))</f>
        <v/>
      </c>
      <c r="G231" s="35" t="str">
        <f aca="false">IF(A231="","",DATE(YEAR(A231),MONTH(A231),1))</f>
        <v/>
      </c>
    </row>
    <row r="232" customFormat="false" ht="15" hidden="false" customHeight="false" outlineLevel="0" collapsed="false">
      <c r="A232" s="33"/>
      <c r="B232" s="27"/>
      <c r="C232" s="27"/>
      <c r="D232" s="34"/>
      <c r="E232" s="27"/>
      <c r="F232" s="28" t="str">
        <f aca="false">IF(C232="","",IFERROR(INDEX(Settings!$C$8:$C$19,MATCH(C232,Settings!$B$8:$B$19,0)),"?"))</f>
        <v/>
      </c>
      <c r="G232" s="35" t="str">
        <f aca="false">IF(A232="","",DATE(YEAR(A232),MONTH(A232),1))</f>
        <v/>
      </c>
    </row>
    <row r="233" customFormat="false" ht="15" hidden="false" customHeight="false" outlineLevel="0" collapsed="false">
      <c r="A233" s="33"/>
      <c r="B233" s="27"/>
      <c r="C233" s="27"/>
      <c r="D233" s="34"/>
      <c r="E233" s="27"/>
      <c r="F233" s="28" t="str">
        <f aca="false">IF(C233="","",IFERROR(INDEX(Settings!$C$8:$C$19,MATCH(C233,Settings!$B$8:$B$19,0)),"?"))</f>
        <v/>
      </c>
      <c r="G233" s="35" t="str">
        <f aca="false">IF(A233="","",DATE(YEAR(A233),MONTH(A233),1))</f>
        <v/>
      </c>
    </row>
    <row r="234" customFormat="false" ht="15" hidden="false" customHeight="false" outlineLevel="0" collapsed="false">
      <c r="A234" s="33"/>
      <c r="B234" s="27"/>
      <c r="C234" s="27"/>
      <c r="D234" s="34"/>
      <c r="E234" s="27"/>
      <c r="F234" s="28" t="str">
        <f aca="false">IF(C234="","",IFERROR(INDEX(Settings!$C$8:$C$19,MATCH(C234,Settings!$B$8:$B$19,0)),"?"))</f>
        <v/>
      </c>
      <c r="G234" s="35" t="str">
        <f aca="false">IF(A234="","",DATE(YEAR(A234),MONTH(A234),1))</f>
        <v/>
      </c>
    </row>
    <row r="235" customFormat="false" ht="15" hidden="false" customHeight="false" outlineLevel="0" collapsed="false">
      <c r="A235" s="33"/>
      <c r="B235" s="27"/>
      <c r="C235" s="27"/>
      <c r="D235" s="34"/>
      <c r="E235" s="27"/>
      <c r="F235" s="28" t="str">
        <f aca="false">IF(C235="","",IFERROR(INDEX(Settings!$C$8:$C$19,MATCH(C235,Settings!$B$8:$B$19,0)),"?"))</f>
        <v/>
      </c>
      <c r="G235" s="35" t="str">
        <f aca="false">IF(A235="","",DATE(YEAR(A235),MONTH(A235),1))</f>
        <v/>
      </c>
    </row>
    <row r="236" customFormat="false" ht="15" hidden="false" customHeight="false" outlineLevel="0" collapsed="false">
      <c r="A236" s="33"/>
      <c r="B236" s="27"/>
      <c r="C236" s="27"/>
      <c r="D236" s="34"/>
      <c r="E236" s="27"/>
      <c r="F236" s="28" t="str">
        <f aca="false">IF(C236="","",IFERROR(INDEX(Settings!$C$8:$C$19,MATCH(C236,Settings!$B$8:$B$19,0)),"?"))</f>
        <v/>
      </c>
      <c r="G236" s="35" t="str">
        <f aca="false">IF(A236="","",DATE(YEAR(A236),MONTH(A236),1))</f>
        <v/>
      </c>
    </row>
    <row r="237" customFormat="false" ht="15" hidden="false" customHeight="false" outlineLevel="0" collapsed="false">
      <c r="A237" s="33"/>
      <c r="B237" s="27"/>
      <c r="C237" s="27"/>
      <c r="D237" s="34"/>
      <c r="E237" s="27"/>
      <c r="F237" s="28" t="str">
        <f aca="false">IF(C237="","",IFERROR(INDEX(Settings!$C$8:$C$19,MATCH(C237,Settings!$B$8:$B$19,0)),"?"))</f>
        <v/>
      </c>
      <c r="G237" s="35" t="str">
        <f aca="false">IF(A237="","",DATE(YEAR(A237),MONTH(A237),1))</f>
        <v/>
      </c>
    </row>
    <row r="238" customFormat="false" ht="15" hidden="false" customHeight="false" outlineLevel="0" collapsed="false">
      <c r="A238" s="33"/>
      <c r="B238" s="27"/>
      <c r="C238" s="27"/>
      <c r="D238" s="34"/>
      <c r="E238" s="27"/>
      <c r="F238" s="28" t="str">
        <f aca="false">IF(C238="","",IFERROR(INDEX(Settings!$C$8:$C$19,MATCH(C238,Settings!$B$8:$B$19,0)),"?"))</f>
        <v/>
      </c>
      <c r="G238" s="35" t="str">
        <f aca="false">IF(A238="","",DATE(YEAR(A238),MONTH(A238),1))</f>
        <v/>
      </c>
    </row>
    <row r="239" customFormat="false" ht="15" hidden="false" customHeight="false" outlineLevel="0" collapsed="false">
      <c r="A239" s="33"/>
      <c r="B239" s="27"/>
      <c r="C239" s="27"/>
      <c r="D239" s="34"/>
      <c r="E239" s="27"/>
      <c r="F239" s="28" t="str">
        <f aca="false">IF(C239="","",IFERROR(INDEX(Settings!$C$8:$C$19,MATCH(C239,Settings!$B$8:$B$19,0)),"?"))</f>
        <v/>
      </c>
      <c r="G239" s="35" t="str">
        <f aca="false">IF(A239="","",DATE(YEAR(A239),MONTH(A239),1))</f>
        <v/>
      </c>
    </row>
    <row r="240" customFormat="false" ht="15" hidden="false" customHeight="false" outlineLevel="0" collapsed="false">
      <c r="A240" s="33"/>
      <c r="B240" s="27"/>
      <c r="C240" s="27"/>
      <c r="D240" s="34"/>
      <c r="E240" s="27"/>
      <c r="F240" s="28" t="str">
        <f aca="false">IF(C240="","",IFERROR(INDEX(Settings!$C$8:$C$19,MATCH(C240,Settings!$B$8:$B$19,0)),"?"))</f>
        <v/>
      </c>
      <c r="G240" s="35" t="str">
        <f aca="false">IF(A240="","",DATE(YEAR(A240),MONTH(A240),1))</f>
        <v/>
      </c>
    </row>
    <row r="241" customFormat="false" ht="15" hidden="false" customHeight="false" outlineLevel="0" collapsed="false">
      <c r="A241" s="33"/>
      <c r="B241" s="27"/>
      <c r="C241" s="27"/>
      <c r="D241" s="34"/>
      <c r="E241" s="27"/>
      <c r="F241" s="28" t="str">
        <f aca="false">IF(C241="","",IFERROR(INDEX(Settings!$C$8:$C$19,MATCH(C241,Settings!$B$8:$B$19,0)),"?"))</f>
        <v/>
      </c>
      <c r="G241" s="35" t="str">
        <f aca="false">IF(A241="","",DATE(YEAR(A241),MONTH(A241),1))</f>
        <v/>
      </c>
    </row>
    <row r="242" customFormat="false" ht="15" hidden="false" customHeight="false" outlineLevel="0" collapsed="false">
      <c r="A242" s="33"/>
      <c r="B242" s="27"/>
      <c r="C242" s="27"/>
      <c r="D242" s="34"/>
      <c r="E242" s="27"/>
      <c r="F242" s="28" t="str">
        <f aca="false">IF(C242="","",IFERROR(INDEX(Settings!$C$8:$C$19,MATCH(C242,Settings!$B$8:$B$19,0)),"?"))</f>
        <v/>
      </c>
      <c r="G242" s="35" t="str">
        <f aca="false">IF(A242="","",DATE(YEAR(A242),MONTH(A242),1))</f>
        <v/>
      </c>
    </row>
    <row r="243" customFormat="false" ht="15" hidden="false" customHeight="false" outlineLevel="0" collapsed="false">
      <c r="A243" s="33"/>
      <c r="B243" s="27"/>
      <c r="C243" s="27"/>
      <c r="D243" s="34"/>
      <c r="E243" s="27"/>
      <c r="F243" s="28" t="str">
        <f aca="false">IF(C243="","",IFERROR(INDEX(Settings!$C$8:$C$19,MATCH(C243,Settings!$B$8:$B$19,0)),"?"))</f>
        <v/>
      </c>
      <c r="G243" s="35" t="str">
        <f aca="false">IF(A243="","",DATE(YEAR(A243),MONTH(A243),1))</f>
        <v/>
      </c>
    </row>
    <row r="244" customFormat="false" ht="15" hidden="false" customHeight="false" outlineLevel="0" collapsed="false">
      <c r="A244" s="33"/>
      <c r="B244" s="27"/>
      <c r="C244" s="27"/>
      <c r="D244" s="34"/>
      <c r="E244" s="27"/>
      <c r="F244" s="28" t="str">
        <f aca="false">IF(C244="","",IFERROR(INDEX(Settings!$C$8:$C$19,MATCH(C244,Settings!$B$8:$B$19,0)),"?"))</f>
        <v/>
      </c>
      <c r="G244" s="35" t="str">
        <f aca="false">IF(A244="","",DATE(YEAR(A244),MONTH(A244),1))</f>
        <v/>
      </c>
    </row>
    <row r="245" customFormat="false" ht="15" hidden="false" customHeight="false" outlineLevel="0" collapsed="false">
      <c r="A245" s="33"/>
      <c r="B245" s="27"/>
      <c r="C245" s="27"/>
      <c r="D245" s="34"/>
      <c r="E245" s="27"/>
      <c r="F245" s="28" t="str">
        <f aca="false">IF(C245="","",IFERROR(INDEX(Settings!$C$8:$C$19,MATCH(C245,Settings!$B$8:$B$19,0)),"?"))</f>
        <v/>
      </c>
      <c r="G245" s="35" t="str">
        <f aca="false">IF(A245="","",DATE(YEAR(A245),MONTH(A245),1))</f>
        <v/>
      </c>
    </row>
    <row r="246" customFormat="false" ht="15" hidden="false" customHeight="false" outlineLevel="0" collapsed="false">
      <c r="A246" s="33"/>
      <c r="B246" s="27"/>
      <c r="C246" s="27"/>
      <c r="D246" s="34"/>
      <c r="E246" s="27"/>
      <c r="F246" s="28" t="str">
        <f aca="false">IF(C246="","",IFERROR(INDEX(Settings!$C$8:$C$19,MATCH(C246,Settings!$B$8:$B$19,0)),"?"))</f>
        <v/>
      </c>
      <c r="G246" s="35" t="str">
        <f aca="false">IF(A246="","",DATE(YEAR(A246),MONTH(A246),1))</f>
        <v/>
      </c>
    </row>
    <row r="247" customFormat="false" ht="15" hidden="false" customHeight="false" outlineLevel="0" collapsed="false">
      <c r="A247" s="33"/>
      <c r="B247" s="27"/>
      <c r="C247" s="27"/>
      <c r="D247" s="34"/>
      <c r="E247" s="27"/>
      <c r="F247" s="28" t="str">
        <f aca="false">IF(C247="","",IFERROR(INDEX(Settings!$C$8:$C$19,MATCH(C247,Settings!$B$8:$B$19,0)),"?"))</f>
        <v/>
      </c>
      <c r="G247" s="35" t="str">
        <f aca="false">IF(A247="","",DATE(YEAR(A247),MONTH(A247),1))</f>
        <v/>
      </c>
    </row>
    <row r="248" customFormat="false" ht="15" hidden="false" customHeight="false" outlineLevel="0" collapsed="false">
      <c r="A248" s="33"/>
      <c r="B248" s="27"/>
      <c r="C248" s="27"/>
      <c r="D248" s="34"/>
      <c r="E248" s="27"/>
      <c r="F248" s="28" t="str">
        <f aca="false">IF(C248="","",IFERROR(INDEX(Settings!$C$8:$C$19,MATCH(C248,Settings!$B$8:$B$19,0)),"?"))</f>
        <v/>
      </c>
      <c r="G248" s="35" t="str">
        <f aca="false">IF(A248="","",DATE(YEAR(A248),MONTH(A248),1))</f>
        <v/>
      </c>
    </row>
    <row r="249" customFormat="false" ht="15" hidden="false" customHeight="false" outlineLevel="0" collapsed="false">
      <c r="A249" s="33"/>
      <c r="B249" s="27"/>
      <c r="C249" s="27"/>
      <c r="D249" s="34"/>
      <c r="E249" s="27"/>
      <c r="F249" s="28" t="str">
        <f aca="false">IF(C249="","",IFERROR(INDEX(Settings!$C$8:$C$19,MATCH(C249,Settings!$B$8:$B$19,0)),"?"))</f>
        <v/>
      </c>
      <c r="G249" s="35" t="str">
        <f aca="false">IF(A249="","",DATE(YEAR(A249),MONTH(A249),1))</f>
        <v/>
      </c>
    </row>
    <row r="250" customFormat="false" ht="15" hidden="false" customHeight="false" outlineLevel="0" collapsed="false">
      <c r="A250" s="33"/>
      <c r="B250" s="27"/>
      <c r="C250" s="27"/>
      <c r="D250" s="34"/>
      <c r="E250" s="27"/>
      <c r="F250" s="28" t="str">
        <f aca="false">IF(C250="","",IFERROR(INDEX(Settings!$C$8:$C$19,MATCH(C250,Settings!$B$8:$B$19,0)),"?"))</f>
        <v/>
      </c>
      <c r="G250" s="35" t="str">
        <f aca="false">IF(A250="","",DATE(YEAR(A250),MONTH(A250),1))</f>
        <v/>
      </c>
    </row>
    <row r="251" customFormat="false" ht="15" hidden="false" customHeight="false" outlineLevel="0" collapsed="false">
      <c r="A251" s="33"/>
      <c r="B251" s="27"/>
      <c r="C251" s="27"/>
      <c r="D251" s="34"/>
      <c r="E251" s="27"/>
      <c r="F251" s="28" t="str">
        <f aca="false">IF(C251="","",IFERROR(INDEX(Settings!$C$8:$C$19,MATCH(C251,Settings!$B$8:$B$19,0)),"?"))</f>
        <v/>
      </c>
      <c r="G251" s="35" t="str">
        <f aca="false">IF(A251="","",DATE(YEAR(A251),MONTH(A251),1))</f>
        <v/>
      </c>
    </row>
    <row r="252" customFormat="false" ht="15" hidden="false" customHeight="false" outlineLevel="0" collapsed="false">
      <c r="A252" s="33"/>
      <c r="B252" s="27"/>
      <c r="C252" s="27"/>
      <c r="D252" s="34"/>
      <c r="E252" s="27"/>
      <c r="F252" s="28" t="str">
        <f aca="false">IF(C252="","",IFERROR(INDEX(Settings!$C$8:$C$19,MATCH(C252,Settings!$B$8:$B$19,0)),"?"))</f>
        <v/>
      </c>
      <c r="G252" s="35" t="str">
        <f aca="false">IF(A252="","",DATE(YEAR(A252),MONTH(A252),1))</f>
        <v/>
      </c>
    </row>
    <row r="253" customFormat="false" ht="15" hidden="false" customHeight="false" outlineLevel="0" collapsed="false">
      <c r="A253" s="33"/>
      <c r="B253" s="27"/>
      <c r="C253" s="27"/>
      <c r="D253" s="34"/>
      <c r="E253" s="27"/>
      <c r="F253" s="28" t="str">
        <f aca="false">IF(C253="","",IFERROR(INDEX(Settings!$C$8:$C$19,MATCH(C253,Settings!$B$8:$B$19,0)),"?"))</f>
        <v/>
      </c>
      <c r="G253" s="35" t="str">
        <f aca="false">IF(A253="","",DATE(YEAR(A253),MONTH(A253),1))</f>
        <v/>
      </c>
    </row>
    <row r="254" customFormat="false" ht="15" hidden="false" customHeight="false" outlineLevel="0" collapsed="false">
      <c r="A254" s="33"/>
      <c r="B254" s="27"/>
      <c r="C254" s="27"/>
      <c r="D254" s="34"/>
      <c r="E254" s="27"/>
      <c r="F254" s="28" t="str">
        <f aca="false">IF(C254="","",IFERROR(INDEX(Settings!$C$8:$C$19,MATCH(C254,Settings!$B$8:$B$19,0)),"?"))</f>
        <v/>
      </c>
      <c r="G254" s="35" t="str">
        <f aca="false">IF(A254="","",DATE(YEAR(A254),MONTH(A254),1))</f>
        <v/>
      </c>
    </row>
    <row r="255" customFormat="false" ht="15" hidden="false" customHeight="false" outlineLevel="0" collapsed="false">
      <c r="A255" s="33"/>
      <c r="B255" s="27"/>
      <c r="C255" s="27"/>
      <c r="D255" s="34"/>
      <c r="E255" s="27"/>
      <c r="F255" s="28" t="str">
        <f aca="false">IF(C255="","",IFERROR(INDEX(Settings!$C$8:$C$19,MATCH(C255,Settings!$B$8:$B$19,0)),"?"))</f>
        <v/>
      </c>
      <c r="G255" s="35" t="str">
        <f aca="false">IF(A255="","",DATE(YEAR(A255),MONTH(A255),1))</f>
        <v/>
      </c>
    </row>
    <row r="256" customFormat="false" ht="15" hidden="false" customHeight="false" outlineLevel="0" collapsed="false">
      <c r="A256" s="33"/>
      <c r="B256" s="27"/>
      <c r="C256" s="27"/>
      <c r="D256" s="34"/>
      <c r="E256" s="27"/>
      <c r="F256" s="28" t="str">
        <f aca="false">IF(C256="","",IFERROR(INDEX(Settings!$C$8:$C$19,MATCH(C256,Settings!$B$8:$B$19,0)),"?"))</f>
        <v/>
      </c>
      <c r="G256" s="35" t="str">
        <f aca="false">IF(A256="","",DATE(YEAR(A256),MONTH(A256),1))</f>
        <v/>
      </c>
    </row>
    <row r="257" customFormat="false" ht="15" hidden="false" customHeight="false" outlineLevel="0" collapsed="false">
      <c r="A257" s="33"/>
      <c r="B257" s="27"/>
      <c r="C257" s="27"/>
      <c r="D257" s="34"/>
      <c r="E257" s="27"/>
      <c r="F257" s="28" t="str">
        <f aca="false">IF(C257="","",IFERROR(INDEX(Settings!$C$8:$C$19,MATCH(C257,Settings!$B$8:$B$19,0)),"?"))</f>
        <v/>
      </c>
      <c r="G257" s="35" t="str">
        <f aca="false">IF(A257="","",DATE(YEAR(A257),MONTH(A257),1))</f>
        <v/>
      </c>
    </row>
    <row r="258" customFormat="false" ht="15" hidden="false" customHeight="false" outlineLevel="0" collapsed="false">
      <c r="A258" s="33"/>
      <c r="B258" s="27"/>
      <c r="C258" s="27"/>
      <c r="D258" s="34"/>
      <c r="E258" s="27"/>
      <c r="F258" s="28" t="str">
        <f aca="false">IF(C258="","",IFERROR(INDEX(Settings!$C$8:$C$19,MATCH(C258,Settings!$B$8:$B$19,0)),"?"))</f>
        <v/>
      </c>
      <c r="G258" s="35" t="str">
        <f aca="false">IF(A258="","",DATE(YEAR(A258),MONTH(A258),1))</f>
        <v/>
      </c>
    </row>
    <row r="259" customFormat="false" ht="15" hidden="false" customHeight="false" outlineLevel="0" collapsed="false">
      <c r="A259" s="33"/>
      <c r="B259" s="27"/>
      <c r="C259" s="27"/>
      <c r="D259" s="34"/>
      <c r="E259" s="27"/>
      <c r="F259" s="28" t="str">
        <f aca="false">IF(C259="","",IFERROR(INDEX(Settings!$C$8:$C$19,MATCH(C259,Settings!$B$8:$B$19,0)),"?"))</f>
        <v/>
      </c>
      <c r="G259" s="35" t="str">
        <f aca="false">IF(A259="","",DATE(YEAR(A259),MONTH(A259),1))</f>
        <v/>
      </c>
    </row>
    <row r="260" customFormat="false" ht="15" hidden="false" customHeight="false" outlineLevel="0" collapsed="false">
      <c r="A260" s="33"/>
      <c r="B260" s="27"/>
      <c r="C260" s="27"/>
      <c r="D260" s="34"/>
      <c r="E260" s="27"/>
      <c r="F260" s="28" t="str">
        <f aca="false">IF(C260="","",IFERROR(INDEX(Settings!$C$8:$C$19,MATCH(C260,Settings!$B$8:$B$19,0)),"?"))</f>
        <v/>
      </c>
      <c r="G260" s="35" t="str">
        <f aca="false">IF(A260="","",DATE(YEAR(A260),MONTH(A260),1))</f>
        <v/>
      </c>
    </row>
    <row r="261" customFormat="false" ht="15" hidden="false" customHeight="false" outlineLevel="0" collapsed="false">
      <c r="A261" s="33"/>
      <c r="B261" s="27"/>
      <c r="C261" s="27"/>
      <c r="D261" s="34"/>
      <c r="E261" s="27"/>
      <c r="F261" s="28" t="str">
        <f aca="false">IF(C261="","",IFERROR(INDEX(Settings!$C$8:$C$19,MATCH(C261,Settings!$B$8:$B$19,0)),"?"))</f>
        <v/>
      </c>
      <c r="G261" s="35" t="str">
        <f aca="false">IF(A261="","",DATE(YEAR(A261),MONTH(A261),1))</f>
        <v/>
      </c>
    </row>
    <row r="262" customFormat="false" ht="15" hidden="false" customHeight="false" outlineLevel="0" collapsed="false">
      <c r="A262" s="33"/>
      <c r="B262" s="27"/>
      <c r="C262" s="27"/>
      <c r="D262" s="34"/>
      <c r="E262" s="27"/>
      <c r="F262" s="28" t="str">
        <f aca="false">IF(C262="","",IFERROR(INDEX(Settings!$C$8:$C$19,MATCH(C262,Settings!$B$8:$B$19,0)),"?"))</f>
        <v/>
      </c>
      <c r="G262" s="35" t="str">
        <f aca="false">IF(A262="","",DATE(YEAR(A262),MONTH(A262),1))</f>
        <v/>
      </c>
    </row>
    <row r="263" customFormat="false" ht="15" hidden="false" customHeight="false" outlineLevel="0" collapsed="false">
      <c r="A263" s="33"/>
      <c r="B263" s="27"/>
      <c r="C263" s="27"/>
      <c r="D263" s="34"/>
      <c r="E263" s="27"/>
      <c r="F263" s="28" t="str">
        <f aca="false">IF(C263="","",IFERROR(INDEX(Settings!$C$8:$C$19,MATCH(C263,Settings!$B$8:$B$19,0)),"?"))</f>
        <v/>
      </c>
      <c r="G263" s="35" t="str">
        <f aca="false">IF(A263="","",DATE(YEAR(A263),MONTH(A263),1))</f>
        <v/>
      </c>
    </row>
    <row r="264" customFormat="false" ht="15" hidden="false" customHeight="false" outlineLevel="0" collapsed="false">
      <c r="A264" s="33"/>
      <c r="B264" s="27"/>
      <c r="C264" s="27"/>
      <c r="D264" s="34"/>
      <c r="E264" s="27"/>
      <c r="F264" s="28" t="str">
        <f aca="false">IF(C264="","",IFERROR(INDEX(Settings!$C$8:$C$19,MATCH(C264,Settings!$B$8:$B$19,0)),"?"))</f>
        <v/>
      </c>
      <c r="G264" s="35" t="str">
        <f aca="false">IF(A264="","",DATE(YEAR(A264),MONTH(A264),1))</f>
        <v/>
      </c>
    </row>
    <row r="265" customFormat="false" ht="15" hidden="false" customHeight="false" outlineLevel="0" collapsed="false">
      <c r="A265" s="33"/>
      <c r="B265" s="27"/>
      <c r="C265" s="27"/>
      <c r="D265" s="34"/>
      <c r="E265" s="27"/>
      <c r="F265" s="28" t="str">
        <f aca="false">IF(C265="","",IFERROR(INDEX(Settings!$C$8:$C$19,MATCH(C265,Settings!$B$8:$B$19,0)),"?"))</f>
        <v/>
      </c>
      <c r="G265" s="35" t="str">
        <f aca="false">IF(A265="","",DATE(YEAR(A265),MONTH(A265),1))</f>
        <v/>
      </c>
    </row>
    <row r="266" customFormat="false" ht="15" hidden="false" customHeight="false" outlineLevel="0" collapsed="false">
      <c r="A266" s="33"/>
      <c r="B266" s="27"/>
      <c r="C266" s="27"/>
      <c r="D266" s="34"/>
      <c r="E266" s="27"/>
      <c r="F266" s="28" t="str">
        <f aca="false">IF(C266="","",IFERROR(INDEX(Settings!$C$8:$C$19,MATCH(C266,Settings!$B$8:$B$19,0)),"?"))</f>
        <v/>
      </c>
      <c r="G266" s="35" t="str">
        <f aca="false">IF(A266="","",DATE(YEAR(A266),MONTH(A266),1))</f>
        <v/>
      </c>
    </row>
    <row r="267" customFormat="false" ht="15" hidden="false" customHeight="false" outlineLevel="0" collapsed="false">
      <c r="A267" s="33"/>
      <c r="B267" s="27"/>
      <c r="C267" s="27"/>
      <c r="D267" s="34"/>
      <c r="E267" s="27"/>
      <c r="F267" s="28" t="str">
        <f aca="false">IF(C267="","",IFERROR(INDEX(Settings!$C$8:$C$19,MATCH(C267,Settings!$B$8:$B$19,0)),"?"))</f>
        <v/>
      </c>
      <c r="G267" s="35" t="str">
        <f aca="false">IF(A267="","",DATE(YEAR(A267),MONTH(A267),1))</f>
        <v/>
      </c>
    </row>
    <row r="268" customFormat="false" ht="15" hidden="false" customHeight="false" outlineLevel="0" collapsed="false">
      <c r="A268" s="33"/>
      <c r="B268" s="27"/>
      <c r="C268" s="27"/>
      <c r="D268" s="34"/>
      <c r="E268" s="27"/>
      <c r="F268" s="28" t="str">
        <f aca="false">IF(C268="","",IFERROR(INDEX(Settings!$C$8:$C$19,MATCH(C268,Settings!$B$8:$B$19,0)),"?"))</f>
        <v/>
      </c>
      <c r="G268" s="35" t="str">
        <f aca="false">IF(A268="","",DATE(YEAR(A268),MONTH(A268),1))</f>
        <v/>
      </c>
    </row>
    <row r="269" customFormat="false" ht="15" hidden="false" customHeight="false" outlineLevel="0" collapsed="false">
      <c r="A269" s="33"/>
      <c r="B269" s="27"/>
      <c r="C269" s="27"/>
      <c r="D269" s="34"/>
      <c r="E269" s="27"/>
      <c r="F269" s="28" t="str">
        <f aca="false">IF(C269="","",IFERROR(INDEX(Settings!$C$8:$C$19,MATCH(C269,Settings!$B$8:$B$19,0)),"?"))</f>
        <v/>
      </c>
      <c r="G269" s="35" t="str">
        <f aca="false">IF(A269="","",DATE(YEAR(A269),MONTH(A269),1))</f>
        <v/>
      </c>
    </row>
    <row r="270" customFormat="false" ht="15" hidden="false" customHeight="false" outlineLevel="0" collapsed="false">
      <c r="A270" s="33"/>
      <c r="B270" s="27"/>
      <c r="C270" s="27"/>
      <c r="D270" s="34"/>
      <c r="E270" s="27"/>
      <c r="F270" s="28" t="str">
        <f aca="false">IF(C270="","",IFERROR(INDEX(Settings!$C$8:$C$19,MATCH(C270,Settings!$B$8:$B$19,0)),"?"))</f>
        <v/>
      </c>
      <c r="G270" s="35" t="str">
        <f aca="false">IF(A270="","",DATE(YEAR(A270),MONTH(A270),1))</f>
        <v/>
      </c>
    </row>
    <row r="271" customFormat="false" ht="15" hidden="false" customHeight="false" outlineLevel="0" collapsed="false">
      <c r="A271" s="33"/>
      <c r="B271" s="27"/>
      <c r="C271" s="27"/>
      <c r="D271" s="34"/>
      <c r="E271" s="27"/>
      <c r="F271" s="28" t="str">
        <f aca="false">IF(C271="","",IFERROR(INDEX(Settings!$C$8:$C$19,MATCH(C271,Settings!$B$8:$B$19,0)),"?"))</f>
        <v/>
      </c>
      <c r="G271" s="35" t="str">
        <f aca="false">IF(A271="","",DATE(YEAR(A271),MONTH(A271),1))</f>
        <v/>
      </c>
    </row>
    <row r="272" customFormat="false" ht="15" hidden="false" customHeight="false" outlineLevel="0" collapsed="false">
      <c r="A272" s="33"/>
      <c r="B272" s="27"/>
      <c r="C272" s="27"/>
      <c r="D272" s="34"/>
      <c r="E272" s="27"/>
      <c r="F272" s="28" t="str">
        <f aca="false">IF(C272="","",IFERROR(INDEX(Settings!$C$8:$C$19,MATCH(C272,Settings!$B$8:$B$19,0)),"?"))</f>
        <v/>
      </c>
      <c r="G272" s="35" t="str">
        <f aca="false">IF(A272="","",DATE(YEAR(A272),MONTH(A272),1))</f>
        <v/>
      </c>
    </row>
    <row r="273" customFormat="false" ht="15" hidden="false" customHeight="false" outlineLevel="0" collapsed="false">
      <c r="A273" s="33"/>
      <c r="B273" s="27"/>
      <c r="C273" s="27"/>
      <c r="D273" s="34"/>
      <c r="E273" s="27"/>
      <c r="F273" s="28" t="str">
        <f aca="false">IF(C273="","",IFERROR(INDEX(Settings!$C$8:$C$19,MATCH(C273,Settings!$B$8:$B$19,0)),"?"))</f>
        <v/>
      </c>
      <c r="G273" s="35" t="str">
        <f aca="false">IF(A273="","",DATE(YEAR(A273),MONTH(A273),1))</f>
        <v/>
      </c>
    </row>
    <row r="274" customFormat="false" ht="15" hidden="false" customHeight="false" outlineLevel="0" collapsed="false">
      <c r="A274" s="33"/>
      <c r="B274" s="27"/>
      <c r="C274" s="27"/>
      <c r="D274" s="34"/>
      <c r="E274" s="27"/>
      <c r="F274" s="28" t="str">
        <f aca="false">IF(C274="","",IFERROR(INDEX(Settings!$C$8:$C$19,MATCH(C274,Settings!$B$8:$B$19,0)),"?"))</f>
        <v/>
      </c>
      <c r="G274" s="35" t="str">
        <f aca="false">IF(A274="","",DATE(YEAR(A274),MONTH(A274),1))</f>
        <v/>
      </c>
    </row>
    <row r="275" customFormat="false" ht="15" hidden="false" customHeight="false" outlineLevel="0" collapsed="false">
      <c r="A275" s="33"/>
      <c r="B275" s="27"/>
      <c r="C275" s="27"/>
      <c r="D275" s="34"/>
      <c r="E275" s="27"/>
      <c r="F275" s="28" t="str">
        <f aca="false">IF(C275="","",IFERROR(INDEX(Settings!$C$8:$C$19,MATCH(C275,Settings!$B$8:$B$19,0)),"?"))</f>
        <v/>
      </c>
      <c r="G275" s="35" t="str">
        <f aca="false">IF(A275="","",DATE(YEAR(A275),MONTH(A275),1))</f>
        <v/>
      </c>
    </row>
    <row r="276" customFormat="false" ht="15" hidden="false" customHeight="false" outlineLevel="0" collapsed="false">
      <c r="A276" s="33"/>
      <c r="B276" s="27"/>
      <c r="C276" s="27"/>
      <c r="D276" s="34"/>
      <c r="E276" s="27"/>
      <c r="F276" s="28" t="str">
        <f aca="false">IF(C276="","",IFERROR(INDEX(Settings!$C$8:$C$19,MATCH(C276,Settings!$B$8:$B$19,0)),"?"))</f>
        <v/>
      </c>
      <c r="G276" s="35" t="str">
        <f aca="false">IF(A276="","",DATE(YEAR(A276),MONTH(A276),1))</f>
        <v/>
      </c>
    </row>
    <row r="277" customFormat="false" ht="15" hidden="false" customHeight="false" outlineLevel="0" collapsed="false">
      <c r="A277" s="33"/>
      <c r="B277" s="27"/>
      <c r="C277" s="27"/>
      <c r="D277" s="34"/>
      <c r="E277" s="27"/>
      <c r="F277" s="28" t="str">
        <f aca="false">IF(C277="","",IFERROR(INDEX(Settings!$C$8:$C$19,MATCH(C277,Settings!$B$8:$B$19,0)),"?"))</f>
        <v/>
      </c>
      <c r="G277" s="35" t="str">
        <f aca="false">IF(A277="","",DATE(YEAR(A277),MONTH(A277),1))</f>
        <v/>
      </c>
    </row>
    <row r="278" customFormat="false" ht="15" hidden="false" customHeight="false" outlineLevel="0" collapsed="false">
      <c r="A278" s="33"/>
      <c r="B278" s="27"/>
      <c r="C278" s="27"/>
      <c r="D278" s="34"/>
      <c r="E278" s="27"/>
      <c r="F278" s="28" t="str">
        <f aca="false">IF(C278="","",IFERROR(INDEX(Settings!$C$8:$C$19,MATCH(C278,Settings!$B$8:$B$19,0)),"?"))</f>
        <v/>
      </c>
      <c r="G278" s="35" t="str">
        <f aca="false">IF(A278="","",DATE(YEAR(A278),MONTH(A278),1))</f>
        <v/>
      </c>
    </row>
    <row r="279" customFormat="false" ht="15" hidden="false" customHeight="false" outlineLevel="0" collapsed="false">
      <c r="A279" s="33"/>
      <c r="B279" s="27"/>
      <c r="C279" s="27"/>
      <c r="D279" s="34"/>
      <c r="E279" s="27"/>
      <c r="F279" s="28" t="str">
        <f aca="false">IF(C279="","",IFERROR(INDEX(Settings!$C$8:$C$19,MATCH(C279,Settings!$B$8:$B$19,0)),"?"))</f>
        <v/>
      </c>
      <c r="G279" s="35" t="str">
        <f aca="false">IF(A279="","",DATE(YEAR(A279),MONTH(A279),1))</f>
        <v/>
      </c>
    </row>
    <row r="280" customFormat="false" ht="15" hidden="false" customHeight="false" outlineLevel="0" collapsed="false">
      <c r="A280" s="33"/>
      <c r="B280" s="27"/>
      <c r="C280" s="27"/>
      <c r="D280" s="34"/>
      <c r="E280" s="27"/>
      <c r="F280" s="28" t="str">
        <f aca="false">IF(C280="","",IFERROR(INDEX(Settings!$C$8:$C$19,MATCH(C280,Settings!$B$8:$B$19,0)),"?"))</f>
        <v/>
      </c>
      <c r="G280" s="35" t="str">
        <f aca="false">IF(A280="","",DATE(YEAR(A280),MONTH(A280),1))</f>
        <v/>
      </c>
    </row>
    <row r="281" customFormat="false" ht="15" hidden="false" customHeight="false" outlineLevel="0" collapsed="false">
      <c r="A281" s="33"/>
      <c r="B281" s="27"/>
      <c r="C281" s="27"/>
      <c r="D281" s="34"/>
      <c r="E281" s="27"/>
      <c r="F281" s="28" t="str">
        <f aca="false">IF(C281="","",IFERROR(INDEX(Settings!$C$8:$C$19,MATCH(C281,Settings!$B$8:$B$19,0)),"?"))</f>
        <v/>
      </c>
      <c r="G281" s="35" t="str">
        <f aca="false">IF(A281="","",DATE(YEAR(A281),MONTH(A281),1))</f>
        <v/>
      </c>
    </row>
    <row r="282" customFormat="false" ht="15" hidden="false" customHeight="false" outlineLevel="0" collapsed="false">
      <c r="A282" s="33"/>
      <c r="B282" s="27"/>
      <c r="C282" s="27"/>
      <c r="D282" s="34"/>
      <c r="E282" s="27"/>
      <c r="F282" s="28" t="str">
        <f aca="false">IF(C282="","",IFERROR(INDEX(Settings!$C$8:$C$19,MATCH(C282,Settings!$B$8:$B$19,0)),"?"))</f>
        <v/>
      </c>
      <c r="G282" s="35" t="str">
        <f aca="false">IF(A282="","",DATE(YEAR(A282),MONTH(A282),1))</f>
        <v/>
      </c>
    </row>
    <row r="283" customFormat="false" ht="15" hidden="false" customHeight="false" outlineLevel="0" collapsed="false">
      <c r="A283" s="33"/>
      <c r="B283" s="27"/>
      <c r="C283" s="27"/>
      <c r="D283" s="34"/>
      <c r="E283" s="27"/>
      <c r="F283" s="28" t="str">
        <f aca="false">IF(C283="","",IFERROR(INDEX(Settings!$C$8:$C$19,MATCH(C283,Settings!$B$8:$B$19,0)),"?"))</f>
        <v/>
      </c>
      <c r="G283" s="35" t="str">
        <f aca="false">IF(A283="","",DATE(YEAR(A283),MONTH(A283),1))</f>
        <v/>
      </c>
    </row>
    <row r="284" customFormat="false" ht="15" hidden="false" customHeight="false" outlineLevel="0" collapsed="false">
      <c r="A284" s="33"/>
      <c r="B284" s="27"/>
      <c r="C284" s="27"/>
      <c r="D284" s="34"/>
      <c r="E284" s="27"/>
      <c r="F284" s="28" t="str">
        <f aca="false">IF(C284="","",IFERROR(INDEX(Settings!$C$8:$C$19,MATCH(C284,Settings!$B$8:$B$19,0)),"?"))</f>
        <v/>
      </c>
      <c r="G284" s="35" t="str">
        <f aca="false">IF(A284="","",DATE(YEAR(A284),MONTH(A284),1))</f>
        <v/>
      </c>
    </row>
    <row r="285" customFormat="false" ht="15" hidden="false" customHeight="false" outlineLevel="0" collapsed="false">
      <c r="A285" s="33"/>
      <c r="B285" s="27"/>
      <c r="C285" s="27"/>
      <c r="D285" s="34"/>
      <c r="E285" s="27"/>
      <c r="F285" s="28" t="str">
        <f aca="false">IF(C285="","",IFERROR(INDEX(Settings!$C$8:$C$19,MATCH(C285,Settings!$B$8:$B$19,0)),"?"))</f>
        <v/>
      </c>
      <c r="G285" s="35" t="str">
        <f aca="false">IF(A285="","",DATE(YEAR(A285),MONTH(A285),1))</f>
        <v/>
      </c>
    </row>
    <row r="286" customFormat="false" ht="15" hidden="false" customHeight="false" outlineLevel="0" collapsed="false">
      <c r="A286" s="33"/>
      <c r="B286" s="27"/>
      <c r="C286" s="27"/>
      <c r="D286" s="34"/>
      <c r="E286" s="27"/>
      <c r="F286" s="28" t="str">
        <f aca="false">IF(C286="","",IFERROR(INDEX(Settings!$C$8:$C$19,MATCH(C286,Settings!$B$8:$B$19,0)),"?"))</f>
        <v/>
      </c>
      <c r="G286" s="35" t="str">
        <f aca="false">IF(A286="","",DATE(YEAR(A286),MONTH(A286),1))</f>
        <v/>
      </c>
    </row>
    <row r="287" customFormat="false" ht="15" hidden="false" customHeight="false" outlineLevel="0" collapsed="false">
      <c r="A287" s="33"/>
      <c r="B287" s="27"/>
      <c r="C287" s="27"/>
      <c r="D287" s="34"/>
      <c r="E287" s="27"/>
      <c r="F287" s="28" t="str">
        <f aca="false">IF(C287="","",IFERROR(INDEX(Settings!$C$8:$C$19,MATCH(C287,Settings!$B$8:$B$19,0)),"?"))</f>
        <v/>
      </c>
      <c r="G287" s="35" t="str">
        <f aca="false">IF(A287="","",DATE(YEAR(A287),MONTH(A287),1))</f>
        <v/>
      </c>
    </row>
    <row r="288" customFormat="false" ht="15" hidden="false" customHeight="false" outlineLevel="0" collapsed="false">
      <c r="A288" s="33"/>
      <c r="B288" s="27"/>
      <c r="C288" s="27"/>
      <c r="D288" s="34"/>
      <c r="E288" s="27"/>
      <c r="F288" s="28" t="str">
        <f aca="false">IF(C288="","",IFERROR(INDEX(Settings!$C$8:$C$19,MATCH(C288,Settings!$B$8:$B$19,0)),"?"))</f>
        <v/>
      </c>
      <c r="G288" s="35" t="str">
        <f aca="false">IF(A288="","",DATE(YEAR(A288),MONTH(A288),1))</f>
        <v/>
      </c>
    </row>
    <row r="289" customFormat="false" ht="15" hidden="false" customHeight="false" outlineLevel="0" collapsed="false">
      <c r="A289" s="33"/>
      <c r="B289" s="27"/>
      <c r="C289" s="27"/>
      <c r="D289" s="34"/>
      <c r="E289" s="27"/>
      <c r="F289" s="28" t="str">
        <f aca="false">IF(C289="","",IFERROR(INDEX(Settings!$C$8:$C$19,MATCH(C289,Settings!$B$8:$B$19,0)),"?"))</f>
        <v/>
      </c>
      <c r="G289" s="35" t="str">
        <f aca="false">IF(A289="","",DATE(YEAR(A289),MONTH(A289),1))</f>
        <v/>
      </c>
    </row>
    <row r="290" customFormat="false" ht="15" hidden="false" customHeight="false" outlineLevel="0" collapsed="false">
      <c r="A290" s="33"/>
      <c r="B290" s="27"/>
      <c r="C290" s="27"/>
      <c r="D290" s="34"/>
      <c r="E290" s="27"/>
      <c r="F290" s="28" t="str">
        <f aca="false">IF(C290="","",IFERROR(INDEX(Settings!$C$8:$C$19,MATCH(C290,Settings!$B$8:$B$19,0)),"?"))</f>
        <v/>
      </c>
      <c r="G290" s="35" t="str">
        <f aca="false">IF(A290="","",DATE(YEAR(A290),MONTH(A290),1))</f>
        <v/>
      </c>
    </row>
    <row r="291" customFormat="false" ht="15" hidden="false" customHeight="false" outlineLevel="0" collapsed="false">
      <c r="A291" s="33"/>
      <c r="B291" s="27"/>
      <c r="C291" s="27"/>
      <c r="D291" s="34"/>
      <c r="E291" s="27"/>
      <c r="F291" s="28" t="str">
        <f aca="false">IF(C291="","",IFERROR(INDEX(Settings!$C$8:$C$19,MATCH(C291,Settings!$B$8:$B$19,0)),"?"))</f>
        <v/>
      </c>
      <c r="G291" s="35" t="str">
        <f aca="false">IF(A291="","",DATE(YEAR(A291),MONTH(A291),1))</f>
        <v/>
      </c>
    </row>
    <row r="292" customFormat="false" ht="15" hidden="false" customHeight="false" outlineLevel="0" collapsed="false">
      <c r="A292" s="33"/>
      <c r="B292" s="27"/>
      <c r="C292" s="27"/>
      <c r="D292" s="34"/>
      <c r="E292" s="27"/>
      <c r="F292" s="28" t="str">
        <f aca="false">IF(C292="","",IFERROR(INDEX(Settings!$C$8:$C$19,MATCH(C292,Settings!$B$8:$B$19,0)),"?"))</f>
        <v/>
      </c>
      <c r="G292" s="35" t="str">
        <f aca="false">IF(A292="","",DATE(YEAR(A292),MONTH(A292),1))</f>
        <v/>
      </c>
    </row>
    <row r="293" customFormat="false" ht="15" hidden="false" customHeight="false" outlineLevel="0" collapsed="false">
      <c r="A293" s="33"/>
      <c r="B293" s="27"/>
      <c r="C293" s="27"/>
      <c r="D293" s="34"/>
      <c r="E293" s="27"/>
      <c r="F293" s="28" t="str">
        <f aca="false">IF(C293="","",IFERROR(INDEX(Settings!$C$8:$C$19,MATCH(C293,Settings!$B$8:$B$19,0)),"?"))</f>
        <v/>
      </c>
      <c r="G293" s="35" t="str">
        <f aca="false">IF(A293="","",DATE(YEAR(A293),MONTH(A293),1))</f>
        <v/>
      </c>
    </row>
    <row r="294" customFormat="false" ht="15" hidden="false" customHeight="false" outlineLevel="0" collapsed="false">
      <c r="A294" s="33"/>
      <c r="B294" s="27"/>
      <c r="C294" s="27"/>
      <c r="D294" s="34"/>
      <c r="E294" s="27"/>
      <c r="F294" s="28" t="str">
        <f aca="false">IF(C294="","",IFERROR(INDEX(Settings!$C$8:$C$19,MATCH(C294,Settings!$B$8:$B$19,0)),"?"))</f>
        <v/>
      </c>
      <c r="G294" s="35" t="str">
        <f aca="false">IF(A294="","",DATE(YEAR(A294),MONTH(A294),1))</f>
        <v/>
      </c>
    </row>
    <row r="295" customFormat="false" ht="15" hidden="false" customHeight="false" outlineLevel="0" collapsed="false">
      <c r="A295" s="33"/>
      <c r="B295" s="27"/>
      <c r="C295" s="27"/>
      <c r="D295" s="34"/>
      <c r="E295" s="27"/>
      <c r="F295" s="28" t="str">
        <f aca="false">IF(C295="","",IFERROR(INDEX(Settings!$C$8:$C$19,MATCH(C295,Settings!$B$8:$B$19,0)),"?"))</f>
        <v/>
      </c>
      <c r="G295" s="35" t="str">
        <f aca="false">IF(A295="","",DATE(YEAR(A295),MONTH(A295),1))</f>
        <v/>
      </c>
    </row>
    <row r="296" customFormat="false" ht="15" hidden="false" customHeight="false" outlineLevel="0" collapsed="false">
      <c r="A296" s="33"/>
      <c r="B296" s="27"/>
      <c r="C296" s="27"/>
      <c r="D296" s="34"/>
      <c r="E296" s="27"/>
      <c r="F296" s="28" t="str">
        <f aca="false">IF(C296="","",IFERROR(INDEX(Settings!$C$8:$C$19,MATCH(C296,Settings!$B$8:$B$19,0)),"?"))</f>
        <v/>
      </c>
      <c r="G296" s="35" t="str">
        <f aca="false">IF(A296="","",DATE(YEAR(A296),MONTH(A296),1))</f>
        <v/>
      </c>
    </row>
    <row r="297" customFormat="false" ht="15" hidden="false" customHeight="false" outlineLevel="0" collapsed="false">
      <c r="A297" s="33"/>
      <c r="B297" s="27"/>
      <c r="C297" s="27"/>
      <c r="D297" s="34"/>
      <c r="E297" s="27"/>
      <c r="F297" s="28" t="str">
        <f aca="false">IF(C297="","",IFERROR(INDEX(Settings!$C$8:$C$19,MATCH(C297,Settings!$B$8:$B$19,0)),"?"))</f>
        <v/>
      </c>
      <c r="G297" s="35" t="str">
        <f aca="false">IF(A297="","",DATE(YEAR(A297),MONTH(A297),1))</f>
        <v/>
      </c>
    </row>
    <row r="298" customFormat="false" ht="15" hidden="false" customHeight="false" outlineLevel="0" collapsed="false">
      <c r="A298" s="33"/>
      <c r="B298" s="27"/>
      <c r="C298" s="27"/>
      <c r="D298" s="34"/>
      <c r="E298" s="27"/>
      <c r="F298" s="28" t="str">
        <f aca="false">IF(C298="","",IFERROR(INDEX(Settings!$C$8:$C$19,MATCH(C298,Settings!$B$8:$B$19,0)),"?"))</f>
        <v/>
      </c>
      <c r="G298" s="35" t="str">
        <f aca="false">IF(A298="","",DATE(YEAR(A298),MONTH(A298),1))</f>
        <v/>
      </c>
    </row>
    <row r="299" customFormat="false" ht="15" hidden="false" customHeight="false" outlineLevel="0" collapsed="false">
      <c r="A299" s="33"/>
      <c r="B299" s="27"/>
      <c r="C299" s="27"/>
      <c r="D299" s="34"/>
      <c r="E299" s="27"/>
      <c r="F299" s="28" t="str">
        <f aca="false">IF(C299="","",IFERROR(INDEX(Settings!$C$8:$C$19,MATCH(C299,Settings!$B$8:$B$19,0)),"?"))</f>
        <v/>
      </c>
      <c r="G299" s="35" t="str">
        <f aca="false">IF(A299="","",DATE(YEAR(A299),MONTH(A299),1))</f>
        <v/>
      </c>
    </row>
    <row r="300" customFormat="false" ht="15" hidden="false" customHeight="false" outlineLevel="0" collapsed="false">
      <c r="A300" s="33"/>
      <c r="B300" s="27"/>
      <c r="C300" s="27"/>
      <c r="D300" s="34"/>
      <c r="E300" s="27"/>
      <c r="F300" s="28" t="str">
        <f aca="false">IF(C300="","",IFERROR(INDEX(Settings!$C$8:$C$19,MATCH(C300,Settings!$B$8:$B$19,0)),"?"))</f>
        <v/>
      </c>
      <c r="G300" s="35" t="str">
        <f aca="false">IF(A300="","",DATE(YEAR(A300),MONTH(A300),1))</f>
        <v/>
      </c>
    </row>
    <row r="301" customFormat="false" ht="15" hidden="false" customHeight="false" outlineLevel="0" collapsed="false">
      <c r="A301" s="33"/>
      <c r="B301" s="27"/>
      <c r="C301" s="27"/>
      <c r="D301" s="34"/>
      <c r="E301" s="27"/>
      <c r="F301" s="28" t="str">
        <f aca="false">IF(C301="","",IFERROR(INDEX(Settings!$C$8:$C$19,MATCH(C301,Settings!$B$8:$B$19,0)),"?"))</f>
        <v/>
      </c>
      <c r="G301" s="35" t="str">
        <f aca="false">IF(A301="","",DATE(YEAR(A301),MONTH(A301),1))</f>
        <v/>
      </c>
    </row>
    <row r="302" customFormat="false" ht="15" hidden="false" customHeight="false" outlineLevel="0" collapsed="false">
      <c r="A302" s="33"/>
      <c r="B302" s="27"/>
      <c r="C302" s="27"/>
      <c r="D302" s="34"/>
      <c r="E302" s="27"/>
      <c r="F302" s="28" t="str">
        <f aca="false">IF(C302="","",IFERROR(INDEX(Settings!$C$8:$C$19,MATCH(C302,Settings!$B$8:$B$19,0)),"?"))</f>
        <v/>
      </c>
      <c r="G302" s="35" t="str">
        <f aca="false">IF(A302="","",DATE(YEAR(A302),MONTH(A302),1))</f>
        <v/>
      </c>
    </row>
    <row r="303" customFormat="false" ht="15" hidden="false" customHeight="false" outlineLevel="0" collapsed="false">
      <c r="A303" s="33"/>
      <c r="B303" s="27"/>
      <c r="C303" s="27"/>
      <c r="D303" s="34"/>
      <c r="E303" s="27"/>
      <c r="F303" s="28" t="str">
        <f aca="false">IF(C303="","",IFERROR(INDEX(Settings!$C$8:$C$19,MATCH(C303,Settings!$B$8:$B$19,0)),"?"))</f>
        <v/>
      </c>
      <c r="G303" s="35" t="str">
        <f aca="false">IF(A303="","",DATE(YEAR(A303),MONTH(A303),1))</f>
        <v/>
      </c>
    </row>
    <row r="304" customFormat="false" ht="15" hidden="false" customHeight="false" outlineLevel="0" collapsed="false">
      <c r="A304" s="33"/>
      <c r="B304" s="27"/>
      <c r="C304" s="27"/>
      <c r="D304" s="34"/>
      <c r="E304" s="27"/>
      <c r="F304" s="28" t="str">
        <f aca="false">IF(C304="","",IFERROR(INDEX(Settings!$C$8:$C$19,MATCH(C304,Settings!$B$8:$B$19,0)),"?"))</f>
        <v/>
      </c>
      <c r="G304" s="35" t="str">
        <f aca="false">IF(A304="","",DATE(YEAR(A304),MONTH(A304),1))</f>
        <v/>
      </c>
    </row>
    <row r="305" customFormat="false" ht="15" hidden="false" customHeight="false" outlineLevel="0" collapsed="false">
      <c r="A305" s="33"/>
      <c r="B305" s="27"/>
      <c r="C305" s="27"/>
      <c r="D305" s="34"/>
      <c r="E305" s="27"/>
      <c r="F305" s="28" t="str">
        <f aca="false">IF(C305="","",IFERROR(INDEX(Settings!$C$8:$C$19,MATCH(C305,Settings!$B$8:$B$19,0)),"?"))</f>
        <v/>
      </c>
      <c r="G305" s="35" t="str">
        <f aca="false">IF(A305="","",DATE(YEAR(A305),MONTH(A305),1))</f>
        <v/>
      </c>
    </row>
    <row r="306" customFormat="false" ht="15" hidden="false" customHeight="false" outlineLevel="0" collapsed="false">
      <c r="A306" s="33"/>
      <c r="B306" s="27"/>
      <c r="C306" s="27"/>
      <c r="D306" s="34"/>
      <c r="E306" s="27"/>
      <c r="F306" s="28" t="str">
        <f aca="false">IF(C306="","",IFERROR(INDEX(Settings!$C$8:$C$19,MATCH(C306,Settings!$B$8:$B$19,0)),"?"))</f>
        <v/>
      </c>
      <c r="G306" s="35" t="str">
        <f aca="false">IF(A306="","",DATE(YEAR(A306),MONTH(A306),1))</f>
        <v/>
      </c>
    </row>
    <row r="307" customFormat="false" ht="15" hidden="false" customHeight="false" outlineLevel="0" collapsed="false">
      <c r="A307" s="33"/>
      <c r="B307" s="27"/>
      <c r="C307" s="27"/>
      <c r="D307" s="34"/>
      <c r="E307" s="27"/>
      <c r="F307" s="28" t="str">
        <f aca="false">IF(C307="","",IFERROR(INDEX(Settings!$C$8:$C$19,MATCH(C307,Settings!$B$8:$B$19,0)),"?"))</f>
        <v/>
      </c>
      <c r="G307" s="35" t="str">
        <f aca="false">IF(A307="","",DATE(YEAR(A307),MONTH(A307),1))</f>
        <v/>
      </c>
    </row>
    <row r="308" customFormat="false" ht="15" hidden="false" customHeight="false" outlineLevel="0" collapsed="false">
      <c r="A308" s="33"/>
      <c r="B308" s="27"/>
      <c r="C308" s="27"/>
      <c r="D308" s="34"/>
      <c r="E308" s="27"/>
      <c r="F308" s="28" t="str">
        <f aca="false">IF(C308="","",IFERROR(INDEX(Settings!$C$8:$C$19,MATCH(C308,Settings!$B$8:$B$19,0)),"?"))</f>
        <v/>
      </c>
      <c r="G308" s="35" t="str">
        <f aca="false">IF(A308="","",DATE(YEAR(A308),MONTH(A308),1))</f>
        <v/>
      </c>
    </row>
    <row r="309" customFormat="false" ht="15" hidden="false" customHeight="false" outlineLevel="0" collapsed="false">
      <c r="A309" s="33"/>
      <c r="B309" s="27"/>
      <c r="C309" s="27"/>
      <c r="D309" s="34"/>
      <c r="E309" s="27"/>
      <c r="F309" s="28" t="str">
        <f aca="false">IF(C309="","",IFERROR(INDEX(Settings!$C$8:$C$19,MATCH(C309,Settings!$B$8:$B$19,0)),"?"))</f>
        <v/>
      </c>
      <c r="G309" s="35" t="str">
        <f aca="false">IF(A309="","",DATE(YEAR(A309),MONTH(A309),1))</f>
        <v/>
      </c>
    </row>
    <row r="310" customFormat="false" ht="15" hidden="false" customHeight="false" outlineLevel="0" collapsed="false">
      <c r="A310" s="33"/>
      <c r="B310" s="27"/>
      <c r="C310" s="27"/>
      <c r="D310" s="34"/>
      <c r="E310" s="27"/>
      <c r="F310" s="28" t="str">
        <f aca="false">IF(C310="","",IFERROR(INDEX(Settings!$C$8:$C$19,MATCH(C310,Settings!$B$8:$B$19,0)),"?"))</f>
        <v/>
      </c>
      <c r="G310" s="35" t="str">
        <f aca="false">IF(A310="","",DATE(YEAR(A310),MONTH(A310),1))</f>
        <v/>
      </c>
    </row>
    <row r="311" customFormat="false" ht="15" hidden="false" customHeight="false" outlineLevel="0" collapsed="false">
      <c r="A311" s="33"/>
      <c r="B311" s="27"/>
      <c r="C311" s="27"/>
      <c r="D311" s="34"/>
      <c r="E311" s="27"/>
      <c r="F311" s="28" t="str">
        <f aca="false">IF(C311="","",IFERROR(INDEX(Settings!$C$8:$C$19,MATCH(C311,Settings!$B$8:$B$19,0)),"?"))</f>
        <v/>
      </c>
      <c r="G311" s="35" t="str">
        <f aca="false">IF(A311="","",DATE(YEAR(A311),MONTH(A311),1))</f>
        <v/>
      </c>
    </row>
    <row r="312" customFormat="false" ht="15" hidden="false" customHeight="false" outlineLevel="0" collapsed="false">
      <c r="A312" s="33"/>
      <c r="B312" s="27"/>
      <c r="C312" s="27"/>
      <c r="D312" s="34"/>
      <c r="E312" s="27"/>
      <c r="F312" s="28" t="str">
        <f aca="false">IF(C312="","",IFERROR(INDEX(Settings!$C$8:$C$19,MATCH(C312,Settings!$B$8:$B$19,0)),"?"))</f>
        <v/>
      </c>
      <c r="G312" s="35" t="str">
        <f aca="false">IF(A312="","",DATE(YEAR(A312),MONTH(A312),1))</f>
        <v/>
      </c>
    </row>
    <row r="313" customFormat="false" ht="15" hidden="false" customHeight="false" outlineLevel="0" collapsed="false">
      <c r="A313" s="33"/>
      <c r="B313" s="27"/>
      <c r="C313" s="27"/>
      <c r="D313" s="34"/>
      <c r="E313" s="27"/>
      <c r="F313" s="28" t="str">
        <f aca="false">IF(C313="","",IFERROR(INDEX(Settings!$C$8:$C$19,MATCH(C313,Settings!$B$8:$B$19,0)),"?"))</f>
        <v/>
      </c>
      <c r="G313" s="35" t="str">
        <f aca="false">IF(A313="","",DATE(YEAR(A313),MONTH(A313),1))</f>
        <v/>
      </c>
    </row>
    <row r="314" customFormat="false" ht="15" hidden="false" customHeight="false" outlineLevel="0" collapsed="false">
      <c r="A314" s="33"/>
      <c r="B314" s="27"/>
      <c r="C314" s="27"/>
      <c r="D314" s="34"/>
      <c r="E314" s="27"/>
      <c r="F314" s="28" t="str">
        <f aca="false">IF(C314="","",IFERROR(INDEX(Settings!$C$8:$C$19,MATCH(C314,Settings!$B$8:$B$19,0)),"?"))</f>
        <v/>
      </c>
      <c r="G314" s="35" t="str">
        <f aca="false">IF(A314="","",DATE(YEAR(A314),MONTH(A314),1))</f>
        <v/>
      </c>
    </row>
    <row r="315" customFormat="false" ht="15" hidden="false" customHeight="false" outlineLevel="0" collapsed="false">
      <c r="A315" s="33"/>
      <c r="B315" s="27"/>
      <c r="C315" s="27"/>
      <c r="D315" s="34"/>
      <c r="E315" s="27"/>
      <c r="F315" s="28" t="str">
        <f aca="false">IF(C315="","",IFERROR(INDEX(Settings!$C$8:$C$19,MATCH(C315,Settings!$B$8:$B$19,0)),"?"))</f>
        <v/>
      </c>
      <c r="G315" s="35" t="str">
        <f aca="false">IF(A315="","",DATE(YEAR(A315),MONTH(A315),1))</f>
        <v/>
      </c>
    </row>
    <row r="316" customFormat="false" ht="15" hidden="false" customHeight="false" outlineLevel="0" collapsed="false">
      <c r="A316" s="33"/>
      <c r="B316" s="27"/>
      <c r="C316" s="27"/>
      <c r="D316" s="34"/>
      <c r="E316" s="27"/>
      <c r="F316" s="28" t="str">
        <f aca="false">IF(C316="","",IFERROR(INDEX(Settings!$C$8:$C$19,MATCH(C316,Settings!$B$8:$B$19,0)),"?"))</f>
        <v/>
      </c>
      <c r="G316" s="35" t="str">
        <f aca="false">IF(A316="","",DATE(YEAR(A316),MONTH(A316),1))</f>
        <v/>
      </c>
    </row>
    <row r="317" customFormat="false" ht="15" hidden="false" customHeight="false" outlineLevel="0" collapsed="false">
      <c r="A317" s="33"/>
      <c r="B317" s="27"/>
      <c r="C317" s="27"/>
      <c r="D317" s="34"/>
      <c r="E317" s="27"/>
      <c r="F317" s="28" t="str">
        <f aca="false">IF(C317="","",IFERROR(INDEX(Settings!$C$8:$C$19,MATCH(C317,Settings!$B$8:$B$19,0)),"?"))</f>
        <v/>
      </c>
      <c r="G317" s="35" t="str">
        <f aca="false">IF(A317="","",DATE(YEAR(A317),MONTH(A317),1))</f>
        <v/>
      </c>
    </row>
    <row r="318" customFormat="false" ht="15" hidden="false" customHeight="false" outlineLevel="0" collapsed="false">
      <c r="A318" s="33"/>
      <c r="B318" s="27"/>
      <c r="C318" s="27"/>
      <c r="D318" s="34"/>
      <c r="E318" s="27"/>
      <c r="F318" s="28" t="str">
        <f aca="false">IF(C318="","",IFERROR(INDEX(Settings!$C$8:$C$19,MATCH(C318,Settings!$B$8:$B$19,0)),"?"))</f>
        <v/>
      </c>
      <c r="G318" s="35" t="str">
        <f aca="false">IF(A318="","",DATE(YEAR(A318),MONTH(A318),1))</f>
        <v/>
      </c>
    </row>
    <row r="319" customFormat="false" ht="15" hidden="false" customHeight="false" outlineLevel="0" collapsed="false">
      <c r="A319" s="33"/>
      <c r="B319" s="27"/>
      <c r="C319" s="27"/>
      <c r="D319" s="34"/>
      <c r="E319" s="27"/>
      <c r="F319" s="28" t="str">
        <f aca="false">IF(C319="","",IFERROR(INDEX(Settings!$C$8:$C$19,MATCH(C319,Settings!$B$8:$B$19,0)),"?"))</f>
        <v/>
      </c>
      <c r="G319" s="35" t="str">
        <f aca="false">IF(A319="","",DATE(YEAR(A319),MONTH(A319),1))</f>
        <v/>
      </c>
    </row>
    <row r="320" customFormat="false" ht="15" hidden="false" customHeight="false" outlineLevel="0" collapsed="false">
      <c r="A320" s="33"/>
      <c r="B320" s="27"/>
      <c r="C320" s="27"/>
      <c r="D320" s="34"/>
      <c r="E320" s="27"/>
      <c r="F320" s="28" t="str">
        <f aca="false">IF(C320="","",IFERROR(INDEX(Settings!$C$8:$C$19,MATCH(C320,Settings!$B$8:$B$19,0)),"?"))</f>
        <v/>
      </c>
      <c r="G320" s="35" t="str">
        <f aca="false">IF(A320="","",DATE(YEAR(A320),MONTH(A320),1))</f>
        <v/>
      </c>
    </row>
    <row r="321" customFormat="false" ht="15" hidden="false" customHeight="false" outlineLevel="0" collapsed="false">
      <c r="A321" s="33"/>
      <c r="B321" s="27"/>
      <c r="C321" s="27"/>
      <c r="D321" s="34"/>
      <c r="E321" s="27"/>
      <c r="F321" s="28" t="str">
        <f aca="false">IF(C321="","",IFERROR(INDEX(Settings!$C$8:$C$19,MATCH(C321,Settings!$B$8:$B$19,0)),"?"))</f>
        <v/>
      </c>
      <c r="G321" s="35" t="str">
        <f aca="false">IF(A321="","",DATE(YEAR(A321),MONTH(A321),1))</f>
        <v/>
      </c>
    </row>
    <row r="322" customFormat="false" ht="15" hidden="false" customHeight="false" outlineLevel="0" collapsed="false">
      <c r="A322" s="33"/>
      <c r="B322" s="27"/>
      <c r="C322" s="27"/>
      <c r="D322" s="34"/>
      <c r="E322" s="27"/>
      <c r="F322" s="28" t="str">
        <f aca="false">IF(C322="","",IFERROR(INDEX(Settings!$C$8:$C$19,MATCH(C322,Settings!$B$8:$B$19,0)),"?"))</f>
        <v/>
      </c>
      <c r="G322" s="35" t="str">
        <f aca="false">IF(A322="","",DATE(YEAR(A322),MONTH(A322),1))</f>
        <v/>
      </c>
    </row>
    <row r="323" customFormat="false" ht="15" hidden="false" customHeight="false" outlineLevel="0" collapsed="false">
      <c r="A323" s="33"/>
      <c r="B323" s="27"/>
      <c r="C323" s="27"/>
      <c r="D323" s="34"/>
      <c r="E323" s="27"/>
      <c r="F323" s="28" t="str">
        <f aca="false">IF(C323="","",IFERROR(INDEX(Settings!$C$8:$C$19,MATCH(C323,Settings!$B$8:$B$19,0)),"?"))</f>
        <v/>
      </c>
      <c r="G323" s="35" t="str">
        <f aca="false">IF(A323="","",DATE(YEAR(A323),MONTH(A323),1))</f>
        <v/>
      </c>
    </row>
    <row r="324" customFormat="false" ht="15" hidden="false" customHeight="false" outlineLevel="0" collapsed="false">
      <c r="A324" s="33"/>
      <c r="B324" s="27"/>
      <c r="C324" s="27"/>
      <c r="D324" s="34"/>
      <c r="E324" s="27"/>
      <c r="F324" s="28" t="str">
        <f aca="false">IF(C324="","",IFERROR(INDEX(Settings!$C$8:$C$19,MATCH(C324,Settings!$B$8:$B$19,0)),"?"))</f>
        <v/>
      </c>
      <c r="G324" s="35" t="str">
        <f aca="false">IF(A324="","",DATE(YEAR(A324),MONTH(A324),1))</f>
        <v/>
      </c>
    </row>
    <row r="325" customFormat="false" ht="15" hidden="false" customHeight="false" outlineLevel="0" collapsed="false">
      <c r="A325" s="33"/>
      <c r="B325" s="27"/>
      <c r="C325" s="27"/>
      <c r="D325" s="34"/>
      <c r="E325" s="27"/>
      <c r="F325" s="28" t="str">
        <f aca="false">IF(C325="","",IFERROR(INDEX(Settings!$C$8:$C$19,MATCH(C325,Settings!$B$8:$B$19,0)),"?"))</f>
        <v/>
      </c>
      <c r="G325" s="35" t="str">
        <f aca="false">IF(A325="","",DATE(YEAR(A325),MONTH(A325),1))</f>
        <v/>
      </c>
    </row>
    <row r="326" customFormat="false" ht="15" hidden="false" customHeight="false" outlineLevel="0" collapsed="false">
      <c r="A326" s="33"/>
      <c r="B326" s="27"/>
      <c r="C326" s="27"/>
      <c r="D326" s="34"/>
      <c r="E326" s="27"/>
      <c r="F326" s="28" t="str">
        <f aca="false">IF(C326="","",IFERROR(INDEX(Settings!$C$8:$C$19,MATCH(C326,Settings!$B$8:$B$19,0)),"?"))</f>
        <v/>
      </c>
      <c r="G326" s="35" t="str">
        <f aca="false">IF(A326="","",DATE(YEAR(A326),MONTH(A326),1))</f>
        <v/>
      </c>
    </row>
    <row r="327" customFormat="false" ht="15" hidden="false" customHeight="false" outlineLevel="0" collapsed="false">
      <c r="A327" s="33"/>
      <c r="B327" s="27"/>
      <c r="C327" s="27"/>
      <c r="D327" s="34"/>
      <c r="E327" s="27"/>
      <c r="F327" s="28" t="str">
        <f aca="false">IF(C327="","",IFERROR(INDEX(Settings!$C$8:$C$19,MATCH(C327,Settings!$B$8:$B$19,0)),"?"))</f>
        <v/>
      </c>
      <c r="G327" s="35" t="str">
        <f aca="false">IF(A327="","",DATE(YEAR(A327),MONTH(A327),1))</f>
        <v/>
      </c>
    </row>
    <row r="328" customFormat="false" ht="15" hidden="false" customHeight="false" outlineLevel="0" collapsed="false">
      <c r="A328" s="33"/>
      <c r="B328" s="27"/>
      <c r="C328" s="27"/>
      <c r="D328" s="34"/>
      <c r="E328" s="27"/>
      <c r="F328" s="28" t="str">
        <f aca="false">IF(C328="","",IFERROR(INDEX(Settings!$C$8:$C$19,MATCH(C328,Settings!$B$8:$B$19,0)),"?"))</f>
        <v/>
      </c>
      <c r="G328" s="35" t="str">
        <f aca="false">IF(A328="","",DATE(YEAR(A328),MONTH(A328),1))</f>
        <v/>
      </c>
    </row>
    <row r="329" customFormat="false" ht="15" hidden="false" customHeight="false" outlineLevel="0" collapsed="false">
      <c r="A329" s="33"/>
      <c r="B329" s="27"/>
      <c r="C329" s="27"/>
      <c r="D329" s="34"/>
      <c r="E329" s="27"/>
      <c r="F329" s="28" t="str">
        <f aca="false">IF(C329="","",IFERROR(INDEX(Settings!$C$8:$C$19,MATCH(C329,Settings!$B$8:$B$19,0)),"?"))</f>
        <v/>
      </c>
      <c r="G329" s="35" t="str">
        <f aca="false">IF(A329="","",DATE(YEAR(A329),MONTH(A329),1))</f>
        <v/>
      </c>
    </row>
    <row r="330" customFormat="false" ht="15" hidden="false" customHeight="false" outlineLevel="0" collapsed="false">
      <c r="A330" s="33"/>
      <c r="B330" s="27"/>
      <c r="C330" s="27"/>
      <c r="D330" s="34"/>
      <c r="E330" s="27"/>
      <c r="F330" s="28" t="str">
        <f aca="false">IF(C330="","",IFERROR(INDEX(Settings!$C$8:$C$19,MATCH(C330,Settings!$B$8:$B$19,0)),"?"))</f>
        <v/>
      </c>
      <c r="G330" s="35" t="str">
        <f aca="false">IF(A330="","",DATE(YEAR(A330),MONTH(A330),1))</f>
        <v/>
      </c>
    </row>
    <row r="331" customFormat="false" ht="15" hidden="false" customHeight="false" outlineLevel="0" collapsed="false">
      <c r="A331" s="33"/>
      <c r="B331" s="27"/>
      <c r="C331" s="27"/>
      <c r="D331" s="34"/>
      <c r="E331" s="27"/>
      <c r="F331" s="28" t="str">
        <f aca="false">IF(C331="","",IFERROR(INDEX(Settings!$C$8:$C$19,MATCH(C331,Settings!$B$8:$B$19,0)),"?"))</f>
        <v/>
      </c>
      <c r="G331" s="35" t="str">
        <f aca="false">IF(A331="","",DATE(YEAR(A331),MONTH(A331),1))</f>
        <v/>
      </c>
    </row>
    <row r="332" customFormat="false" ht="15" hidden="false" customHeight="false" outlineLevel="0" collapsed="false">
      <c r="A332" s="33"/>
      <c r="B332" s="27"/>
      <c r="C332" s="27"/>
      <c r="D332" s="34"/>
      <c r="E332" s="27"/>
      <c r="F332" s="28" t="str">
        <f aca="false">IF(C332="","",IFERROR(INDEX(Settings!$C$8:$C$19,MATCH(C332,Settings!$B$8:$B$19,0)),"?"))</f>
        <v/>
      </c>
      <c r="G332" s="35" t="str">
        <f aca="false">IF(A332="","",DATE(YEAR(A332),MONTH(A332),1))</f>
        <v/>
      </c>
    </row>
    <row r="333" customFormat="false" ht="15" hidden="false" customHeight="false" outlineLevel="0" collapsed="false">
      <c r="A333" s="33"/>
      <c r="B333" s="27"/>
      <c r="C333" s="27"/>
      <c r="D333" s="34"/>
      <c r="E333" s="27"/>
      <c r="F333" s="28" t="str">
        <f aca="false">IF(C333="","",IFERROR(INDEX(Settings!$C$8:$C$19,MATCH(C333,Settings!$B$8:$B$19,0)),"?"))</f>
        <v/>
      </c>
      <c r="G333" s="35" t="str">
        <f aca="false">IF(A333="","",DATE(YEAR(A333),MONTH(A333),1))</f>
        <v/>
      </c>
    </row>
    <row r="334" customFormat="false" ht="15" hidden="false" customHeight="false" outlineLevel="0" collapsed="false">
      <c r="A334" s="33"/>
      <c r="B334" s="27"/>
      <c r="C334" s="27"/>
      <c r="D334" s="34"/>
      <c r="E334" s="27"/>
      <c r="F334" s="28" t="str">
        <f aca="false">IF(C334="","",IFERROR(INDEX(Settings!$C$8:$C$19,MATCH(C334,Settings!$B$8:$B$19,0)),"?"))</f>
        <v/>
      </c>
      <c r="G334" s="35" t="str">
        <f aca="false">IF(A334="","",DATE(YEAR(A334),MONTH(A334),1))</f>
        <v/>
      </c>
    </row>
    <row r="335" customFormat="false" ht="15" hidden="false" customHeight="false" outlineLevel="0" collapsed="false">
      <c r="A335" s="33"/>
      <c r="B335" s="27"/>
      <c r="C335" s="27"/>
      <c r="D335" s="34"/>
      <c r="E335" s="27"/>
      <c r="F335" s="28" t="str">
        <f aca="false">IF(C335="","",IFERROR(INDEX(Settings!$C$8:$C$19,MATCH(C335,Settings!$B$8:$B$19,0)),"?"))</f>
        <v/>
      </c>
      <c r="G335" s="35" t="str">
        <f aca="false">IF(A335="","",DATE(YEAR(A335),MONTH(A335),1))</f>
        <v/>
      </c>
    </row>
    <row r="336" customFormat="false" ht="15" hidden="false" customHeight="false" outlineLevel="0" collapsed="false">
      <c r="A336" s="33"/>
      <c r="B336" s="27"/>
      <c r="C336" s="27"/>
      <c r="D336" s="34"/>
      <c r="E336" s="27"/>
      <c r="F336" s="28" t="str">
        <f aca="false">IF(C336="","",IFERROR(INDEX(Settings!$C$8:$C$19,MATCH(C336,Settings!$B$8:$B$19,0)),"?"))</f>
        <v/>
      </c>
      <c r="G336" s="35" t="str">
        <f aca="false">IF(A336="","",DATE(YEAR(A336),MONTH(A336),1))</f>
        <v/>
      </c>
    </row>
    <row r="337" customFormat="false" ht="15" hidden="false" customHeight="false" outlineLevel="0" collapsed="false">
      <c r="A337" s="33"/>
      <c r="B337" s="27"/>
      <c r="C337" s="27"/>
      <c r="D337" s="34"/>
      <c r="E337" s="27"/>
      <c r="F337" s="28" t="str">
        <f aca="false">IF(C337="","",IFERROR(INDEX(Settings!$C$8:$C$19,MATCH(C337,Settings!$B$8:$B$19,0)),"?"))</f>
        <v/>
      </c>
      <c r="G337" s="35" t="str">
        <f aca="false">IF(A337="","",DATE(YEAR(A337),MONTH(A337),1))</f>
        <v/>
      </c>
    </row>
    <row r="338" customFormat="false" ht="15" hidden="false" customHeight="false" outlineLevel="0" collapsed="false">
      <c r="A338" s="33"/>
      <c r="B338" s="27"/>
      <c r="C338" s="27"/>
      <c r="D338" s="34"/>
      <c r="E338" s="27"/>
      <c r="F338" s="28" t="str">
        <f aca="false">IF(C338="","",IFERROR(INDEX(Settings!$C$8:$C$19,MATCH(C338,Settings!$B$8:$B$19,0)),"?"))</f>
        <v/>
      </c>
      <c r="G338" s="35" t="str">
        <f aca="false">IF(A338="","",DATE(YEAR(A338),MONTH(A338),1))</f>
        <v/>
      </c>
    </row>
    <row r="339" customFormat="false" ht="15" hidden="false" customHeight="false" outlineLevel="0" collapsed="false">
      <c r="A339" s="33"/>
      <c r="B339" s="27"/>
      <c r="C339" s="27"/>
      <c r="D339" s="34"/>
      <c r="E339" s="27"/>
      <c r="F339" s="28" t="str">
        <f aca="false">IF(C339="","",IFERROR(INDEX(Settings!$C$8:$C$19,MATCH(C339,Settings!$B$8:$B$19,0)),"?"))</f>
        <v/>
      </c>
      <c r="G339" s="35" t="str">
        <f aca="false">IF(A339="","",DATE(YEAR(A339),MONTH(A339),1))</f>
        <v/>
      </c>
    </row>
    <row r="340" customFormat="false" ht="15" hidden="false" customHeight="false" outlineLevel="0" collapsed="false">
      <c r="A340" s="33"/>
      <c r="B340" s="27"/>
      <c r="C340" s="27"/>
      <c r="D340" s="34"/>
      <c r="E340" s="27"/>
      <c r="F340" s="28" t="str">
        <f aca="false">IF(C340="","",IFERROR(INDEX(Settings!$C$8:$C$19,MATCH(C340,Settings!$B$8:$B$19,0)),"?"))</f>
        <v/>
      </c>
      <c r="G340" s="35" t="str">
        <f aca="false">IF(A340="","",DATE(YEAR(A340),MONTH(A340),1))</f>
        <v/>
      </c>
    </row>
    <row r="341" customFormat="false" ht="15" hidden="false" customHeight="false" outlineLevel="0" collapsed="false">
      <c r="A341" s="33"/>
      <c r="B341" s="27"/>
      <c r="C341" s="27"/>
      <c r="D341" s="34"/>
      <c r="E341" s="27"/>
      <c r="F341" s="28" t="str">
        <f aca="false">IF(C341="","",IFERROR(INDEX(Settings!$C$8:$C$19,MATCH(C341,Settings!$B$8:$B$19,0)),"?"))</f>
        <v/>
      </c>
      <c r="G341" s="35" t="str">
        <f aca="false">IF(A341="","",DATE(YEAR(A341),MONTH(A341),1))</f>
        <v/>
      </c>
    </row>
    <row r="342" customFormat="false" ht="15" hidden="false" customHeight="false" outlineLevel="0" collapsed="false">
      <c r="A342" s="33"/>
      <c r="B342" s="27"/>
      <c r="C342" s="27"/>
      <c r="D342" s="34"/>
      <c r="E342" s="27"/>
      <c r="F342" s="28" t="str">
        <f aca="false">IF(C342="","",IFERROR(INDEX(Settings!$C$8:$C$19,MATCH(C342,Settings!$B$8:$B$19,0)),"?"))</f>
        <v/>
      </c>
      <c r="G342" s="35" t="str">
        <f aca="false">IF(A342="","",DATE(YEAR(A342),MONTH(A342),1))</f>
        <v/>
      </c>
    </row>
    <row r="343" customFormat="false" ht="15" hidden="false" customHeight="false" outlineLevel="0" collapsed="false">
      <c r="A343" s="33"/>
      <c r="B343" s="27"/>
      <c r="C343" s="27"/>
      <c r="D343" s="34"/>
      <c r="E343" s="27"/>
      <c r="F343" s="28" t="str">
        <f aca="false">IF(C343="","",IFERROR(INDEX(Settings!$C$8:$C$19,MATCH(C343,Settings!$B$8:$B$19,0)),"?"))</f>
        <v/>
      </c>
      <c r="G343" s="35" t="str">
        <f aca="false">IF(A343="","",DATE(YEAR(A343),MONTH(A343),1))</f>
        <v/>
      </c>
    </row>
    <row r="344" customFormat="false" ht="15" hidden="false" customHeight="false" outlineLevel="0" collapsed="false">
      <c r="A344" s="33"/>
      <c r="B344" s="27"/>
      <c r="C344" s="27"/>
      <c r="D344" s="34"/>
      <c r="E344" s="27"/>
      <c r="F344" s="28" t="str">
        <f aca="false">IF(C344="","",IFERROR(INDEX(Settings!$C$8:$C$19,MATCH(C344,Settings!$B$8:$B$19,0)),"?"))</f>
        <v/>
      </c>
      <c r="G344" s="35" t="str">
        <f aca="false">IF(A344="","",DATE(YEAR(A344),MONTH(A344),1))</f>
        <v/>
      </c>
    </row>
    <row r="345" customFormat="false" ht="15" hidden="false" customHeight="false" outlineLevel="0" collapsed="false">
      <c r="A345" s="33"/>
      <c r="B345" s="27"/>
      <c r="C345" s="27"/>
      <c r="D345" s="34"/>
      <c r="E345" s="27"/>
      <c r="F345" s="28" t="str">
        <f aca="false">IF(C345="","",IFERROR(INDEX(Settings!$C$8:$C$19,MATCH(C345,Settings!$B$8:$B$19,0)),"?"))</f>
        <v/>
      </c>
      <c r="G345" s="35" t="str">
        <f aca="false">IF(A345="","",DATE(YEAR(A345),MONTH(A345),1))</f>
        <v/>
      </c>
    </row>
    <row r="346" customFormat="false" ht="15" hidden="false" customHeight="false" outlineLevel="0" collapsed="false">
      <c r="A346" s="33"/>
      <c r="B346" s="27"/>
      <c r="C346" s="27"/>
      <c r="D346" s="34"/>
      <c r="E346" s="27"/>
      <c r="F346" s="28" t="str">
        <f aca="false">IF(C346="","",IFERROR(INDEX(Settings!$C$8:$C$19,MATCH(C346,Settings!$B$8:$B$19,0)),"?"))</f>
        <v/>
      </c>
      <c r="G346" s="35" t="str">
        <f aca="false">IF(A346="","",DATE(YEAR(A346),MONTH(A346),1))</f>
        <v/>
      </c>
    </row>
    <row r="347" customFormat="false" ht="15" hidden="false" customHeight="false" outlineLevel="0" collapsed="false">
      <c r="A347" s="33"/>
      <c r="B347" s="27"/>
      <c r="C347" s="27"/>
      <c r="D347" s="34"/>
      <c r="E347" s="27"/>
      <c r="F347" s="28" t="str">
        <f aca="false">IF(C347="","",IFERROR(INDEX(Settings!$C$8:$C$19,MATCH(C347,Settings!$B$8:$B$19,0)),"?"))</f>
        <v/>
      </c>
      <c r="G347" s="35" t="str">
        <f aca="false">IF(A347="","",DATE(YEAR(A347),MONTH(A347),1))</f>
        <v/>
      </c>
    </row>
    <row r="348" customFormat="false" ht="15" hidden="false" customHeight="false" outlineLevel="0" collapsed="false">
      <c r="A348" s="33"/>
      <c r="B348" s="27"/>
      <c r="C348" s="27"/>
      <c r="D348" s="34"/>
      <c r="E348" s="27"/>
      <c r="F348" s="28" t="str">
        <f aca="false">IF(C348="","",IFERROR(INDEX(Settings!$C$8:$C$19,MATCH(C348,Settings!$B$8:$B$19,0)),"?"))</f>
        <v/>
      </c>
      <c r="G348" s="35" t="str">
        <f aca="false">IF(A348="","",DATE(YEAR(A348),MONTH(A348),1))</f>
        <v/>
      </c>
    </row>
    <row r="349" customFormat="false" ht="15" hidden="false" customHeight="false" outlineLevel="0" collapsed="false">
      <c r="A349" s="33"/>
      <c r="B349" s="27"/>
      <c r="C349" s="27"/>
      <c r="D349" s="34"/>
      <c r="E349" s="27"/>
      <c r="F349" s="28" t="str">
        <f aca="false">IF(C349="","",IFERROR(INDEX(Settings!$C$8:$C$19,MATCH(C349,Settings!$B$8:$B$19,0)),"?"))</f>
        <v/>
      </c>
      <c r="G349" s="35" t="str">
        <f aca="false">IF(A349="","",DATE(YEAR(A349),MONTH(A349),1))</f>
        <v/>
      </c>
    </row>
    <row r="350" customFormat="false" ht="15" hidden="false" customHeight="false" outlineLevel="0" collapsed="false">
      <c r="A350" s="33"/>
      <c r="B350" s="27"/>
      <c r="C350" s="27"/>
      <c r="D350" s="34"/>
      <c r="E350" s="27"/>
      <c r="F350" s="28" t="str">
        <f aca="false">IF(C350="","",IFERROR(INDEX(Settings!$C$8:$C$19,MATCH(C350,Settings!$B$8:$B$19,0)),"?"))</f>
        <v/>
      </c>
      <c r="G350" s="35" t="str">
        <f aca="false">IF(A350="","",DATE(YEAR(A350),MONTH(A350),1))</f>
        <v/>
      </c>
    </row>
    <row r="351" customFormat="false" ht="15" hidden="false" customHeight="false" outlineLevel="0" collapsed="false">
      <c r="A351" s="33"/>
      <c r="B351" s="27"/>
      <c r="C351" s="27"/>
      <c r="D351" s="34"/>
      <c r="E351" s="27"/>
      <c r="F351" s="28" t="str">
        <f aca="false">IF(C351="","",IFERROR(INDEX(Settings!$C$8:$C$19,MATCH(C351,Settings!$B$8:$B$19,0)),"?"))</f>
        <v/>
      </c>
      <c r="G351" s="35" t="str">
        <f aca="false">IF(A351="","",DATE(YEAR(A351),MONTH(A351),1))</f>
        <v/>
      </c>
    </row>
    <row r="352" customFormat="false" ht="15" hidden="false" customHeight="false" outlineLevel="0" collapsed="false">
      <c r="A352" s="33"/>
      <c r="B352" s="27"/>
      <c r="C352" s="27"/>
      <c r="D352" s="34"/>
      <c r="E352" s="27"/>
      <c r="F352" s="28" t="str">
        <f aca="false">IF(C352="","",IFERROR(INDEX(Settings!$C$8:$C$19,MATCH(C352,Settings!$B$8:$B$19,0)),"?"))</f>
        <v/>
      </c>
      <c r="G352" s="35" t="str">
        <f aca="false">IF(A352="","",DATE(YEAR(A352),MONTH(A352),1))</f>
        <v/>
      </c>
    </row>
    <row r="353" customFormat="false" ht="15" hidden="false" customHeight="false" outlineLevel="0" collapsed="false">
      <c r="A353" s="33"/>
      <c r="B353" s="27"/>
      <c r="C353" s="27"/>
      <c r="D353" s="34"/>
      <c r="E353" s="27"/>
      <c r="F353" s="28" t="str">
        <f aca="false">IF(C353="","",IFERROR(INDEX(Settings!$C$8:$C$19,MATCH(C353,Settings!$B$8:$B$19,0)),"?"))</f>
        <v/>
      </c>
      <c r="G353" s="35" t="str">
        <f aca="false">IF(A353="","",DATE(YEAR(A353),MONTH(A353),1))</f>
        <v/>
      </c>
    </row>
    <row r="354" customFormat="false" ht="15" hidden="false" customHeight="false" outlineLevel="0" collapsed="false">
      <c r="A354" s="33"/>
      <c r="B354" s="27"/>
      <c r="C354" s="27"/>
      <c r="D354" s="34"/>
      <c r="E354" s="27"/>
      <c r="F354" s="28" t="str">
        <f aca="false">IF(C354="","",IFERROR(INDEX(Settings!$C$8:$C$19,MATCH(C354,Settings!$B$8:$B$19,0)),"?"))</f>
        <v/>
      </c>
      <c r="G354" s="35" t="str">
        <f aca="false">IF(A354="","",DATE(YEAR(A354),MONTH(A354),1))</f>
        <v/>
      </c>
    </row>
    <row r="355" customFormat="false" ht="15" hidden="false" customHeight="false" outlineLevel="0" collapsed="false">
      <c r="A355" s="33"/>
      <c r="B355" s="27"/>
      <c r="C355" s="27"/>
      <c r="D355" s="34"/>
      <c r="E355" s="27"/>
      <c r="F355" s="28" t="str">
        <f aca="false">IF(C355="","",IFERROR(INDEX(Settings!$C$8:$C$19,MATCH(C355,Settings!$B$8:$B$19,0)),"?"))</f>
        <v/>
      </c>
      <c r="G355" s="35" t="str">
        <f aca="false">IF(A355="","",DATE(YEAR(A355),MONTH(A355),1))</f>
        <v/>
      </c>
    </row>
    <row r="356" customFormat="false" ht="15" hidden="false" customHeight="false" outlineLevel="0" collapsed="false">
      <c r="A356" s="33"/>
      <c r="B356" s="27"/>
      <c r="C356" s="27"/>
      <c r="D356" s="34"/>
      <c r="E356" s="27"/>
      <c r="F356" s="28" t="str">
        <f aca="false">IF(C356="","",IFERROR(INDEX(Settings!$C$8:$C$19,MATCH(C356,Settings!$B$8:$B$19,0)),"?"))</f>
        <v/>
      </c>
      <c r="G356" s="35" t="str">
        <f aca="false">IF(A356="","",DATE(YEAR(A356),MONTH(A356),1))</f>
        <v/>
      </c>
    </row>
    <row r="357" customFormat="false" ht="15" hidden="false" customHeight="false" outlineLevel="0" collapsed="false">
      <c r="A357" s="33"/>
      <c r="B357" s="27"/>
      <c r="C357" s="27"/>
      <c r="D357" s="34"/>
      <c r="E357" s="27"/>
      <c r="F357" s="28" t="str">
        <f aca="false">IF(C357="","",IFERROR(INDEX(Settings!$C$8:$C$19,MATCH(C357,Settings!$B$8:$B$19,0)),"?"))</f>
        <v/>
      </c>
      <c r="G357" s="35" t="str">
        <f aca="false">IF(A357="","",DATE(YEAR(A357),MONTH(A357),1))</f>
        <v/>
      </c>
    </row>
    <row r="358" customFormat="false" ht="15" hidden="false" customHeight="false" outlineLevel="0" collapsed="false">
      <c r="A358" s="33"/>
      <c r="B358" s="27"/>
      <c r="C358" s="27"/>
      <c r="D358" s="34"/>
      <c r="E358" s="27"/>
      <c r="F358" s="28" t="str">
        <f aca="false">IF(C358="","",IFERROR(INDEX(Settings!$C$8:$C$19,MATCH(C358,Settings!$B$8:$B$19,0)),"?"))</f>
        <v/>
      </c>
      <c r="G358" s="35" t="str">
        <f aca="false">IF(A358="","",DATE(YEAR(A358),MONTH(A358),1))</f>
        <v/>
      </c>
    </row>
    <row r="359" customFormat="false" ht="15" hidden="false" customHeight="false" outlineLevel="0" collapsed="false">
      <c r="A359" s="33"/>
      <c r="B359" s="27"/>
      <c r="C359" s="27"/>
      <c r="D359" s="34"/>
      <c r="E359" s="27"/>
      <c r="F359" s="28" t="str">
        <f aca="false">IF(C359="","",IFERROR(INDEX(Settings!$C$8:$C$19,MATCH(C359,Settings!$B$8:$B$19,0)),"?"))</f>
        <v/>
      </c>
      <c r="G359" s="35" t="str">
        <f aca="false">IF(A359="","",DATE(YEAR(A359),MONTH(A359),1))</f>
        <v/>
      </c>
    </row>
    <row r="360" customFormat="false" ht="15" hidden="false" customHeight="false" outlineLevel="0" collapsed="false">
      <c r="A360" s="33"/>
      <c r="B360" s="27"/>
      <c r="C360" s="27"/>
      <c r="D360" s="34"/>
      <c r="E360" s="27"/>
      <c r="F360" s="28" t="str">
        <f aca="false">IF(C360="","",IFERROR(INDEX(Settings!$C$8:$C$19,MATCH(C360,Settings!$B$8:$B$19,0)),"?"))</f>
        <v/>
      </c>
      <c r="G360" s="35" t="str">
        <f aca="false">IF(A360="","",DATE(YEAR(A360),MONTH(A360),1))</f>
        <v/>
      </c>
    </row>
    <row r="361" customFormat="false" ht="15" hidden="false" customHeight="false" outlineLevel="0" collapsed="false">
      <c r="A361" s="33"/>
      <c r="B361" s="27"/>
      <c r="C361" s="27"/>
      <c r="D361" s="34"/>
      <c r="E361" s="27"/>
      <c r="F361" s="28" t="str">
        <f aca="false">IF(C361="","",IFERROR(INDEX(Settings!$C$8:$C$19,MATCH(C361,Settings!$B$8:$B$19,0)),"?"))</f>
        <v/>
      </c>
      <c r="G361" s="35" t="str">
        <f aca="false">IF(A361="","",DATE(YEAR(A361),MONTH(A361),1))</f>
        <v/>
      </c>
    </row>
    <row r="362" customFormat="false" ht="15" hidden="false" customHeight="false" outlineLevel="0" collapsed="false">
      <c r="A362" s="33"/>
      <c r="B362" s="27"/>
      <c r="C362" s="27"/>
      <c r="D362" s="34"/>
      <c r="E362" s="27"/>
      <c r="F362" s="28" t="str">
        <f aca="false">IF(C362="","",IFERROR(INDEX(Settings!$C$8:$C$19,MATCH(C362,Settings!$B$8:$B$19,0)),"?"))</f>
        <v/>
      </c>
      <c r="G362" s="35" t="str">
        <f aca="false">IF(A362="","",DATE(YEAR(A362),MONTH(A362),1))</f>
        <v/>
      </c>
    </row>
    <row r="363" customFormat="false" ht="15" hidden="false" customHeight="false" outlineLevel="0" collapsed="false">
      <c r="A363" s="33"/>
      <c r="B363" s="27"/>
      <c r="C363" s="27"/>
      <c r="D363" s="34"/>
      <c r="E363" s="27"/>
      <c r="F363" s="28" t="str">
        <f aca="false">IF(C363="","",IFERROR(INDEX(Settings!$C$8:$C$19,MATCH(C363,Settings!$B$8:$B$19,0)),"?"))</f>
        <v/>
      </c>
      <c r="G363" s="35" t="str">
        <f aca="false">IF(A363="","",DATE(YEAR(A363),MONTH(A363),1))</f>
        <v/>
      </c>
    </row>
    <row r="364" customFormat="false" ht="15" hidden="false" customHeight="false" outlineLevel="0" collapsed="false">
      <c r="A364" s="33"/>
      <c r="B364" s="27"/>
      <c r="C364" s="27"/>
      <c r="D364" s="34"/>
      <c r="E364" s="27"/>
      <c r="F364" s="28" t="str">
        <f aca="false">IF(C364="","",IFERROR(INDEX(Settings!$C$8:$C$19,MATCH(C364,Settings!$B$8:$B$19,0)),"?"))</f>
        <v/>
      </c>
      <c r="G364" s="35" t="str">
        <f aca="false">IF(A364="","",DATE(YEAR(A364),MONTH(A364),1))</f>
        <v/>
      </c>
    </row>
    <row r="365" customFormat="false" ht="15" hidden="false" customHeight="false" outlineLevel="0" collapsed="false">
      <c r="A365" s="33"/>
      <c r="B365" s="27"/>
      <c r="C365" s="27"/>
      <c r="D365" s="34"/>
      <c r="E365" s="27"/>
      <c r="F365" s="28" t="str">
        <f aca="false">IF(C365="","",IFERROR(INDEX(Settings!$C$8:$C$19,MATCH(C365,Settings!$B$8:$B$19,0)),"?"))</f>
        <v/>
      </c>
      <c r="G365" s="35" t="str">
        <f aca="false">IF(A365="","",DATE(YEAR(A365),MONTH(A365),1))</f>
        <v/>
      </c>
    </row>
    <row r="366" customFormat="false" ht="15" hidden="false" customHeight="false" outlineLevel="0" collapsed="false">
      <c r="A366" s="33"/>
      <c r="B366" s="27"/>
      <c r="C366" s="27"/>
      <c r="D366" s="34"/>
      <c r="E366" s="27"/>
      <c r="F366" s="28" t="str">
        <f aca="false">IF(C366="","",IFERROR(INDEX(Settings!$C$8:$C$19,MATCH(C366,Settings!$B$8:$B$19,0)),"?"))</f>
        <v/>
      </c>
      <c r="G366" s="35" t="str">
        <f aca="false">IF(A366="","",DATE(YEAR(A366),MONTH(A366),1))</f>
        <v/>
      </c>
    </row>
    <row r="367" customFormat="false" ht="15" hidden="false" customHeight="false" outlineLevel="0" collapsed="false">
      <c r="A367" s="33"/>
      <c r="B367" s="27"/>
      <c r="C367" s="27"/>
      <c r="D367" s="34"/>
      <c r="E367" s="27"/>
      <c r="F367" s="28" t="str">
        <f aca="false">IF(C367="","",IFERROR(INDEX(Settings!$C$8:$C$19,MATCH(C367,Settings!$B$8:$B$19,0)),"?"))</f>
        <v/>
      </c>
      <c r="G367" s="35" t="str">
        <f aca="false">IF(A367="","",DATE(YEAR(A367),MONTH(A367),1))</f>
        <v/>
      </c>
    </row>
    <row r="368" customFormat="false" ht="15" hidden="false" customHeight="false" outlineLevel="0" collapsed="false">
      <c r="A368" s="33"/>
      <c r="B368" s="27"/>
      <c r="C368" s="27"/>
      <c r="D368" s="34"/>
      <c r="E368" s="27"/>
      <c r="F368" s="28" t="str">
        <f aca="false">IF(C368="","",IFERROR(INDEX(Settings!$C$8:$C$19,MATCH(C368,Settings!$B$8:$B$19,0)),"?"))</f>
        <v/>
      </c>
      <c r="G368" s="35" t="str">
        <f aca="false">IF(A368="","",DATE(YEAR(A368),MONTH(A368),1))</f>
        <v/>
      </c>
    </row>
    <row r="369" customFormat="false" ht="15" hidden="false" customHeight="false" outlineLevel="0" collapsed="false">
      <c r="A369" s="33"/>
      <c r="B369" s="27"/>
      <c r="C369" s="27"/>
      <c r="D369" s="34"/>
      <c r="E369" s="27"/>
      <c r="F369" s="28" t="str">
        <f aca="false">IF(C369="","",IFERROR(INDEX(Settings!$C$8:$C$19,MATCH(C369,Settings!$B$8:$B$19,0)),"?"))</f>
        <v/>
      </c>
      <c r="G369" s="35" t="str">
        <f aca="false">IF(A369="","",DATE(YEAR(A369),MONTH(A369),1))</f>
        <v/>
      </c>
    </row>
    <row r="370" customFormat="false" ht="15" hidden="false" customHeight="false" outlineLevel="0" collapsed="false">
      <c r="A370" s="33"/>
      <c r="B370" s="27"/>
      <c r="C370" s="27"/>
      <c r="D370" s="34"/>
      <c r="E370" s="27"/>
      <c r="F370" s="28" t="str">
        <f aca="false">IF(C370="","",IFERROR(INDEX(Settings!$C$8:$C$19,MATCH(C370,Settings!$B$8:$B$19,0)),"?"))</f>
        <v/>
      </c>
      <c r="G370" s="35" t="str">
        <f aca="false">IF(A370="","",DATE(YEAR(A370),MONTH(A370),1))</f>
        <v/>
      </c>
    </row>
    <row r="371" customFormat="false" ht="15" hidden="false" customHeight="false" outlineLevel="0" collapsed="false">
      <c r="A371" s="33"/>
      <c r="B371" s="27"/>
      <c r="C371" s="27"/>
      <c r="D371" s="34"/>
      <c r="E371" s="27"/>
      <c r="F371" s="28" t="str">
        <f aca="false">IF(C371="","",IFERROR(INDEX(Settings!$C$8:$C$19,MATCH(C371,Settings!$B$8:$B$19,0)),"?"))</f>
        <v/>
      </c>
      <c r="G371" s="35" t="str">
        <f aca="false">IF(A371="","",DATE(YEAR(A371),MONTH(A371),1))</f>
        <v/>
      </c>
    </row>
    <row r="372" customFormat="false" ht="15" hidden="false" customHeight="false" outlineLevel="0" collapsed="false">
      <c r="A372" s="33"/>
      <c r="B372" s="27"/>
      <c r="C372" s="27"/>
      <c r="D372" s="34"/>
      <c r="E372" s="27"/>
      <c r="F372" s="28" t="str">
        <f aca="false">IF(C372="","",IFERROR(INDEX(Settings!$C$8:$C$19,MATCH(C372,Settings!$B$8:$B$19,0)),"?"))</f>
        <v/>
      </c>
      <c r="G372" s="35" t="str">
        <f aca="false">IF(A372="","",DATE(YEAR(A372),MONTH(A372),1))</f>
        <v/>
      </c>
    </row>
    <row r="373" customFormat="false" ht="15" hidden="false" customHeight="false" outlineLevel="0" collapsed="false">
      <c r="A373" s="33"/>
      <c r="B373" s="27"/>
      <c r="C373" s="27"/>
      <c r="D373" s="34"/>
      <c r="E373" s="27"/>
      <c r="F373" s="28" t="str">
        <f aca="false">IF(C373="","",IFERROR(INDEX(Settings!$C$8:$C$19,MATCH(C373,Settings!$B$8:$B$19,0)),"?"))</f>
        <v/>
      </c>
      <c r="G373" s="35" t="str">
        <f aca="false">IF(A373="","",DATE(YEAR(A373),MONTH(A373),1))</f>
        <v/>
      </c>
    </row>
    <row r="374" customFormat="false" ht="15" hidden="false" customHeight="false" outlineLevel="0" collapsed="false">
      <c r="A374" s="33"/>
      <c r="B374" s="27"/>
      <c r="C374" s="27"/>
      <c r="D374" s="34"/>
      <c r="E374" s="27"/>
      <c r="F374" s="28" t="str">
        <f aca="false">IF(C374="","",IFERROR(INDEX(Settings!$C$8:$C$19,MATCH(C374,Settings!$B$8:$B$19,0)),"?"))</f>
        <v/>
      </c>
      <c r="G374" s="35" t="str">
        <f aca="false">IF(A374="","",DATE(YEAR(A374),MONTH(A374),1))</f>
        <v/>
      </c>
    </row>
    <row r="375" customFormat="false" ht="15" hidden="false" customHeight="false" outlineLevel="0" collapsed="false">
      <c r="A375" s="33"/>
      <c r="B375" s="27"/>
      <c r="C375" s="27"/>
      <c r="D375" s="34"/>
      <c r="E375" s="27"/>
      <c r="F375" s="28" t="str">
        <f aca="false">IF(C375="","",IFERROR(INDEX(Settings!$C$8:$C$19,MATCH(C375,Settings!$B$8:$B$19,0)),"?"))</f>
        <v/>
      </c>
      <c r="G375" s="35" t="str">
        <f aca="false">IF(A375="","",DATE(YEAR(A375),MONTH(A375),1))</f>
        <v/>
      </c>
    </row>
    <row r="376" customFormat="false" ht="15" hidden="false" customHeight="false" outlineLevel="0" collapsed="false">
      <c r="A376" s="33"/>
      <c r="B376" s="27"/>
      <c r="C376" s="27"/>
      <c r="D376" s="34"/>
      <c r="E376" s="27"/>
      <c r="F376" s="28" t="str">
        <f aca="false">IF(C376="","",IFERROR(INDEX(Settings!$C$8:$C$19,MATCH(C376,Settings!$B$8:$B$19,0)),"?"))</f>
        <v/>
      </c>
      <c r="G376" s="35" t="str">
        <f aca="false">IF(A376="","",DATE(YEAR(A376),MONTH(A376),1))</f>
        <v/>
      </c>
    </row>
    <row r="377" customFormat="false" ht="15" hidden="false" customHeight="false" outlineLevel="0" collapsed="false">
      <c r="A377" s="33"/>
      <c r="B377" s="27"/>
      <c r="C377" s="27"/>
      <c r="D377" s="34"/>
      <c r="E377" s="27"/>
      <c r="F377" s="28" t="str">
        <f aca="false">IF(C377="","",IFERROR(INDEX(Settings!$C$8:$C$19,MATCH(C377,Settings!$B$8:$B$19,0)),"?"))</f>
        <v/>
      </c>
      <c r="G377" s="35" t="str">
        <f aca="false">IF(A377="","",DATE(YEAR(A377),MONTH(A377),1))</f>
        <v/>
      </c>
    </row>
    <row r="378" customFormat="false" ht="15" hidden="false" customHeight="false" outlineLevel="0" collapsed="false">
      <c r="A378" s="33"/>
      <c r="B378" s="27"/>
      <c r="C378" s="27"/>
      <c r="D378" s="34"/>
      <c r="E378" s="27"/>
      <c r="F378" s="28" t="str">
        <f aca="false">IF(C378="","",IFERROR(INDEX(Settings!$C$8:$C$19,MATCH(C378,Settings!$B$8:$B$19,0)),"?"))</f>
        <v/>
      </c>
      <c r="G378" s="35" t="str">
        <f aca="false">IF(A378="","",DATE(YEAR(A378),MONTH(A378),1))</f>
        <v/>
      </c>
    </row>
    <row r="379" customFormat="false" ht="15" hidden="false" customHeight="false" outlineLevel="0" collapsed="false">
      <c r="A379" s="33"/>
      <c r="B379" s="27"/>
      <c r="C379" s="27"/>
      <c r="D379" s="34"/>
      <c r="E379" s="27"/>
      <c r="F379" s="28" t="str">
        <f aca="false">IF(C379="","",IFERROR(INDEX(Settings!$C$8:$C$19,MATCH(C379,Settings!$B$8:$B$19,0)),"?"))</f>
        <v/>
      </c>
      <c r="G379" s="35" t="str">
        <f aca="false">IF(A379="","",DATE(YEAR(A379),MONTH(A379),1))</f>
        <v/>
      </c>
    </row>
    <row r="380" customFormat="false" ht="15" hidden="false" customHeight="false" outlineLevel="0" collapsed="false">
      <c r="A380" s="33"/>
      <c r="B380" s="27"/>
      <c r="C380" s="27"/>
      <c r="D380" s="34"/>
      <c r="E380" s="27"/>
      <c r="F380" s="28" t="str">
        <f aca="false">IF(C380="","",IFERROR(INDEX(Settings!$C$8:$C$19,MATCH(C380,Settings!$B$8:$B$19,0)),"?"))</f>
        <v/>
      </c>
      <c r="G380" s="35" t="str">
        <f aca="false">IF(A380="","",DATE(YEAR(A380),MONTH(A380),1))</f>
        <v/>
      </c>
    </row>
    <row r="381" customFormat="false" ht="15" hidden="false" customHeight="false" outlineLevel="0" collapsed="false">
      <c r="A381" s="33"/>
      <c r="B381" s="27"/>
      <c r="C381" s="27"/>
      <c r="D381" s="34"/>
      <c r="E381" s="27"/>
      <c r="F381" s="28" t="str">
        <f aca="false">IF(C381="","",IFERROR(INDEX(Settings!$C$8:$C$19,MATCH(C381,Settings!$B$8:$B$19,0)),"?"))</f>
        <v/>
      </c>
      <c r="G381" s="35" t="str">
        <f aca="false">IF(A381="","",DATE(YEAR(A381),MONTH(A381),1))</f>
        <v/>
      </c>
    </row>
    <row r="382" customFormat="false" ht="15" hidden="false" customHeight="false" outlineLevel="0" collapsed="false">
      <c r="A382" s="33"/>
      <c r="B382" s="27"/>
      <c r="C382" s="27"/>
      <c r="D382" s="34"/>
      <c r="E382" s="27"/>
      <c r="F382" s="28" t="str">
        <f aca="false">IF(C382="","",IFERROR(INDEX(Settings!$C$8:$C$19,MATCH(C382,Settings!$B$8:$B$19,0)),"?"))</f>
        <v/>
      </c>
      <c r="G382" s="35" t="str">
        <f aca="false">IF(A382="","",DATE(YEAR(A382),MONTH(A382),1))</f>
        <v/>
      </c>
    </row>
    <row r="383" customFormat="false" ht="15" hidden="false" customHeight="false" outlineLevel="0" collapsed="false">
      <c r="A383" s="33"/>
      <c r="B383" s="27"/>
      <c r="C383" s="27"/>
      <c r="D383" s="34"/>
      <c r="E383" s="27"/>
      <c r="F383" s="28" t="str">
        <f aca="false">IF(C383="","",IFERROR(INDEX(Settings!$C$8:$C$19,MATCH(C383,Settings!$B$8:$B$19,0)),"?"))</f>
        <v/>
      </c>
      <c r="G383" s="35" t="str">
        <f aca="false">IF(A383="","",DATE(YEAR(A383),MONTH(A383),1))</f>
        <v/>
      </c>
    </row>
    <row r="384" customFormat="false" ht="15" hidden="false" customHeight="false" outlineLevel="0" collapsed="false">
      <c r="A384" s="33"/>
      <c r="B384" s="27"/>
      <c r="C384" s="27"/>
      <c r="D384" s="34"/>
      <c r="E384" s="27"/>
      <c r="F384" s="28" t="str">
        <f aca="false">IF(C384="","",IFERROR(INDEX(Settings!$C$8:$C$19,MATCH(C384,Settings!$B$8:$B$19,0)),"?"))</f>
        <v/>
      </c>
      <c r="G384" s="35" t="str">
        <f aca="false">IF(A384="","",DATE(YEAR(A384),MONTH(A384),1))</f>
        <v/>
      </c>
    </row>
    <row r="385" customFormat="false" ht="15" hidden="false" customHeight="false" outlineLevel="0" collapsed="false">
      <c r="A385" s="33"/>
      <c r="B385" s="27"/>
      <c r="C385" s="27"/>
      <c r="D385" s="34"/>
      <c r="E385" s="27"/>
      <c r="F385" s="28" t="str">
        <f aca="false">IF(C385="","",IFERROR(INDEX(Settings!$C$8:$C$19,MATCH(C385,Settings!$B$8:$B$19,0)),"?"))</f>
        <v/>
      </c>
      <c r="G385" s="35" t="str">
        <f aca="false">IF(A385="","",DATE(YEAR(A385),MONTH(A385),1))</f>
        <v/>
      </c>
    </row>
    <row r="386" customFormat="false" ht="15" hidden="false" customHeight="false" outlineLevel="0" collapsed="false">
      <c r="A386" s="33"/>
      <c r="B386" s="27"/>
      <c r="C386" s="27"/>
      <c r="D386" s="34"/>
      <c r="E386" s="27"/>
      <c r="F386" s="28" t="str">
        <f aca="false">IF(C386="","",IFERROR(INDEX(Settings!$C$8:$C$19,MATCH(C386,Settings!$B$8:$B$19,0)),"?"))</f>
        <v/>
      </c>
      <c r="G386" s="35" t="str">
        <f aca="false">IF(A386="","",DATE(YEAR(A386),MONTH(A386),1))</f>
        <v/>
      </c>
    </row>
    <row r="387" customFormat="false" ht="15" hidden="false" customHeight="false" outlineLevel="0" collapsed="false">
      <c r="A387" s="33"/>
      <c r="B387" s="27"/>
      <c r="C387" s="27"/>
      <c r="D387" s="34"/>
      <c r="E387" s="27"/>
      <c r="F387" s="28" t="str">
        <f aca="false">IF(C387="","",IFERROR(INDEX(Settings!$C$8:$C$19,MATCH(C387,Settings!$B$8:$B$19,0)),"?"))</f>
        <v/>
      </c>
      <c r="G387" s="35" t="str">
        <f aca="false">IF(A387="","",DATE(YEAR(A387),MONTH(A387),1))</f>
        <v/>
      </c>
    </row>
    <row r="388" customFormat="false" ht="15" hidden="false" customHeight="false" outlineLevel="0" collapsed="false">
      <c r="A388" s="33"/>
      <c r="B388" s="27"/>
      <c r="C388" s="27"/>
      <c r="D388" s="34"/>
      <c r="E388" s="27"/>
      <c r="F388" s="28" t="str">
        <f aca="false">IF(C388="","",IFERROR(INDEX(Settings!$C$8:$C$19,MATCH(C388,Settings!$B$8:$B$19,0)),"?"))</f>
        <v/>
      </c>
      <c r="G388" s="35" t="str">
        <f aca="false">IF(A388="","",DATE(YEAR(A388),MONTH(A388),1))</f>
        <v/>
      </c>
    </row>
    <row r="389" customFormat="false" ht="15" hidden="false" customHeight="false" outlineLevel="0" collapsed="false">
      <c r="A389" s="33"/>
      <c r="B389" s="27"/>
      <c r="C389" s="27"/>
      <c r="D389" s="34"/>
      <c r="E389" s="27"/>
      <c r="F389" s="28" t="str">
        <f aca="false">IF(C389="","",IFERROR(INDEX(Settings!$C$8:$C$19,MATCH(C389,Settings!$B$8:$B$19,0)),"?"))</f>
        <v/>
      </c>
      <c r="G389" s="35" t="str">
        <f aca="false">IF(A389="","",DATE(YEAR(A389),MONTH(A389),1))</f>
        <v/>
      </c>
    </row>
    <row r="390" customFormat="false" ht="15" hidden="false" customHeight="false" outlineLevel="0" collapsed="false">
      <c r="A390" s="33"/>
      <c r="B390" s="27"/>
      <c r="C390" s="27"/>
      <c r="D390" s="34"/>
      <c r="E390" s="27"/>
      <c r="F390" s="28" t="str">
        <f aca="false">IF(C390="","",IFERROR(INDEX(Settings!$C$8:$C$19,MATCH(C390,Settings!$B$8:$B$19,0)),"?"))</f>
        <v/>
      </c>
      <c r="G390" s="35" t="str">
        <f aca="false">IF(A390="","",DATE(YEAR(A390),MONTH(A390),1))</f>
        <v/>
      </c>
    </row>
    <row r="391" customFormat="false" ht="15" hidden="false" customHeight="false" outlineLevel="0" collapsed="false">
      <c r="A391" s="33"/>
      <c r="B391" s="27"/>
      <c r="C391" s="27"/>
      <c r="D391" s="34"/>
      <c r="E391" s="27"/>
      <c r="F391" s="28" t="str">
        <f aca="false">IF(C391="","",IFERROR(INDEX(Settings!$C$8:$C$19,MATCH(C391,Settings!$B$8:$B$19,0)),"?"))</f>
        <v/>
      </c>
      <c r="G391" s="35" t="str">
        <f aca="false">IF(A391="","",DATE(YEAR(A391),MONTH(A391),1))</f>
        <v/>
      </c>
    </row>
    <row r="392" customFormat="false" ht="15" hidden="false" customHeight="false" outlineLevel="0" collapsed="false">
      <c r="A392" s="33"/>
      <c r="B392" s="27"/>
      <c r="C392" s="27"/>
      <c r="D392" s="34"/>
      <c r="E392" s="27"/>
      <c r="F392" s="28" t="str">
        <f aca="false">IF(C392="","",IFERROR(INDEX(Settings!$C$8:$C$19,MATCH(C392,Settings!$B$8:$B$19,0)),"?"))</f>
        <v/>
      </c>
      <c r="G392" s="35" t="str">
        <f aca="false">IF(A392="","",DATE(YEAR(A392),MONTH(A392),1))</f>
        <v/>
      </c>
    </row>
    <row r="393" customFormat="false" ht="15" hidden="false" customHeight="false" outlineLevel="0" collapsed="false">
      <c r="A393" s="33"/>
      <c r="B393" s="27"/>
      <c r="C393" s="27"/>
      <c r="D393" s="34"/>
      <c r="E393" s="27"/>
      <c r="F393" s="28" t="str">
        <f aca="false">IF(C393="","",IFERROR(INDEX(Settings!$C$8:$C$19,MATCH(C393,Settings!$B$8:$B$19,0)),"?"))</f>
        <v/>
      </c>
      <c r="G393" s="35" t="str">
        <f aca="false">IF(A393="","",DATE(YEAR(A393),MONTH(A393),1))</f>
        <v/>
      </c>
    </row>
    <row r="394" customFormat="false" ht="15" hidden="false" customHeight="false" outlineLevel="0" collapsed="false">
      <c r="A394" s="33"/>
      <c r="B394" s="27"/>
      <c r="C394" s="27"/>
      <c r="D394" s="34"/>
      <c r="E394" s="27"/>
      <c r="F394" s="28" t="str">
        <f aca="false">IF(C394="","",IFERROR(INDEX(Settings!$C$8:$C$19,MATCH(C394,Settings!$B$8:$B$19,0)),"?"))</f>
        <v/>
      </c>
      <c r="G394" s="35" t="str">
        <f aca="false">IF(A394="","",DATE(YEAR(A394),MONTH(A394),1))</f>
        <v/>
      </c>
    </row>
    <row r="395" customFormat="false" ht="15" hidden="false" customHeight="false" outlineLevel="0" collapsed="false">
      <c r="A395" s="33"/>
      <c r="B395" s="27"/>
      <c r="C395" s="27"/>
      <c r="D395" s="34"/>
      <c r="E395" s="27"/>
      <c r="F395" s="28" t="str">
        <f aca="false">IF(C395="","",IFERROR(INDEX(Settings!$C$8:$C$19,MATCH(C395,Settings!$B$8:$B$19,0)),"?"))</f>
        <v/>
      </c>
      <c r="G395" s="35" t="str">
        <f aca="false">IF(A395="","",DATE(YEAR(A395),MONTH(A395),1))</f>
        <v/>
      </c>
    </row>
    <row r="396" customFormat="false" ht="15" hidden="false" customHeight="false" outlineLevel="0" collapsed="false">
      <c r="A396" s="33"/>
      <c r="B396" s="27"/>
      <c r="C396" s="27"/>
      <c r="D396" s="34"/>
      <c r="E396" s="27"/>
      <c r="F396" s="28" t="str">
        <f aca="false">IF(C396="","",IFERROR(INDEX(Settings!$C$8:$C$19,MATCH(C396,Settings!$B$8:$B$19,0)),"?"))</f>
        <v/>
      </c>
      <c r="G396" s="35" t="str">
        <f aca="false">IF(A396="","",DATE(YEAR(A396),MONTH(A396),1))</f>
        <v/>
      </c>
    </row>
    <row r="397" customFormat="false" ht="15" hidden="false" customHeight="false" outlineLevel="0" collapsed="false">
      <c r="A397" s="33"/>
      <c r="B397" s="27"/>
      <c r="C397" s="27"/>
      <c r="D397" s="34"/>
      <c r="E397" s="27"/>
      <c r="F397" s="28" t="str">
        <f aca="false">IF(C397="","",IFERROR(INDEX(Settings!$C$8:$C$19,MATCH(C397,Settings!$B$8:$B$19,0)),"?"))</f>
        <v/>
      </c>
      <c r="G397" s="35" t="str">
        <f aca="false">IF(A397="","",DATE(YEAR(A397),MONTH(A397),1))</f>
        <v/>
      </c>
    </row>
    <row r="398" customFormat="false" ht="15" hidden="false" customHeight="false" outlineLevel="0" collapsed="false">
      <c r="A398" s="33"/>
      <c r="B398" s="27"/>
      <c r="C398" s="27"/>
      <c r="D398" s="34"/>
      <c r="E398" s="27"/>
      <c r="F398" s="28" t="str">
        <f aca="false">IF(C398="","",IFERROR(INDEX(Settings!$C$8:$C$19,MATCH(C398,Settings!$B$8:$B$19,0)),"?"))</f>
        <v/>
      </c>
      <c r="G398" s="35" t="str">
        <f aca="false">IF(A398="","",DATE(YEAR(A398),MONTH(A398),1))</f>
        <v/>
      </c>
    </row>
    <row r="399" customFormat="false" ht="15" hidden="false" customHeight="false" outlineLevel="0" collapsed="false">
      <c r="A399" s="33"/>
      <c r="B399" s="27"/>
      <c r="C399" s="27"/>
      <c r="D399" s="34"/>
      <c r="E399" s="27"/>
      <c r="F399" s="28" t="str">
        <f aca="false">IF(C399="","",IFERROR(INDEX(Settings!$C$8:$C$19,MATCH(C399,Settings!$B$8:$B$19,0)),"?"))</f>
        <v/>
      </c>
      <c r="G399" s="35" t="str">
        <f aca="false">IF(A399="","",DATE(YEAR(A399),MONTH(A399),1))</f>
        <v/>
      </c>
    </row>
    <row r="400" customFormat="false" ht="15" hidden="false" customHeight="false" outlineLevel="0" collapsed="false">
      <c r="A400" s="33"/>
      <c r="B400" s="27"/>
      <c r="C400" s="27"/>
      <c r="D400" s="34"/>
      <c r="E400" s="27"/>
      <c r="F400" s="28" t="str">
        <f aca="false">IF(C400="","",IFERROR(INDEX(Settings!$C$8:$C$19,MATCH(C400,Settings!$B$8:$B$19,0)),"?"))</f>
        <v/>
      </c>
      <c r="G400" s="35" t="str">
        <f aca="false">IF(A400="","",DATE(YEAR(A400),MONTH(A400),1))</f>
        <v/>
      </c>
    </row>
    <row r="401" customFormat="false" ht="15" hidden="false" customHeight="false" outlineLevel="0" collapsed="false">
      <c r="A401" s="33"/>
      <c r="B401" s="27"/>
      <c r="C401" s="27"/>
      <c r="D401" s="34"/>
      <c r="E401" s="27"/>
      <c r="F401" s="28" t="str">
        <f aca="false">IF(C401="","",IFERROR(INDEX(Settings!$C$8:$C$19,MATCH(C401,Settings!$B$8:$B$19,0)),"?"))</f>
        <v/>
      </c>
      <c r="G401" s="35" t="str">
        <f aca="false">IF(A401="","",DATE(YEAR(A401),MONTH(A401),1))</f>
        <v/>
      </c>
    </row>
    <row r="402" customFormat="false" ht="15" hidden="false" customHeight="false" outlineLevel="0" collapsed="false">
      <c r="A402" s="33"/>
      <c r="B402" s="27"/>
      <c r="C402" s="27"/>
      <c r="D402" s="34"/>
      <c r="E402" s="27"/>
      <c r="F402" s="28" t="str">
        <f aca="false">IF(C402="","",IFERROR(INDEX(Settings!$C$8:$C$19,MATCH(C402,Settings!$B$8:$B$19,0)),"?"))</f>
        <v/>
      </c>
      <c r="G402" s="35" t="str">
        <f aca="false">IF(A402="","",DATE(YEAR(A402),MONTH(A402),1))</f>
        <v/>
      </c>
    </row>
    <row r="403" customFormat="false" ht="15" hidden="false" customHeight="false" outlineLevel="0" collapsed="false">
      <c r="A403" s="33"/>
      <c r="B403" s="27"/>
      <c r="C403" s="27"/>
      <c r="D403" s="34"/>
      <c r="E403" s="27"/>
      <c r="F403" s="28" t="str">
        <f aca="false">IF(C403="","",IFERROR(INDEX(Settings!$C$8:$C$19,MATCH(C403,Settings!$B$8:$B$19,0)),"?"))</f>
        <v/>
      </c>
      <c r="G403" s="35" t="str">
        <f aca="false">IF(A403="","",DATE(YEAR(A403),MONTH(A403),1))</f>
        <v/>
      </c>
    </row>
    <row r="404" customFormat="false" ht="15" hidden="false" customHeight="false" outlineLevel="0" collapsed="false">
      <c r="A404" s="33"/>
      <c r="B404" s="27"/>
      <c r="C404" s="27"/>
      <c r="D404" s="34"/>
      <c r="E404" s="27"/>
      <c r="F404" s="28" t="str">
        <f aca="false">IF(C404="","",IFERROR(INDEX(Settings!$C$8:$C$19,MATCH(C404,Settings!$B$8:$B$19,0)),"?"))</f>
        <v/>
      </c>
      <c r="G404" s="35" t="str">
        <f aca="false">IF(A404="","",DATE(YEAR(A404),MONTH(A404),1))</f>
        <v/>
      </c>
    </row>
    <row r="405" customFormat="false" ht="15" hidden="false" customHeight="false" outlineLevel="0" collapsed="false">
      <c r="A405" s="33"/>
      <c r="B405" s="27"/>
      <c r="C405" s="27"/>
      <c r="D405" s="34"/>
      <c r="E405" s="27"/>
      <c r="F405" s="28" t="str">
        <f aca="false">IF(C405="","",IFERROR(INDEX(Settings!$C$8:$C$19,MATCH(C405,Settings!$B$8:$B$19,0)),"?"))</f>
        <v/>
      </c>
      <c r="G405" s="35" t="str">
        <f aca="false">IF(A405="","",DATE(YEAR(A405),MONTH(A405),1))</f>
        <v/>
      </c>
    </row>
    <row r="406" customFormat="false" ht="15" hidden="false" customHeight="false" outlineLevel="0" collapsed="false">
      <c r="A406" s="33"/>
      <c r="B406" s="27"/>
      <c r="C406" s="27"/>
      <c r="D406" s="34"/>
      <c r="E406" s="27"/>
      <c r="F406" s="28" t="str">
        <f aca="false">IF(C406="","",IFERROR(INDEX(Settings!$C$8:$C$19,MATCH(C406,Settings!$B$8:$B$19,0)),"?"))</f>
        <v/>
      </c>
      <c r="G406" s="35" t="str">
        <f aca="false">IF(A406="","",DATE(YEAR(A406),MONTH(A406),1))</f>
        <v/>
      </c>
    </row>
    <row r="407" customFormat="false" ht="15" hidden="false" customHeight="false" outlineLevel="0" collapsed="false">
      <c r="A407" s="33"/>
      <c r="B407" s="27"/>
      <c r="C407" s="27"/>
      <c r="D407" s="34"/>
      <c r="E407" s="27"/>
      <c r="F407" s="28" t="str">
        <f aca="false">IF(C407="","",IFERROR(INDEX(Settings!$C$8:$C$19,MATCH(C407,Settings!$B$8:$B$19,0)),"?"))</f>
        <v/>
      </c>
      <c r="G407" s="35" t="str">
        <f aca="false">IF(A407="","",DATE(YEAR(A407),MONTH(A407),1))</f>
        <v/>
      </c>
    </row>
    <row r="408" customFormat="false" ht="15" hidden="false" customHeight="false" outlineLevel="0" collapsed="false">
      <c r="A408" s="33"/>
      <c r="B408" s="27"/>
      <c r="C408" s="27"/>
      <c r="D408" s="34"/>
      <c r="E408" s="27"/>
      <c r="F408" s="28" t="str">
        <f aca="false">IF(C408="","",IFERROR(INDEX(Settings!$C$8:$C$19,MATCH(C408,Settings!$B$8:$B$19,0)),"?"))</f>
        <v/>
      </c>
      <c r="G408" s="35" t="str">
        <f aca="false">IF(A408="","",DATE(YEAR(A408),MONTH(A408),1))</f>
        <v/>
      </c>
    </row>
    <row r="409" customFormat="false" ht="15" hidden="false" customHeight="false" outlineLevel="0" collapsed="false">
      <c r="A409" s="33"/>
      <c r="B409" s="27"/>
      <c r="C409" s="27"/>
      <c r="D409" s="34"/>
      <c r="E409" s="27"/>
      <c r="F409" s="28" t="str">
        <f aca="false">IF(C409="","",IFERROR(INDEX(Settings!$C$8:$C$19,MATCH(C409,Settings!$B$8:$B$19,0)),"?"))</f>
        <v/>
      </c>
      <c r="G409" s="35" t="str">
        <f aca="false">IF(A409="","",DATE(YEAR(A409),MONTH(A409),1))</f>
        <v/>
      </c>
    </row>
    <row r="410" customFormat="false" ht="15" hidden="false" customHeight="false" outlineLevel="0" collapsed="false">
      <c r="A410" s="33"/>
      <c r="B410" s="27"/>
      <c r="C410" s="27"/>
      <c r="D410" s="34"/>
      <c r="E410" s="27"/>
      <c r="F410" s="28" t="str">
        <f aca="false">IF(C410="","",IFERROR(INDEX(Settings!$C$8:$C$19,MATCH(C410,Settings!$B$8:$B$19,0)),"?"))</f>
        <v/>
      </c>
      <c r="G410" s="35" t="str">
        <f aca="false">IF(A410="","",DATE(YEAR(A410),MONTH(A410),1))</f>
        <v/>
      </c>
    </row>
    <row r="411" customFormat="false" ht="15" hidden="false" customHeight="false" outlineLevel="0" collapsed="false">
      <c r="A411" s="33"/>
      <c r="B411" s="27"/>
      <c r="C411" s="27"/>
      <c r="D411" s="34"/>
      <c r="E411" s="27"/>
      <c r="F411" s="28" t="str">
        <f aca="false">IF(C411="","",IFERROR(INDEX(Settings!$C$8:$C$19,MATCH(C411,Settings!$B$8:$B$19,0)),"?"))</f>
        <v/>
      </c>
      <c r="G411" s="35" t="str">
        <f aca="false">IF(A411="","",DATE(YEAR(A411),MONTH(A411),1))</f>
        <v/>
      </c>
    </row>
    <row r="412" customFormat="false" ht="15" hidden="false" customHeight="false" outlineLevel="0" collapsed="false">
      <c r="A412" s="33"/>
      <c r="B412" s="27"/>
      <c r="C412" s="27"/>
      <c r="D412" s="34"/>
      <c r="E412" s="27"/>
      <c r="F412" s="28" t="str">
        <f aca="false">IF(C412="","",IFERROR(INDEX(Settings!$C$8:$C$19,MATCH(C412,Settings!$B$8:$B$19,0)),"?"))</f>
        <v/>
      </c>
      <c r="G412" s="35" t="str">
        <f aca="false">IF(A412="","",DATE(YEAR(A412),MONTH(A412),1))</f>
        <v/>
      </c>
    </row>
    <row r="413" customFormat="false" ht="15" hidden="false" customHeight="false" outlineLevel="0" collapsed="false">
      <c r="A413" s="33"/>
      <c r="B413" s="27"/>
      <c r="C413" s="27"/>
      <c r="D413" s="34"/>
      <c r="E413" s="27"/>
      <c r="F413" s="28" t="str">
        <f aca="false">IF(C413="","",IFERROR(INDEX(Settings!$C$8:$C$19,MATCH(C413,Settings!$B$8:$B$19,0)),"?"))</f>
        <v/>
      </c>
      <c r="G413" s="35" t="str">
        <f aca="false">IF(A413="","",DATE(YEAR(A413),MONTH(A413),1))</f>
        <v/>
      </c>
    </row>
    <row r="414" customFormat="false" ht="15" hidden="false" customHeight="false" outlineLevel="0" collapsed="false">
      <c r="A414" s="33"/>
      <c r="B414" s="27"/>
      <c r="C414" s="27"/>
      <c r="D414" s="34"/>
      <c r="E414" s="27"/>
      <c r="F414" s="28" t="str">
        <f aca="false">IF(C414="","",IFERROR(INDEX(Settings!$C$8:$C$19,MATCH(C414,Settings!$B$8:$B$19,0)),"?"))</f>
        <v/>
      </c>
      <c r="G414" s="35" t="str">
        <f aca="false">IF(A414="","",DATE(YEAR(A414),MONTH(A414),1))</f>
        <v/>
      </c>
    </row>
    <row r="415" customFormat="false" ht="15" hidden="false" customHeight="false" outlineLevel="0" collapsed="false">
      <c r="A415" s="33"/>
      <c r="B415" s="27"/>
      <c r="C415" s="27"/>
      <c r="D415" s="34"/>
      <c r="E415" s="27"/>
      <c r="F415" s="28" t="str">
        <f aca="false">IF(C415="","",IFERROR(INDEX(Settings!$C$8:$C$19,MATCH(C415,Settings!$B$8:$B$19,0)),"?"))</f>
        <v/>
      </c>
      <c r="G415" s="35" t="str">
        <f aca="false">IF(A415="","",DATE(YEAR(A415),MONTH(A415),1))</f>
        <v/>
      </c>
    </row>
    <row r="416" customFormat="false" ht="15" hidden="false" customHeight="false" outlineLevel="0" collapsed="false">
      <c r="A416" s="33"/>
      <c r="B416" s="27"/>
      <c r="C416" s="27"/>
      <c r="D416" s="34"/>
      <c r="E416" s="27"/>
      <c r="F416" s="28" t="str">
        <f aca="false">IF(C416="","",IFERROR(INDEX(Settings!$C$8:$C$19,MATCH(C416,Settings!$B$8:$B$19,0)),"?"))</f>
        <v/>
      </c>
      <c r="G416" s="35" t="str">
        <f aca="false">IF(A416="","",DATE(YEAR(A416),MONTH(A416),1))</f>
        <v/>
      </c>
    </row>
    <row r="417" customFormat="false" ht="15" hidden="false" customHeight="false" outlineLevel="0" collapsed="false">
      <c r="A417" s="33"/>
      <c r="B417" s="27"/>
      <c r="C417" s="27"/>
      <c r="D417" s="34"/>
      <c r="E417" s="27"/>
      <c r="F417" s="28" t="str">
        <f aca="false">IF(C417="","",IFERROR(INDEX(Settings!$C$8:$C$19,MATCH(C417,Settings!$B$8:$B$19,0)),"?"))</f>
        <v/>
      </c>
      <c r="G417" s="35" t="str">
        <f aca="false">IF(A417="","",DATE(YEAR(A417),MONTH(A417),1))</f>
        <v/>
      </c>
    </row>
    <row r="418" customFormat="false" ht="15" hidden="false" customHeight="false" outlineLevel="0" collapsed="false">
      <c r="A418" s="33"/>
      <c r="B418" s="27"/>
      <c r="C418" s="27"/>
      <c r="D418" s="34"/>
      <c r="E418" s="27"/>
      <c r="F418" s="28" t="str">
        <f aca="false">IF(C418="","",IFERROR(INDEX(Settings!$C$8:$C$19,MATCH(C418,Settings!$B$8:$B$19,0)),"?"))</f>
        <v/>
      </c>
      <c r="G418" s="35" t="str">
        <f aca="false">IF(A418="","",DATE(YEAR(A418),MONTH(A418),1))</f>
        <v/>
      </c>
    </row>
    <row r="419" customFormat="false" ht="15" hidden="false" customHeight="false" outlineLevel="0" collapsed="false">
      <c r="A419" s="33"/>
      <c r="B419" s="27"/>
      <c r="C419" s="27"/>
      <c r="D419" s="34"/>
      <c r="E419" s="27"/>
      <c r="F419" s="28" t="str">
        <f aca="false">IF(C419="","",IFERROR(INDEX(Settings!$C$8:$C$19,MATCH(C419,Settings!$B$8:$B$19,0)),"?"))</f>
        <v/>
      </c>
      <c r="G419" s="35" t="str">
        <f aca="false">IF(A419="","",DATE(YEAR(A419),MONTH(A419),1))</f>
        <v/>
      </c>
    </row>
    <row r="420" customFormat="false" ht="15" hidden="false" customHeight="false" outlineLevel="0" collapsed="false">
      <c r="A420" s="33"/>
      <c r="B420" s="27"/>
      <c r="C420" s="27"/>
      <c r="D420" s="34"/>
      <c r="E420" s="27"/>
      <c r="F420" s="28" t="str">
        <f aca="false">IF(C420="","",IFERROR(INDEX(Settings!$C$8:$C$19,MATCH(C420,Settings!$B$8:$B$19,0)),"?"))</f>
        <v/>
      </c>
      <c r="G420" s="35" t="str">
        <f aca="false">IF(A420="","",DATE(YEAR(A420),MONTH(A420),1))</f>
        <v/>
      </c>
    </row>
    <row r="421" customFormat="false" ht="15" hidden="false" customHeight="false" outlineLevel="0" collapsed="false">
      <c r="A421" s="33"/>
      <c r="B421" s="27"/>
      <c r="C421" s="27"/>
      <c r="D421" s="34"/>
      <c r="E421" s="27"/>
      <c r="F421" s="28" t="str">
        <f aca="false">IF(C421="","",IFERROR(INDEX(Settings!$C$8:$C$19,MATCH(C421,Settings!$B$8:$B$19,0)),"?"))</f>
        <v/>
      </c>
      <c r="G421" s="35" t="str">
        <f aca="false">IF(A421="","",DATE(YEAR(A421),MONTH(A421),1))</f>
        <v/>
      </c>
    </row>
    <row r="422" customFormat="false" ht="15" hidden="false" customHeight="false" outlineLevel="0" collapsed="false">
      <c r="A422" s="33"/>
      <c r="B422" s="27"/>
      <c r="C422" s="27"/>
      <c r="D422" s="34"/>
      <c r="E422" s="27"/>
      <c r="F422" s="28" t="str">
        <f aca="false">IF(C422="","",IFERROR(INDEX(Settings!$C$8:$C$19,MATCH(C422,Settings!$B$8:$B$19,0)),"?"))</f>
        <v/>
      </c>
      <c r="G422" s="35" t="str">
        <f aca="false">IF(A422="","",DATE(YEAR(A422),MONTH(A422),1))</f>
        <v/>
      </c>
    </row>
    <row r="423" customFormat="false" ht="15" hidden="false" customHeight="false" outlineLevel="0" collapsed="false">
      <c r="A423" s="33"/>
      <c r="B423" s="27"/>
      <c r="C423" s="27"/>
      <c r="D423" s="34"/>
      <c r="E423" s="27"/>
      <c r="F423" s="28" t="str">
        <f aca="false">IF(C423="","",IFERROR(INDEX(Settings!$C$8:$C$19,MATCH(C423,Settings!$B$8:$B$19,0)),"?"))</f>
        <v/>
      </c>
      <c r="G423" s="35" t="str">
        <f aca="false">IF(A423="","",DATE(YEAR(A423),MONTH(A423),1))</f>
        <v/>
      </c>
    </row>
    <row r="424" customFormat="false" ht="15" hidden="false" customHeight="false" outlineLevel="0" collapsed="false">
      <c r="A424" s="33"/>
      <c r="B424" s="27"/>
      <c r="C424" s="27"/>
      <c r="D424" s="34"/>
      <c r="E424" s="27"/>
      <c r="F424" s="28" t="str">
        <f aca="false">IF(C424="","",IFERROR(INDEX(Settings!$C$8:$C$19,MATCH(C424,Settings!$B$8:$B$19,0)),"?"))</f>
        <v/>
      </c>
      <c r="G424" s="35" t="str">
        <f aca="false">IF(A424="","",DATE(YEAR(A424),MONTH(A424),1))</f>
        <v/>
      </c>
    </row>
    <row r="425" customFormat="false" ht="15" hidden="false" customHeight="false" outlineLevel="0" collapsed="false">
      <c r="A425" s="33"/>
      <c r="B425" s="27"/>
      <c r="C425" s="27"/>
      <c r="D425" s="34"/>
      <c r="E425" s="27"/>
      <c r="F425" s="28" t="str">
        <f aca="false">IF(C425="","",IFERROR(INDEX(Settings!$C$8:$C$19,MATCH(C425,Settings!$B$8:$B$19,0)),"?"))</f>
        <v/>
      </c>
      <c r="G425" s="35" t="str">
        <f aca="false">IF(A425="","",DATE(YEAR(A425),MONTH(A425),1))</f>
        <v/>
      </c>
    </row>
    <row r="426" customFormat="false" ht="15" hidden="false" customHeight="false" outlineLevel="0" collapsed="false">
      <c r="A426" s="33"/>
      <c r="B426" s="27"/>
      <c r="C426" s="27"/>
      <c r="D426" s="34"/>
      <c r="E426" s="27"/>
      <c r="F426" s="28" t="str">
        <f aca="false">IF(C426="","",IFERROR(INDEX(Settings!$C$8:$C$19,MATCH(C426,Settings!$B$8:$B$19,0)),"?"))</f>
        <v/>
      </c>
      <c r="G426" s="35" t="str">
        <f aca="false">IF(A426="","",DATE(YEAR(A426),MONTH(A426),1))</f>
        <v/>
      </c>
    </row>
    <row r="427" customFormat="false" ht="15" hidden="false" customHeight="false" outlineLevel="0" collapsed="false">
      <c r="A427" s="33"/>
      <c r="B427" s="27"/>
      <c r="C427" s="27"/>
      <c r="D427" s="34"/>
      <c r="E427" s="27"/>
      <c r="F427" s="28" t="str">
        <f aca="false">IF(C427="","",IFERROR(INDEX(Settings!$C$8:$C$19,MATCH(C427,Settings!$B$8:$B$19,0)),"?"))</f>
        <v/>
      </c>
      <c r="G427" s="35" t="str">
        <f aca="false">IF(A427="","",DATE(YEAR(A427),MONTH(A427),1))</f>
        <v/>
      </c>
    </row>
    <row r="428" customFormat="false" ht="15" hidden="false" customHeight="false" outlineLevel="0" collapsed="false">
      <c r="A428" s="33"/>
      <c r="B428" s="27"/>
      <c r="C428" s="27"/>
      <c r="D428" s="34"/>
      <c r="E428" s="27"/>
      <c r="F428" s="28" t="str">
        <f aca="false">IF(C428="","",IFERROR(INDEX(Settings!$C$8:$C$19,MATCH(C428,Settings!$B$8:$B$19,0)),"?"))</f>
        <v/>
      </c>
      <c r="G428" s="35" t="str">
        <f aca="false">IF(A428="","",DATE(YEAR(A428),MONTH(A428),1))</f>
        <v/>
      </c>
    </row>
    <row r="429" customFormat="false" ht="15" hidden="false" customHeight="false" outlineLevel="0" collapsed="false">
      <c r="A429" s="33"/>
      <c r="B429" s="27"/>
      <c r="C429" s="27"/>
      <c r="D429" s="34"/>
      <c r="E429" s="27"/>
      <c r="F429" s="28" t="str">
        <f aca="false">IF(C429="","",IFERROR(INDEX(Settings!$C$8:$C$19,MATCH(C429,Settings!$B$8:$B$19,0)),"?"))</f>
        <v/>
      </c>
      <c r="G429" s="35" t="str">
        <f aca="false">IF(A429="","",DATE(YEAR(A429),MONTH(A429),1))</f>
        <v/>
      </c>
    </row>
    <row r="430" customFormat="false" ht="15" hidden="false" customHeight="false" outlineLevel="0" collapsed="false">
      <c r="A430" s="33"/>
      <c r="B430" s="27"/>
      <c r="C430" s="27"/>
      <c r="D430" s="34"/>
      <c r="E430" s="27"/>
      <c r="F430" s="28" t="str">
        <f aca="false">IF(C430="","",IFERROR(INDEX(Settings!$C$8:$C$19,MATCH(C430,Settings!$B$8:$B$19,0)),"?"))</f>
        <v/>
      </c>
      <c r="G430" s="35" t="str">
        <f aca="false">IF(A430="","",DATE(YEAR(A430),MONTH(A430),1))</f>
        <v/>
      </c>
    </row>
    <row r="431" customFormat="false" ht="15" hidden="false" customHeight="false" outlineLevel="0" collapsed="false">
      <c r="A431" s="33"/>
      <c r="B431" s="27"/>
      <c r="C431" s="27"/>
      <c r="D431" s="34"/>
      <c r="E431" s="27"/>
      <c r="F431" s="28" t="str">
        <f aca="false">IF(C431="","",IFERROR(INDEX(Settings!$C$8:$C$19,MATCH(C431,Settings!$B$8:$B$19,0)),"?"))</f>
        <v/>
      </c>
      <c r="G431" s="35" t="str">
        <f aca="false">IF(A431="","",DATE(YEAR(A431),MONTH(A431),1))</f>
        <v/>
      </c>
    </row>
    <row r="432" customFormat="false" ht="15" hidden="false" customHeight="false" outlineLevel="0" collapsed="false">
      <c r="A432" s="33"/>
      <c r="B432" s="27"/>
      <c r="C432" s="27"/>
      <c r="D432" s="34"/>
      <c r="E432" s="27"/>
      <c r="F432" s="28" t="str">
        <f aca="false">IF(C432="","",IFERROR(INDEX(Settings!$C$8:$C$19,MATCH(C432,Settings!$B$8:$B$19,0)),"?"))</f>
        <v/>
      </c>
      <c r="G432" s="35" t="str">
        <f aca="false">IF(A432="","",DATE(YEAR(A432),MONTH(A432),1))</f>
        <v/>
      </c>
    </row>
    <row r="433" customFormat="false" ht="15" hidden="false" customHeight="false" outlineLevel="0" collapsed="false">
      <c r="A433" s="33"/>
      <c r="B433" s="27"/>
      <c r="C433" s="27"/>
      <c r="D433" s="34"/>
      <c r="E433" s="27"/>
      <c r="F433" s="28" t="str">
        <f aca="false">IF(C433="","",IFERROR(INDEX(Settings!$C$8:$C$19,MATCH(C433,Settings!$B$8:$B$19,0)),"?"))</f>
        <v/>
      </c>
      <c r="G433" s="35" t="str">
        <f aca="false">IF(A433="","",DATE(YEAR(A433),MONTH(A433),1))</f>
        <v/>
      </c>
    </row>
    <row r="434" customFormat="false" ht="15" hidden="false" customHeight="false" outlineLevel="0" collapsed="false">
      <c r="A434" s="33"/>
      <c r="B434" s="27"/>
      <c r="C434" s="27"/>
      <c r="D434" s="34"/>
      <c r="E434" s="27"/>
      <c r="F434" s="28" t="str">
        <f aca="false">IF(C434="","",IFERROR(INDEX(Settings!$C$8:$C$19,MATCH(C434,Settings!$B$8:$B$19,0)),"?"))</f>
        <v/>
      </c>
      <c r="G434" s="35" t="str">
        <f aca="false">IF(A434="","",DATE(YEAR(A434),MONTH(A434),1))</f>
        <v/>
      </c>
    </row>
    <row r="435" customFormat="false" ht="15" hidden="false" customHeight="false" outlineLevel="0" collapsed="false">
      <c r="A435" s="33"/>
      <c r="B435" s="27"/>
      <c r="C435" s="27"/>
      <c r="D435" s="34"/>
      <c r="E435" s="27"/>
      <c r="F435" s="28" t="str">
        <f aca="false">IF(C435="","",IFERROR(INDEX(Settings!$C$8:$C$19,MATCH(C435,Settings!$B$8:$B$19,0)),"?"))</f>
        <v/>
      </c>
      <c r="G435" s="35" t="str">
        <f aca="false">IF(A435="","",DATE(YEAR(A435),MONTH(A435),1))</f>
        <v/>
      </c>
    </row>
    <row r="436" customFormat="false" ht="15" hidden="false" customHeight="false" outlineLevel="0" collapsed="false">
      <c r="A436" s="33"/>
      <c r="B436" s="27"/>
      <c r="C436" s="27"/>
      <c r="D436" s="34"/>
      <c r="E436" s="27"/>
      <c r="F436" s="28" t="str">
        <f aca="false">IF(C436="","",IFERROR(INDEX(Settings!$C$8:$C$19,MATCH(C436,Settings!$B$8:$B$19,0)),"?"))</f>
        <v/>
      </c>
      <c r="G436" s="35" t="str">
        <f aca="false">IF(A436="","",DATE(YEAR(A436),MONTH(A436),1))</f>
        <v/>
      </c>
    </row>
    <row r="437" customFormat="false" ht="15" hidden="false" customHeight="false" outlineLevel="0" collapsed="false">
      <c r="A437" s="33"/>
      <c r="B437" s="27"/>
      <c r="C437" s="27"/>
      <c r="D437" s="34"/>
      <c r="E437" s="27"/>
      <c r="F437" s="28" t="str">
        <f aca="false">IF(C437="","",IFERROR(INDEX(Settings!$C$8:$C$19,MATCH(C437,Settings!$B$8:$B$19,0)),"?"))</f>
        <v/>
      </c>
      <c r="G437" s="35" t="str">
        <f aca="false">IF(A437="","",DATE(YEAR(A437),MONTH(A437),1))</f>
        <v/>
      </c>
    </row>
    <row r="438" customFormat="false" ht="15" hidden="false" customHeight="false" outlineLevel="0" collapsed="false">
      <c r="A438" s="33"/>
      <c r="B438" s="27"/>
      <c r="C438" s="27"/>
      <c r="D438" s="34"/>
      <c r="E438" s="27"/>
      <c r="F438" s="28" t="str">
        <f aca="false">IF(C438="","",IFERROR(INDEX(Settings!$C$8:$C$19,MATCH(C438,Settings!$B$8:$B$19,0)),"?"))</f>
        <v/>
      </c>
      <c r="G438" s="35" t="str">
        <f aca="false">IF(A438="","",DATE(YEAR(A438),MONTH(A438),1))</f>
        <v/>
      </c>
    </row>
    <row r="439" customFormat="false" ht="15" hidden="false" customHeight="false" outlineLevel="0" collapsed="false">
      <c r="A439" s="33"/>
      <c r="B439" s="27"/>
      <c r="C439" s="27"/>
      <c r="D439" s="34"/>
      <c r="E439" s="27"/>
      <c r="F439" s="28" t="str">
        <f aca="false">IF(C439="","",IFERROR(INDEX(Settings!$C$8:$C$19,MATCH(C439,Settings!$B$8:$B$19,0)),"?"))</f>
        <v/>
      </c>
      <c r="G439" s="35" t="str">
        <f aca="false">IF(A439="","",DATE(YEAR(A439),MONTH(A439),1))</f>
        <v/>
      </c>
    </row>
    <row r="440" customFormat="false" ht="15" hidden="false" customHeight="false" outlineLevel="0" collapsed="false">
      <c r="A440" s="33"/>
      <c r="B440" s="27"/>
      <c r="C440" s="27"/>
      <c r="D440" s="34"/>
      <c r="E440" s="27"/>
      <c r="F440" s="28" t="str">
        <f aca="false">IF(C440="","",IFERROR(INDEX(Settings!$C$8:$C$19,MATCH(C440,Settings!$B$8:$B$19,0)),"?"))</f>
        <v/>
      </c>
      <c r="G440" s="35" t="str">
        <f aca="false">IF(A440="","",DATE(YEAR(A440),MONTH(A440),1))</f>
        <v/>
      </c>
    </row>
    <row r="441" customFormat="false" ht="15" hidden="false" customHeight="false" outlineLevel="0" collapsed="false">
      <c r="A441" s="33"/>
      <c r="B441" s="27"/>
      <c r="C441" s="27"/>
      <c r="D441" s="34"/>
      <c r="E441" s="27"/>
      <c r="F441" s="28" t="str">
        <f aca="false">IF(C441="","",IFERROR(INDEX(Settings!$C$8:$C$19,MATCH(C441,Settings!$B$8:$B$19,0)),"?"))</f>
        <v/>
      </c>
      <c r="G441" s="35" t="str">
        <f aca="false">IF(A441="","",DATE(YEAR(A441),MONTH(A441),1))</f>
        <v/>
      </c>
    </row>
    <row r="442" customFormat="false" ht="15" hidden="false" customHeight="false" outlineLevel="0" collapsed="false">
      <c r="A442" s="33"/>
      <c r="B442" s="27"/>
      <c r="C442" s="27"/>
      <c r="D442" s="34"/>
      <c r="E442" s="27"/>
      <c r="F442" s="28" t="str">
        <f aca="false">IF(C442="","",IFERROR(INDEX(Settings!$C$8:$C$19,MATCH(C442,Settings!$B$8:$B$19,0)),"?"))</f>
        <v/>
      </c>
      <c r="G442" s="35" t="str">
        <f aca="false">IF(A442="","",DATE(YEAR(A442),MONTH(A442),1))</f>
        <v/>
      </c>
    </row>
    <row r="443" customFormat="false" ht="15" hidden="false" customHeight="false" outlineLevel="0" collapsed="false">
      <c r="A443" s="33"/>
      <c r="B443" s="27"/>
      <c r="C443" s="27"/>
      <c r="D443" s="34"/>
      <c r="E443" s="27"/>
      <c r="F443" s="28" t="str">
        <f aca="false">IF(C443="","",IFERROR(INDEX(Settings!$C$8:$C$19,MATCH(C443,Settings!$B$8:$B$19,0)),"?"))</f>
        <v/>
      </c>
      <c r="G443" s="35" t="str">
        <f aca="false">IF(A443="","",DATE(YEAR(A443),MONTH(A443),1))</f>
        <v/>
      </c>
    </row>
    <row r="444" customFormat="false" ht="15" hidden="false" customHeight="false" outlineLevel="0" collapsed="false">
      <c r="A444" s="33"/>
      <c r="B444" s="27"/>
      <c r="C444" s="27"/>
      <c r="D444" s="34"/>
      <c r="E444" s="27"/>
      <c r="F444" s="28" t="str">
        <f aca="false">IF(C444="","",IFERROR(INDEX(Settings!$C$8:$C$19,MATCH(C444,Settings!$B$8:$B$19,0)),"?"))</f>
        <v/>
      </c>
      <c r="G444" s="35" t="str">
        <f aca="false">IF(A444="","",DATE(YEAR(A444),MONTH(A444),1))</f>
        <v/>
      </c>
    </row>
    <row r="445" customFormat="false" ht="15" hidden="false" customHeight="false" outlineLevel="0" collapsed="false">
      <c r="A445" s="33"/>
      <c r="B445" s="27"/>
      <c r="C445" s="27"/>
      <c r="D445" s="34"/>
      <c r="E445" s="27"/>
      <c r="F445" s="28" t="str">
        <f aca="false">IF(C445="","",IFERROR(INDEX(Settings!$C$8:$C$19,MATCH(C445,Settings!$B$8:$B$19,0)),"?"))</f>
        <v/>
      </c>
      <c r="G445" s="35" t="str">
        <f aca="false">IF(A445="","",DATE(YEAR(A445),MONTH(A445),1))</f>
        <v/>
      </c>
    </row>
    <row r="446" customFormat="false" ht="15" hidden="false" customHeight="false" outlineLevel="0" collapsed="false">
      <c r="A446" s="33"/>
      <c r="B446" s="27"/>
      <c r="C446" s="27"/>
      <c r="D446" s="34"/>
      <c r="E446" s="27"/>
      <c r="F446" s="28" t="str">
        <f aca="false">IF(C446="","",IFERROR(INDEX(Settings!$C$8:$C$19,MATCH(C446,Settings!$B$8:$B$19,0)),"?"))</f>
        <v/>
      </c>
      <c r="G446" s="35" t="str">
        <f aca="false">IF(A446="","",DATE(YEAR(A446),MONTH(A446),1))</f>
        <v/>
      </c>
    </row>
    <row r="447" customFormat="false" ht="15" hidden="false" customHeight="false" outlineLevel="0" collapsed="false">
      <c r="A447" s="33"/>
      <c r="B447" s="27"/>
      <c r="C447" s="27"/>
      <c r="D447" s="34"/>
      <c r="E447" s="27"/>
      <c r="F447" s="28" t="str">
        <f aca="false">IF(C447="","",IFERROR(INDEX(Settings!$C$8:$C$19,MATCH(C447,Settings!$B$8:$B$19,0)),"?"))</f>
        <v/>
      </c>
      <c r="G447" s="35" t="str">
        <f aca="false">IF(A447="","",DATE(YEAR(A447),MONTH(A447),1))</f>
        <v/>
      </c>
    </row>
    <row r="448" customFormat="false" ht="15" hidden="false" customHeight="false" outlineLevel="0" collapsed="false">
      <c r="A448" s="33"/>
      <c r="B448" s="27"/>
      <c r="C448" s="27"/>
      <c r="D448" s="34"/>
      <c r="E448" s="27"/>
      <c r="F448" s="28" t="str">
        <f aca="false">IF(C448="","",IFERROR(INDEX(Settings!$C$8:$C$19,MATCH(C448,Settings!$B$8:$B$19,0)),"?"))</f>
        <v/>
      </c>
      <c r="G448" s="35" t="str">
        <f aca="false">IF(A448="","",DATE(YEAR(A448),MONTH(A448),1))</f>
        <v/>
      </c>
    </row>
    <row r="449" customFormat="false" ht="15" hidden="false" customHeight="false" outlineLevel="0" collapsed="false">
      <c r="A449" s="33"/>
      <c r="B449" s="27"/>
      <c r="C449" s="27"/>
      <c r="D449" s="34"/>
      <c r="E449" s="27"/>
      <c r="F449" s="28" t="str">
        <f aca="false">IF(C449="","",IFERROR(INDEX(Settings!$C$8:$C$19,MATCH(C449,Settings!$B$8:$B$19,0)),"?"))</f>
        <v/>
      </c>
      <c r="G449" s="35" t="str">
        <f aca="false">IF(A449="","",DATE(YEAR(A449),MONTH(A449),1))</f>
        <v/>
      </c>
    </row>
    <row r="450" customFormat="false" ht="15" hidden="false" customHeight="false" outlineLevel="0" collapsed="false">
      <c r="A450" s="33"/>
      <c r="B450" s="27"/>
      <c r="C450" s="27"/>
      <c r="D450" s="34"/>
      <c r="E450" s="27"/>
      <c r="F450" s="28" t="str">
        <f aca="false">IF(C450="","",IFERROR(INDEX(Settings!$C$8:$C$19,MATCH(C450,Settings!$B$8:$B$19,0)),"?"))</f>
        <v/>
      </c>
      <c r="G450" s="35" t="str">
        <f aca="false">IF(A450="","",DATE(YEAR(A450),MONTH(A450),1))</f>
        <v/>
      </c>
    </row>
    <row r="451" customFormat="false" ht="15" hidden="false" customHeight="false" outlineLevel="0" collapsed="false">
      <c r="A451" s="33"/>
      <c r="B451" s="27"/>
      <c r="C451" s="27"/>
      <c r="D451" s="34"/>
      <c r="E451" s="27"/>
      <c r="F451" s="28" t="str">
        <f aca="false">IF(C451="","",IFERROR(INDEX(Settings!$C$8:$C$19,MATCH(C451,Settings!$B$8:$B$19,0)),"?"))</f>
        <v/>
      </c>
      <c r="G451" s="35" t="str">
        <f aca="false">IF(A451="","",DATE(YEAR(A451),MONTH(A451),1))</f>
        <v/>
      </c>
    </row>
    <row r="452" customFormat="false" ht="15" hidden="false" customHeight="false" outlineLevel="0" collapsed="false">
      <c r="A452" s="33"/>
      <c r="B452" s="27"/>
      <c r="C452" s="27"/>
      <c r="D452" s="34"/>
      <c r="E452" s="27"/>
      <c r="F452" s="28" t="str">
        <f aca="false">IF(C452="","",IFERROR(INDEX(Settings!$C$8:$C$19,MATCH(C452,Settings!$B$8:$B$19,0)),"?"))</f>
        <v/>
      </c>
      <c r="G452" s="35" t="str">
        <f aca="false">IF(A452="","",DATE(YEAR(A452),MONTH(A452),1))</f>
        <v/>
      </c>
    </row>
    <row r="453" customFormat="false" ht="15" hidden="false" customHeight="false" outlineLevel="0" collapsed="false">
      <c r="A453" s="33"/>
      <c r="B453" s="27"/>
      <c r="C453" s="27"/>
      <c r="D453" s="34"/>
      <c r="E453" s="27"/>
      <c r="F453" s="28" t="str">
        <f aca="false">IF(C453="","",IFERROR(INDEX(Settings!$C$8:$C$19,MATCH(C453,Settings!$B$8:$B$19,0)),"?"))</f>
        <v/>
      </c>
      <c r="G453" s="35" t="str">
        <f aca="false">IF(A453="","",DATE(YEAR(A453),MONTH(A453),1))</f>
        <v/>
      </c>
    </row>
    <row r="454" customFormat="false" ht="15" hidden="false" customHeight="false" outlineLevel="0" collapsed="false">
      <c r="A454" s="33"/>
      <c r="B454" s="27"/>
      <c r="C454" s="27"/>
      <c r="D454" s="34"/>
      <c r="E454" s="27"/>
      <c r="F454" s="28" t="str">
        <f aca="false">IF(C454="","",IFERROR(INDEX(Settings!$C$8:$C$19,MATCH(C454,Settings!$B$8:$B$19,0)),"?"))</f>
        <v/>
      </c>
      <c r="G454" s="35" t="str">
        <f aca="false">IF(A454="","",DATE(YEAR(A454),MONTH(A454),1))</f>
        <v/>
      </c>
    </row>
    <row r="455" customFormat="false" ht="15" hidden="false" customHeight="false" outlineLevel="0" collapsed="false">
      <c r="A455" s="33"/>
      <c r="B455" s="27"/>
      <c r="C455" s="27"/>
      <c r="D455" s="34"/>
      <c r="E455" s="27"/>
      <c r="F455" s="28" t="str">
        <f aca="false">IF(C455="","",IFERROR(INDEX(Settings!$C$8:$C$19,MATCH(C455,Settings!$B$8:$B$19,0)),"?"))</f>
        <v/>
      </c>
      <c r="G455" s="35" t="str">
        <f aca="false">IF(A455="","",DATE(YEAR(A455),MONTH(A455),1))</f>
        <v/>
      </c>
    </row>
    <row r="456" customFormat="false" ht="15" hidden="false" customHeight="false" outlineLevel="0" collapsed="false">
      <c r="A456" s="33"/>
      <c r="B456" s="27"/>
      <c r="C456" s="27"/>
      <c r="D456" s="34"/>
      <c r="E456" s="27"/>
      <c r="F456" s="28" t="str">
        <f aca="false">IF(C456="","",IFERROR(INDEX(Settings!$C$8:$C$19,MATCH(C456,Settings!$B$8:$B$19,0)),"?"))</f>
        <v/>
      </c>
      <c r="G456" s="35" t="str">
        <f aca="false">IF(A456="","",DATE(YEAR(A456),MONTH(A456),1))</f>
        <v/>
      </c>
    </row>
    <row r="457" customFormat="false" ht="15" hidden="false" customHeight="false" outlineLevel="0" collapsed="false">
      <c r="A457" s="33"/>
      <c r="B457" s="27"/>
      <c r="C457" s="27"/>
      <c r="D457" s="34"/>
      <c r="E457" s="27"/>
      <c r="F457" s="28" t="str">
        <f aca="false">IF(C457="","",IFERROR(INDEX(Settings!$C$8:$C$19,MATCH(C457,Settings!$B$8:$B$19,0)),"?"))</f>
        <v/>
      </c>
      <c r="G457" s="35" t="str">
        <f aca="false">IF(A457="","",DATE(YEAR(A457),MONTH(A457),1))</f>
        <v/>
      </c>
    </row>
    <row r="458" customFormat="false" ht="15" hidden="false" customHeight="false" outlineLevel="0" collapsed="false">
      <c r="A458" s="33"/>
      <c r="B458" s="27"/>
      <c r="C458" s="27"/>
      <c r="D458" s="34"/>
      <c r="E458" s="27"/>
      <c r="F458" s="28" t="str">
        <f aca="false">IF(C458="","",IFERROR(INDEX(Settings!$C$8:$C$19,MATCH(C458,Settings!$B$8:$B$19,0)),"?"))</f>
        <v/>
      </c>
      <c r="G458" s="35" t="str">
        <f aca="false">IF(A458="","",DATE(YEAR(A458),MONTH(A458),1))</f>
        <v/>
      </c>
    </row>
    <row r="459" customFormat="false" ht="15" hidden="false" customHeight="false" outlineLevel="0" collapsed="false">
      <c r="A459" s="33"/>
      <c r="B459" s="27"/>
      <c r="C459" s="27"/>
      <c r="D459" s="34"/>
      <c r="E459" s="27"/>
      <c r="F459" s="28" t="str">
        <f aca="false">IF(C459="","",IFERROR(INDEX(Settings!$C$8:$C$19,MATCH(C459,Settings!$B$8:$B$19,0)),"?"))</f>
        <v/>
      </c>
      <c r="G459" s="35" t="str">
        <f aca="false">IF(A459="","",DATE(YEAR(A459),MONTH(A459),1))</f>
        <v/>
      </c>
    </row>
    <row r="460" customFormat="false" ht="15" hidden="false" customHeight="false" outlineLevel="0" collapsed="false">
      <c r="A460" s="33"/>
      <c r="B460" s="27"/>
      <c r="C460" s="27"/>
      <c r="D460" s="34"/>
      <c r="E460" s="27"/>
      <c r="F460" s="28" t="str">
        <f aca="false">IF(C460="","",IFERROR(INDEX(Settings!$C$8:$C$19,MATCH(C460,Settings!$B$8:$B$19,0)),"?"))</f>
        <v/>
      </c>
      <c r="G460" s="35" t="str">
        <f aca="false">IF(A460="","",DATE(YEAR(A460),MONTH(A460),1))</f>
        <v/>
      </c>
    </row>
    <row r="461" customFormat="false" ht="15" hidden="false" customHeight="false" outlineLevel="0" collapsed="false">
      <c r="A461" s="33"/>
      <c r="B461" s="27"/>
      <c r="C461" s="27"/>
      <c r="D461" s="34"/>
      <c r="E461" s="27"/>
      <c r="F461" s="28" t="str">
        <f aca="false">IF(C461="","",IFERROR(INDEX(Settings!$C$8:$C$19,MATCH(C461,Settings!$B$8:$B$19,0)),"?"))</f>
        <v/>
      </c>
      <c r="G461" s="35" t="str">
        <f aca="false">IF(A461="","",DATE(YEAR(A461),MONTH(A461),1))</f>
        <v/>
      </c>
    </row>
    <row r="462" customFormat="false" ht="15" hidden="false" customHeight="false" outlineLevel="0" collapsed="false">
      <c r="A462" s="33"/>
      <c r="B462" s="27"/>
      <c r="C462" s="27"/>
      <c r="D462" s="34"/>
      <c r="E462" s="27"/>
      <c r="F462" s="28" t="str">
        <f aca="false">IF(C462="","",IFERROR(INDEX(Settings!$C$8:$C$19,MATCH(C462,Settings!$B$8:$B$19,0)),"?"))</f>
        <v/>
      </c>
      <c r="G462" s="35" t="str">
        <f aca="false">IF(A462="","",DATE(YEAR(A462),MONTH(A462),1))</f>
        <v/>
      </c>
    </row>
    <row r="463" customFormat="false" ht="15" hidden="false" customHeight="false" outlineLevel="0" collapsed="false">
      <c r="A463" s="33"/>
      <c r="B463" s="27"/>
      <c r="C463" s="27"/>
      <c r="D463" s="34"/>
      <c r="E463" s="27"/>
      <c r="F463" s="28" t="str">
        <f aca="false">IF(C463="","",IFERROR(INDEX(Settings!$C$8:$C$19,MATCH(C463,Settings!$B$8:$B$19,0)),"?"))</f>
        <v/>
      </c>
      <c r="G463" s="35" t="str">
        <f aca="false">IF(A463="","",DATE(YEAR(A463),MONTH(A463),1))</f>
        <v/>
      </c>
    </row>
    <row r="464" customFormat="false" ht="15" hidden="false" customHeight="false" outlineLevel="0" collapsed="false">
      <c r="A464" s="33"/>
      <c r="B464" s="27"/>
      <c r="C464" s="27"/>
      <c r="D464" s="34"/>
      <c r="E464" s="27"/>
      <c r="F464" s="28" t="str">
        <f aca="false">IF(C464="","",IFERROR(INDEX(Settings!$C$8:$C$19,MATCH(C464,Settings!$B$8:$B$19,0)),"?"))</f>
        <v/>
      </c>
      <c r="G464" s="35" t="str">
        <f aca="false">IF(A464="","",DATE(YEAR(A464),MONTH(A464),1))</f>
        <v/>
      </c>
    </row>
    <row r="465" customFormat="false" ht="15" hidden="false" customHeight="false" outlineLevel="0" collapsed="false">
      <c r="A465" s="33"/>
      <c r="B465" s="27"/>
      <c r="C465" s="27"/>
      <c r="D465" s="34"/>
      <c r="E465" s="27"/>
      <c r="F465" s="28" t="str">
        <f aca="false">IF(C465="","",IFERROR(INDEX(Settings!$C$8:$C$19,MATCH(C465,Settings!$B$8:$B$19,0)),"?"))</f>
        <v/>
      </c>
      <c r="G465" s="35" t="str">
        <f aca="false">IF(A465="","",DATE(YEAR(A465),MONTH(A465),1))</f>
        <v/>
      </c>
    </row>
    <row r="466" customFormat="false" ht="15" hidden="false" customHeight="false" outlineLevel="0" collapsed="false">
      <c r="A466" s="33"/>
      <c r="B466" s="27"/>
      <c r="C466" s="27"/>
      <c r="D466" s="34"/>
      <c r="E466" s="27"/>
      <c r="F466" s="28" t="str">
        <f aca="false">IF(C466="","",IFERROR(INDEX(Settings!$C$8:$C$19,MATCH(C466,Settings!$B$8:$B$19,0)),"?"))</f>
        <v/>
      </c>
      <c r="G466" s="35" t="str">
        <f aca="false">IF(A466="","",DATE(YEAR(A466),MONTH(A466),1))</f>
        <v/>
      </c>
    </row>
    <row r="467" customFormat="false" ht="15" hidden="false" customHeight="false" outlineLevel="0" collapsed="false">
      <c r="A467" s="33"/>
      <c r="B467" s="27"/>
      <c r="C467" s="27"/>
      <c r="D467" s="34"/>
      <c r="E467" s="27"/>
      <c r="F467" s="28" t="str">
        <f aca="false">IF(C467="","",IFERROR(INDEX(Settings!$C$8:$C$19,MATCH(C467,Settings!$B$8:$B$19,0)),"?"))</f>
        <v/>
      </c>
      <c r="G467" s="35" t="str">
        <f aca="false">IF(A467="","",DATE(YEAR(A467),MONTH(A467),1))</f>
        <v/>
      </c>
    </row>
    <row r="468" customFormat="false" ht="15" hidden="false" customHeight="false" outlineLevel="0" collapsed="false">
      <c r="A468" s="33"/>
      <c r="B468" s="27"/>
      <c r="C468" s="27"/>
      <c r="D468" s="34"/>
      <c r="E468" s="27"/>
      <c r="F468" s="28" t="str">
        <f aca="false">IF(C468="","",IFERROR(INDEX(Settings!$C$8:$C$19,MATCH(C468,Settings!$B$8:$B$19,0)),"?"))</f>
        <v/>
      </c>
      <c r="G468" s="35" t="str">
        <f aca="false">IF(A468="","",DATE(YEAR(A468),MONTH(A468),1))</f>
        <v/>
      </c>
    </row>
    <row r="469" customFormat="false" ht="15" hidden="false" customHeight="false" outlineLevel="0" collapsed="false">
      <c r="A469" s="33"/>
      <c r="B469" s="27"/>
      <c r="C469" s="27"/>
      <c r="D469" s="34"/>
      <c r="E469" s="27"/>
      <c r="F469" s="28" t="str">
        <f aca="false">IF(C469="","",IFERROR(INDEX(Settings!$C$8:$C$19,MATCH(C469,Settings!$B$8:$B$19,0)),"?"))</f>
        <v/>
      </c>
      <c r="G469" s="35" t="str">
        <f aca="false">IF(A469="","",DATE(YEAR(A469),MONTH(A469),1))</f>
        <v/>
      </c>
    </row>
    <row r="470" customFormat="false" ht="15" hidden="false" customHeight="false" outlineLevel="0" collapsed="false">
      <c r="A470" s="33"/>
      <c r="B470" s="27"/>
      <c r="C470" s="27"/>
      <c r="D470" s="34"/>
      <c r="E470" s="27"/>
      <c r="F470" s="28" t="str">
        <f aca="false">IF(C470="","",IFERROR(INDEX(Settings!$C$8:$C$19,MATCH(C470,Settings!$B$8:$B$19,0)),"?"))</f>
        <v/>
      </c>
      <c r="G470" s="35" t="str">
        <f aca="false">IF(A470="","",DATE(YEAR(A470),MONTH(A470),1))</f>
        <v/>
      </c>
    </row>
    <row r="471" customFormat="false" ht="15" hidden="false" customHeight="false" outlineLevel="0" collapsed="false">
      <c r="A471" s="33"/>
      <c r="B471" s="27"/>
      <c r="C471" s="27"/>
      <c r="D471" s="34"/>
      <c r="E471" s="27"/>
      <c r="F471" s="28" t="str">
        <f aca="false">IF(C471="","",IFERROR(INDEX(Settings!$C$8:$C$19,MATCH(C471,Settings!$B$8:$B$19,0)),"?"))</f>
        <v/>
      </c>
      <c r="G471" s="35" t="str">
        <f aca="false">IF(A471="","",DATE(YEAR(A471),MONTH(A471),1))</f>
        <v/>
      </c>
    </row>
    <row r="472" customFormat="false" ht="15" hidden="false" customHeight="false" outlineLevel="0" collapsed="false">
      <c r="A472" s="33"/>
      <c r="B472" s="27"/>
      <c r="C472" s="27"/>
      <c r="D472" s="34"/>
      <c r="E472" s="27"/>
      <c r="F472" s="28" t="str">
        <f aca="false">IF(C472="","",IFERROR(INDEX(Settings!$C$8:$C$19,MATCH(C472,Settings!$B$8:$B$19,0)),"?"))</f>
        <v/>
      </c>
      <c r="G472" s="35" t="str">
        <f aca="false">IF(A472="","",DATE(YEAR(A472),MONTH(A472),1))</f>
        <v/>
      </c>
    </row>
    <row r="473" customFormat="false" ht="15" hidden="false" customHeight="false" outlineLevel="0" collapsed="false">
      <c r="A473" s="33"/>
      <c r="B473" s="27"/>
      <c r="C473" s="27"/>
      <c r="D473" s="34"/>
      <c r="E473" s="27"/>
      <c r="F473" s="28" t="str">
        <f aca="false">IF(C473="","",IFERROR(INDEX(Settings!$C$8:$C$19,MATCH(C473,Settings!$B$8:$B$19,0)),"?"))</f>
        <v/>
      </c>
      <c r="G473" s="35" t="str">
        <f aca="false">IF(A473="","",DATE(YEAR(A473),MONTH(A473),1))</f>
        <v/>
      </c>
    </row>
    <row r="474" customFormat="false" ht="15" hidden="false" customHeight="false" outlineLevel="0" collapsed="false">
      <c r="A474" s="33"/>
      <c r="B474" s="27"/>
      <c r="C474" s="27"/>
      <c r="D474" s="34"/>
      <c r="E474" s="27"/>
      <c r="F474" s="28" t="str">
        <f aca="false">IF(C474="","",IFERROR(INDEX(Settings!$C$8:$C$19,MATCH(C474,Settings!$B$8:$B$19,0)),"?"))</f>
        <v/>
      </c>
      <c r="G474" s="35" t="str">
        <f aca="false">IF(A474="","",DATE(YEAR(A474),MONTH(A474),1))</f>
        <v/>
      </c>
    </row>
    <row r="475" customFormat="false" ht="15" hidden="false" customHeight="false" outlineLevel="0" collapsed="false">
      <c r="A475" s="33"/>
      <c r="B475" s="27"/>
      <c r="C475" s="27"/>
      <c r="D475" s="34"/>
      <c r="E475" s="27"/>
      <c r="F475" s="28" t="str">
        <f aca="false">IF(C475="","",IFERROR(INDEX(Settings!$C$8:$C$19,MATCH(C475,Settings!$B$8:$B$19,0)),"?"))</f>
        <v/>
      </c>
      <c r="G475" s="35" t="str">
        <f aca="false">IF(A475="","",DATE(YEAR(A475),MONTH(A475),1))</f>
        <v/>
      </c>
    </row>
    <row r="476" customFormat="false" ht="15" hidden="false" customHeight="false" outlineLevel="0" collapsed="false">
      <c r="A476" s="33"/>
      <c r="B476" s="27"/>
      <c r="C476" s="27"/>
      <c r="D476" s="34"/>
      <c r="E476" s="27"/>
      <c r="F476" s="28" t="str">
        <f aca="false">IF(C476="","",IFERROR(INDEX(Settings!$C$8:$C$19,MATCH(C476,Settings!$B$8:$B$19,0)),"?"))</f>
        <v/>
      </c>
      <c r="G476" s="35" t="str">
        <f aca="false">IF(A476="","",DATE(YEAR(A476),MONTH(A476),1))</f>
        <v/>
      </c>
    </row>
    <row r="477" customFormat="false" ht="15" hidden="false" customHeight="false" outlineLevel="0" collapsed="false">
      <c r="A477" s="33"/>
      <c r="B477" s="27"/>
      <c r="C477" s="27"/>
      <c r="D477" s="34"/>
      <c r="E477" s="27"/>
      <c r="F477" s="28" t="str">
        <f aca="false">IF(C477="","",IFERROR(INDEX(Settings!$C$8:$C$19,MATCH(C477,Settings!$B$8:$B$19,0)),"?"))</f>
        <v/>
      </c>
      <c r="G477" s="35" t="str">
        <f aca="false">IF(A477="","",DATE(YEAR(A477),MONTH(A477),1))</f>
        <v/>
      </c>
    </row>
    <row r="478" customFormat="false" ht="15" hidden="false" customHeight="false" outlineLevel="0" collapsed="false">
      <c r="A478" s="33"/>
      <c r="B478" s="27"/>
      <c r="C478" s="27"/>
      <c r="D478" s="34"/>
      <c r="E478" s="27"/>
      <c r="F478" s="28" t="str">
        <f aca="false">IF(C478="","",IFERROR(INDEX(Settings!$C$8:$C$19,MATCH(C478,Settings!$B$8:$B$19,0)),"?"))</f>
        <v/>
      </c>
      <c r="G478" s="35" t="str">
        <f aca="false">IF(A478="","",DATE(YEAR(A478),MONTH(A478),1))</f>
        <v/>
      </c>
    </row>
    <row r="479" customFormat="false" ht="15" hidden="false" customHeight="false" outlineLevel="0" collapsed="false">
      <c r="A479" s="33"/>
      <c r="B479" s="27"/>
      <c r="C479" s="27"/>
      <c r="D479" s="34"/>
      <c r="E479" s="27"/>
      <c r="F479" s="28" t="str">
        <f aca="false">IF(C479="","",IFERROR(INDEX(Settings!$C$8:$C$19,MATCH(C479,Settings!$B$8:$B$19,0)),"?"))</f>
        <v/>
      </c>
      <c r="G479" s="35" t="str">
        <f aca="false">IF(A479="","",DATE(YEAR(A479),MONTH(A479),1))</f>
        <v/>
      </c>
    </row>
    <row r="480" customFormat="false" ht="15" hidden="false" customHeight="false" outlineLevel="0" collapsed="false">
      <c r="A480" s="33"/>
      <c r="B480" s="27"/>
      <c r="C480" s="27"/>
      <c r="D480" s="34"/>
      <c r="E480" s="27"/>
      <c r="F480" s="28" t="str">
        <f aca="false">IF(C480="","",IFERROR(INDEX(Settings!$C$8:$C$19,MATCH(C480,Settings!$B$8:$B$19,0)),"?"))</f>
        <v/>
      </c>
      <c r="G480" s="35" t="str">
        <f aca="false">IF(A480="","",DATE(YEAR(A480),MONTH(A480),1))</f>
        <v/>
      </c>
    </row>
    <row r="481" customFormat="false" ht="15" hidden="false" customHeight="false" outlineLevel="0" collapsed="false">
      <c r="A481" s="33"/>
      <c r="B481" s="27"/>
      <c r="C481" s="27"/>
      <c r="D481" s="34"/>
      <c r="E481" s="27"/>
      <c r="F481" s="28" t="str">
        <f aca="false">IF(C481="","",IFERROR(INDEX(Settings!$C$8:$C$19,MATCH(C481,Settings!$B$8:$B$19,0)),"?"))</f>
        <v/>
      </c>
      <c r="G481" s="35" t="str">
        <f aca="false">IF(A481="","",DATE(YEAR(A481),MONTH(A481),1))</f>
        <v/>
      </c>
    </row>
    <row r="482" customFormat="false" ht="15" hidden="false" customHeight="false" outlineLevel="0" collapsed="false">
      <c r="A482" s="33"/>
      <c r="B482" s="27"/>
      <c r="C482" s="27"/>
      <c r="D482" s="34"/>
      <c r="E482" s="27"/>
      <c r="F482" s="28" t="str">
        <f aca="false">IF(C482="","",IFERROR(INDEX(Settings!$C$8:$C$19,MATCH(C482,Settings!$B$8:$B$19,0)),"?"))</f>
        <v/>
      </c>
      <c r="G482" s="35" t="str">
        <f aca="false">IF(A482="","",DATE(YEAR(A482),MONTH(A482),1))</f>
        <v/>
      </c>
    </row>
    <row r="483" customFormat="false" ht="15" hidden="false" customHeight="false" outlineLevel="0" collapsed="false">
      <c r="A483" s="33"/>
      <c r="B483" s="27"/>
      <c r="C483" s="27"/>
      <c r="D483" s="34"/>
      <c r="E483" s="27"/>
      <c r="F483" s="28" t="str">
        <f aca="false">IF(C483="","",IFERROR(INDEX(Settings!$C$8:$C$19,MATCH(C483,Settings!$B$8:$B$19,0)),"?"))</f>
        <v/>
      </c>
      <c r="G483" s="35" t="str">
        <f aca="false">IF(A483="","",DATE(YEAR(A483),MONTH(A483),1))</f>
        <v/>
      </c>
    </row>
    <row r="484" customFormat="false" ht="15" hidden="false" customHeight="false" outlineLevel="0" collapsed="false">
      <c r="A484" s="33"/>
      <c r="B484" s="27"/>
      <c r="C484" s="27"/>
      <c r="D484" s="34"/>
      <c r="E484" s="27"/>
      <c r="F484" s="28" t="str">
        <f aca="false">IF(C484="","",IFERROR(INDEX(Settings!$C$8:$C$19,MATCH(C484,Settings!$B$8:$B$19,0)),"?"))</f>
        <v/>
      </c>
      <c r="G484" s="35" t="str">
        <f aca="false">IF(A484="","",DATE(YEAR(A484),MONTH(A484),1))</f>
        <v/>
      </c>
    </row>
    <row r="485" customFormat="false" ht="15" hidden="false" customHeight="false" outlineLevel="0" collapsed="false">
      <c r="A485" s="33"/>
      <c r="B485" s="27"/>
      <c r="C485" s="27"/>
      <c r="D485" s="34"/>
      <c r="E485" s="27"/>
      <c r="F485" s="28" t="str">
        <f aca="false">IF(C485="","",IFERROR(INDEX(Settings!$C$8:$C$19,MATCH(C485,Settings!$B$8:$B$19,0)),"?"))</f>
        <v/>
      </c>
      <c r="G485" s="35" t="str">
        <f aca="false">IF(A485="","",DATE(YEAR(A485),MONTH(A485),1))</f>
        <v/>
      </c>
    </row>
    <row r="486" customFormat="false" ht="15" hidden="false" customHeight="false" outlineLevel="0" collapsed="false">
      <c r="A486" s="33"/>
      <c r="B486" s="27"/>
      <c r="C486" s="27"/>
      <c r="D486" s="34"/>
      <c r="E486" s="27"/>
      <c r="F486" s="28" t="str">
        <f aca="false">IF(C486="","",IFERROR(INDEX(Settings!$C$8:$C$19,MATCH(C486,Settings!$B$8:$B$19,0)),"?"))</f>
        <v/>
      </c>
      <c r="G486" s="35" t="str">
        <f aca="false">IF(A486="","",DATE(YEAR(A486),MONTH(A486),1))</f>
        <v/>
      </c>
    </row>
    <row r="487" customFormat="false" ht="15" hidden="false" customHeight="false" outlineLevel="0" collapsed="false">
      <c r="A487" s="33"/>
      <c r="B487" s="27"/>
      <c r="C487" s="27"/>
      <c r="D487" s="34"/>
      <c r="E487" s="27"/>
      <c r="F487" s="28" t="str">
        <f aca="false">IF(C487="","",IFERROR(INDEX(Settings!$C$8:$C$19,MATCH(C487,Settings!$B$8:$B$19,0)),"?"))</f>
        <v/>
      </c>
      <c r="G487" s="35" t="str">
        <f aca="false">IF(A487="","",DATE(YEAR(A487),MONTH(A487),1))</f>
        <v/>
      </c>
    </row>
    <row r="488" customFormat="false" ht="15" hidden="false" customHeight="false" outlineLevel="0" collapsed="false">
      <c r="A488" s="33"/>
      <c r="B488" s="27"/>
      <c r="C488" s="27"/>
      <c r="D488" s="34"/>
      <c r="E488" s="27"/>
      <c r="F488" s="28" t="str">
        <f aca="false">IF(C488="","",IFERROR(INDEX(Settings!$C$8:$C$19,MATCH(C488,Settings!$B$8:$B$19,0)),"?"))</f>
        <v/>
      </c>
      <c r="G488" s="35" t="str">
        <f aca="false">IF(A488="","",DATE(YEAR(A488),MONTH(A488),1))</f>
        <v/>
      </c>
    </row>
    <row r="489" customFormat="false" ht="15" hidden="false" customHeight="false" outlineLevel="0" collapsed="false">
      <c r="A489" s="33"/>
      <c r="B489" s="27"/>
      <c r="C489" s="27"/>
      <c r="D489" s="34"/>
      <c r="E489" s="27"/>
      <c r="F489" s="28" t="str">
        <f aca="false">IF(C489="","",IFERROR(INDEX(Settings!$C$8:$C$19,MATCH(C489,Settings!$B$8:$B$19,0)),"?"))</f>
        <v/>
      </c>
      <c r="G489" s="35" t="str">
        <f aca="false">IF(A489="","",DATE(YEAR(A489),MONTH(A489),1))</f>
        <v/>
      </c>
    </row>
    <row r="490" customFormat="false" ht="15" hidden="false" customHeight="false" outlineLevel="0" collapsed="false">
      <c r="A490" s="33"/>
      <c r="B490" s="27"/>
      <c r="C490" s="27"/>
      <c r="D490" s="34"/>
      <c r="E490" s="27"/>
      <c r="F490" s="28" t="str">
        <f aca="false">IF(C490="","",IFERROR(INDEX(Settings!$C$8:$C$19,MATCH(C490,Settings!$B$8:$B$19,0)),"?"))</f>
        <v/>
      </c>
      <c r="G490" s="35" t="str">
        <f aca="false">IF(A490="","",DATE(YEAR(A490),MONTH(A490),1))</f>
        <v/>
      </c>
    </row>
    <row r="491" customFormat="false" ht="15" hidden="false" customHeight="false" outlineLevel="0" collapsed="false">
      <c r="A491" s="33"/>
      <c r="B491" s="27"/>
      <c r="C491" s="27"/>
      <c r="D491" s="34"/>
      <c r="E491" s="27"/>
      <c r="F491" s="28" t="str">
        <f aca="false">IF(C491="","",IFERROR(INDEX(Settings!$C$8:$C$19,MATCH(C491,Settings!$B$8:$B$19,0)),"?"))</f>
        <v/>
      </c>
      <c r="G491" s="35" t="str">
        <f aca="false">IF(A491="","",DATE(YEAR(A491),MONTH(A491),1))</f>
        <v/>
      </c>
    </row>
    <row r="492" customFormat="false" ht="15" hidden="false" customHeight="false" outlineLevel="0" collapsed="false">
      <c r="A492" s="33"/>
      <c r="B492" s="27"/>
      <c r="C492" s="27"/>
      <c r="D492" s="34"/>
      <c r="E492" s="27"/>
      <c r="F492" s="28" t="str">
        <f aca="false">IF(C492="","",IFERROR(INDEX(Settings!$C$8:$C$19,MATCH(C492,Settings!$B$8:$B$19,0)),"?"))</f>
        <v/>
      </c>
      <c r="G492" s="35" t="str">
        <f aca="false">IF(A492="","",DATE(YEAR(A492),MONTH(A492),1))</f>
        <v/>
      </c>
    </row>
    <row r="493" customFormat="false" ht="15" hidden="false" customHeight="false" outlineLevel="0" collapsed="false">
      <c r="A493" s="33"/>
      <c r="B493" s="27"/>
      <c r="C493" s="27"/>
      <c r="D493" s="34"/>
      <c r="E493" s="27"/>
      <c r="F493" s="28" t="str">
        <f aca="false">IF(C493="","",IFERROR(INDEX(Settings!$C$8:$C$19,MATCH(C493,Settings!$B$8:$B$19,0)),"?"))</f>
        <v/>
      </c>
      <c r="G493" s="35" t="str">
        <f aca="false">IF(A493="","",DATE(YEAR(A493),MONTH(A493),1))</f>
        <v/>
      </c>
    </row>
    <row r="494" customFormat="false" ht="15" hidden="false" customHeight="false" outlineLevel="0" collapsed="false">
      <c r="A494" s="33"/>
      <c r="B494" s="27"/>
      <c r="C494" s="27"/>
      <c r="D494" s="34"/>
      <c r="E494" s="27"/>
      <c r="F494" s="28" t="str">
        <f aca="false">IF(C494="","",IFERROR(INDEX(Settings!$C$8:$C$19,MATCH(C494,Settings!$B$8:$B$19,0)),"?"))</f>
        <v/>
      </c>
      <c r="G494" s="35" t="str">
        <f aca="false">IF(A494="","",DATE(YEAR(A494),MONTH(A494),1))</f>
        <v/>
      </c>
    </row>
    <row r="495" customFormat="false" ht="15" hidden="false" customHeight="false" outlineLevel="0" collapsed="false">
      <c r="A495" s="33"/>
      <c r="B495" s="27"/>
      <c r="C495" s="27"/>
      <c r="D495" s="34"/>
      <c r="E495" s="27"/>
      <c r="F495" s="28" t="str">
        <f aca="false">IF(C495="","",IFERROR(INDEX(Settings!$C$8:$C$19,MATCH(C495,Settings!$B$8:$B$19,0)),"?"))</f>
        <v/>
      </c>
      <c r="G495" s="35" t="str">
        <f aca="false">IF(A495="","",DATE(YEAR(A495),MONTH(A495),1))</f>
        <v/>
      </c>
    </row>
    <row r="496" customFormat="false" ht="15" hidden="false" customHeight="false" outlineLevel="0" collapsed="false">
      <c r="A496" s="33"/>
      <c r="B496" s="27"/>
      <c r="C496" s="27"/>
      <c r="D496" s="34"/>
      <c r="E496" s="27"/>
      <c r="F496" s="28" t="str">
        <f aca="false">IF(C496="","",IFERROR(INDEX(Settings!$C$8:$C$19,MATCH(C496,Settings!$B$8:$B$19,0)),"?"))</f>
        <v/>
      </c>
      <c r="G496" s="35" t="str">
        <f aca="false">IF(A496="","",DATE(YEAR(A496),MONTH(A496),1))</f>
        <v/>
      </c>
    </row>
    <row r="497" customFormat="false" ht="15" hidden="false" customHeight="false" outlineLevel="0" collapsed="false">
      <c r="A497" s="33"/>
      <c r="B497" s="27"/>
      <c r="C497" s="27"/>
      <c r="D497" s="34"/>
      <c r="E497" s="27"/>
      <c r="F497" s="28" t="str">
        <f aca="false">IF(C497="","",IFERROR(INDEX(Settings!$C$8:$C$19,MATCH(C497,Settings!$B$8:$B$19,0)),"?"))</f>
        <v/>
      </c>
      <c r="G497" s="35" t="str">
        <f aca="false">IF(A497="","",DATE(YEAR(A497),MONTH(A497),1))</f>
        <v/>
      </c>
    </row>
    <row r="498" customFormat="false" ht="15" hidden="false" customHeight="false" outlineLevel="0" collapsed="false">
      <c r="A498" s="33"/>
      <c r="B498" s="27"/>
      <c r="C498" s="27"/>
      <c r="D498" s="34"/>
      <c r="E498" s="27"/>
      <c r="F498" s="28" t="str">
        <f aca="false">IF(C498="","",IFERROR(INDEX(Settings!$C$8:$C$19,MATCH(C498,Settings!$B$8:$B$19,0)),"?"))</f>
        <v/>
      </c>
      <c r="G498" s="35" t="str">
        <f aca="false">IF(A498="","",DATE(YEAR(A498),MONTH(A498),1))</f>
        <v/>
      </c>
    </row>
    <row r="499" customFormat="false" ht="15" hidden="false" customHeight="false" outlineLevel="0" collapsed="false">
      <c r="A499" s="33"/>
      <c r="B499" s="27"/>
      <c r="C499" s="27"/>
      <c r="D499" s="34"/>
      <c r="E499" s="27"/>
      <c r="F499" s="28" t="str">
        <f aca="false">IF(C499="","",IFERROR(INDEX(Settings!$C$8:$C$19,MATCH(C499,Settings!$B$8:$B$19,0)),"?"))</f>
        <v/>
      </c>
      <c r="G499" s="35" t="str">
        <f aca="false">IF(A499="","",DATE(YEAR(A499),MONTH(A499),1))</f>
        <v/>
      </c>
    </row>
    <row r="500" customFormat="false" ht="15" hidden="false" customHeight="false" outlineLevel="0" collapsed="false">
      <c r="A500" s="33"/>
      <c r="B500" s="27"/>
      <c r="C500" s="27"/>
      <c r="D500" s="34"/>
      <c r="E500" s="27"/>
      <c r="F500" s="28" t="str">
        <f aca="false">IF(C500="","",IFERROR(INDEX(Settings!$C$8:$C$19,MATCH(C500,Settings!$B$8:$B$19,0)),"?"))</f>
        <v/>
      </c>
      <c r="G500" s="35" t="str">
        <f aca="false">IF(A500="","",DATE(YEAR(A500),MONTH(A500),1))</f>
        <v/>
      </c>
    </row>
    <row r="501" customFormat="false" ht="15" hidden="false" customHeight="false" outlineLevel="0" collapsed="false">
      <c r="A501" s="33"/>
      <c r="B501" s="27"/>
      <c r="C501" s="27"/>
      <c r="D501" s="34"/>
      <c r="E501" s="27"/>
      <c r="F501" s="28" t="str">
        <f aca="false">IF(C501="","",IFERROR(INDEX(Settings!$C$8:$C$19,MATCH(C501,Settings!$B$8:$B$19,0)),"?"))</f>
        <v/>
      </c>
      <c r="G501" s="35" t="str">
        <f aca="false">IF(A501="","",DATE(YEAR(A501),MONTH(A501),1))</f>
        <v/>
      </c>
    </row>
    <row r="502" customFormat="false" ht="15" hidden="false" customHeight="false" outlineLevel="0" collapsed="false">
      <c r="A502" s="33"/>
      <c r="B502" s="27"/>
      <c r="C502" s="27"/>
      <c r="D502" s="34"/>
      <c r="E502" s="27"/>
      <c r="F502" s="28" t="str">
        <f aca="false">IF(C502="","",IFERROR(INDEX(Settings!$C$8:$C$19,MATCH(C502,Settings!$B$8:$B$19,0)),"?"))</f>
        <v/>
      </c>
      <c r="G502" s="35" t="str">
        <f aca="false">IF(A502="","",DATE(YEAR(A502),MONTH(A502),1))</f>
        <v/>
      </c>
    </row>
    <row r="503" customFormat="false" ht="15" hidden="false" customHeight="false" outlineLevel="0" collapsed="false">
      <c r="A503" s="33"/>
      <c r="B503" s="27"/>
      <c r="C503" s="27"/>
      <c r="D503" s="34"/>
      <c r="E503" s="27"/>
      <c r="F503" s="28" t="str">
        <f aca="false">IF(C503="","",IFERROR(INDEX(Settings!$C$8:$C$19,MATCH(C503,Settings!$B$8:$B$19,0)),"?"))</f>
        <v/>
      </c>
      <c r="G503" s="35" t="str">
        <f aca="false">IF(A503="","",DATE(YEAR(A503),MONTH(A503),1))</f>
        <v/>
      </c>
    </row>
    <row r="504" customFormat="false" ht="15" hidden="false" customHeight="false" outlineLevel="0" collapsed="false">
      <c r="A504" s="33"/>
      <c r="B504" s="27"/>
      <c r="C504" s="27"/>
      <c r="D504" s="34"/>
      <c r="E504" s="27"/>
      <c r="F504" s="28" t="str">
        <f aca="false">IF(C504="","",IFERROR(INDEX(Settings!$C$8:$C$19,MATCH(C504,Settings!$B$8:$B$19,0)),"?"))</f>
        <v/>
      </c>
      <c r="G504" s="35" t="str">
        <f aca="false">IF(A504="","",DATE(YEAR(A504),MONTH(A504),1))</f>
        <v/>
      </c>
    </row>
    <row r="505" customFormat="false" ht="15" hidden="false" customHeight="false" outlineLevel="0" collapsed="false">
      <c r="A505" s="33"/>
      <c r="B505" s="27"/>
      <c r="C505" s="27"/>
      <c r="D505" s="34"/>
      <c r="E505" s="27"/>
      <c r="F505" s="28" t="str">
        <f aca="false">IF(C505="","",IFERROR(INDEX(Settings!$C$8:$C$19,MATCH(C505,Settings!$B$8:$B$19,0)),"?"))</f>
        <v/>
      </c>
      <c r="G505" s="35" t="str">
        <f aca="false">IF(A505="","",DATE(YEAR(A505),MONTH(A505),1))</f>
        <v/>
      </c>
    </row>
    <row r="506" customFormat="false" ht="15" hidden="false" customHeight="false" outlineLevel="0" collapsed="false">
      <c r="A506" s="33"/>
      <c r="B506" s="27"/>
      <c r="C506" s="27"/>
      <c r="D506" s="34"/>
      <c r="E506" s="27"/>
      <c r="F506" s="28" t="str">
        <f aca="false">IF(C506="","",IFERROR(INDEX(Settings!$C$8:$C$19,MATCH(C506,Settings!$B$8:$B$19,0)),"?"))</f>
        <v/>
      </c>
      <c r="G506" s="35" t="str">
        <f aca="false">IF(A506="","",DATE(YEAR(A506),MONTH(A506),1))</f>
        <v/>
      </c>
    </row>
    <row r="507" customFormat="false" ht="15" hidden="false" customHeight="false" outlineLevel="0" collapsed="false">
      <c r="A507" s="33"/>
      <c r="B507" s="27"/>
      <c r="C507" s="27"/>
      <c r="D507" s="34"/>
      <c r="E507" s="27"/>
      <c r="F507" s="28" t="str">
        <f aca="false">IF(C507="","",IFERROR(INDEX(Settings!$C$8:$C$19,MATCH(C507,Settings!$B$8:$B$19,0)),"?"))</f>
        <v/>
      </c>
      <c r="G507" s="35" t="str">
        <f aca="false">IF(A507="","",DATE(YEAR(A507),MONTH(A507),1))</f>
        <v/>
      </c>
    </row>
    <row r="508" customFormat="false" ht="15" hidden="false" customHeight="false" outlineLevel="0" collapsed="false">
      <c r="A508" s="33"/>
      <c r="B508" s="27"/>
      <c r="C508" s="27"/>
      <c r="D508" s="34"/>
      <c r="E508" s="27"/>
      <c r="F508" s="28" t="str">
        <f aca="false">IF(C508="","",IFERROR(INDEX(Settings!$C$8:$C$19,MATCH(C508,Settings!$B$8:$B$19,0)),"?"))</f>
        <v/>
      </c>
      <c r="G508" s="35" t="str">
        <f aca="false">IF(A508="","",DATE(YEAR(A508),MONTH(A508),1))</f>
        <v/>
      </c>
    </row>
    <row r="509" customFormat="false" ht="15" hidden="false" customHeight="false" outlineLevel="0" collapsed="false">
      <c r="A509" s="33"/>
      <c r="B509" s="27"/>
      <c r="C509" s="27"/>
      <c r="D509" s="34"/>
      <c r="E509" s="27"/>
      <c r="F509" s="28" t="str">
        <f aca="false">IF(C509="","",IFERROR(INDEX(Settings!$C$8:$C$19,MATCH(C509,Settings!$B$8:$B$19,0)),"?"))</f>
        <v/>
      </c>
      <c r="G509" s="35" t="str">
        <f aca="false">IF(A509="","",DATE(YEAR(A509),MONTH(A509),1))</f>
        <v/>
      </c>
    </row>
    <row r="510" customFormat="false" ht="15" hidden="false" customHeight="false" outlineLevel="0" collapsed="false">
      <c r="A510" s="33"/>
      <c r="B510" s="27"/>
      <c r="C510" s="27"/>
      <c r="D510" s="34"/>
      <c r="E510" s="27"/>
      <c r="F510" s="28" t="str">
        <f aca="false">IF(C510="","",IFERROR(INDEX(Settings!$C$8:$C$19,MATCH(C510,Settings!$B$8:$B$19,0)),"?"))</f>
        <v/>
      </c>
      <c r="G510" s="35" t="str">
        <f aca="false">IF(A510="","",DATE(YEAR(A510),MONTH(A510),1))</f>
        <v/>
      </c>
    </row>
    <row r="511" customFormat="false" ht="15" hidden="false" customHeight="false" outlineLevel="0" collapsed="false">
      <c r="A511" s="33"/>
      <c r="B511" s="27"/>
      <c r="C511" s="27"/>
      <c r="D511" s="34"/>
      <c r="E511" s="27"/>
      <c r="F511" s="28" t="str">
        <f aca="false">IF(C511="","",IFERROR(INDEX(Settings!$C$8:$C$19,MATCH(C511,Settings!$B$8:$B$19,0)),"?"))</f>
        <v/>
      </c>
      <c r="G511" s="35" t="str">
        <f aca="false">IF(A511="","",DATE(YEAR(A511),MONTH(A511),1))</f>
        <v/>
      </c>
    </row>
    <row r="512" customFormat="false" ht="15" hidden="false" customHeight="false" outlineLevel="0" collapsed="false">
      <c r="A512" s="33"/>
      <c r="B512" s="27"/>
      <c r="C512" s="27"/>
      <c r="D512" s="34"/>
      <c r="E512" s="27"/>
      <c r="F512" s="28" t="str">
        <f aca="false">IF(C512="","",IFERROR(INDEX(Settings!$C$8:$C$19,MATCH(C512,Settings!$B$8:$B$19,0)),"?"))</f>
        <v/>
      </c>
      <c r="G512" s="35" t="str">
        <f aca="false">IF(A512="","",DATE(YEAR(A512),MONTH(A512),1))</f>
        <v/>
      </c>
    </row>
    <row r="513" customFormat="false" ht="15" hidden="false" customHeight="false" outlineLevel="0" collapsed="false">
      <c r="A513" s="33"/>
      <c r="B513" s="27"/>
      <c r="C513" s="27"/>
      <c r="D513" s="34"/>
      <c r="E513" s="27"/>
      <c r="F513" s="28" t="str">
        <f aca="false">IF(C513="","",IFERROR(INDEX(Settings!$C$8:$C$19,MATCH(C513,Settings!$B$8:$B$19,0)),"?"))</f>
        <v/>
      </c>
      <c r="G513" s="35" t="str">
        <f aca="false">IF(A513="","",DATE(YEAR(A513),MONTH(A513),1))</f>
        <v/>
      </c>
    </row>
    <row r="514" customFormat="false" ht="15" hidden="false" customHeight="false" outlineLevel="0" collapsed="false">
      <c r="A514" s="33"/>
      <c r="B514" s="27"/>
      <c r="C514" s="27"/>
      <c r="D514" s="34"/>
      <c r="E514" s="27"/>
      <c r="F514" s="28" t="str">
        <f aca="false">IF(C514="","",IFERROR(INDEX(Settings!$C$8:$C$19,MATCH(C514,Settings!$B$8:$B$19,0)),"?"))</f>
        <v/>
      </c>
      <c r="G514" s="35" t="str">
        <f aca="false">IF(A514="","",DATE(YEAR(A514),MONTH(A514),1))</f>
        <v/>
      </c>
    </row>
    <row r="515" customFormat="false" ht="15" hidden="false" customHeight="false" outlineLevel="0" collapsed="false">
      <c r="A515" s="33"/>
      <c r="B515" s="27"/>
      <c r="C515" s="27"/>
      <c r="D515" s="34"/>
      <c r="E515" s="27"/>
      <c r="F515" s="28" t="str">
        <f aca="false">IF(C515="","",IFERROR(INDEX(Settings!$C$8:$C$19,MATCH(C515,Settings!$B$8:$B$19,0)),"?"))</f>
        <v/>
      </c>
      <c r="G515" s="35" t="str">
        <f aca="false">IF(A515="","",DATE(YEAR(A515),MONTH(A515),1))</f>
        <v/>
      </c>
    </row>
    <row r="516" customFormat="false" ht="15" hidden="false" customHeight="false" outlineLevel="0" collapsed="false">
      <c r="A516" s="33"/>
      <c r="B516" s="27"/>
      <c r="C516" s="27"/>
      <c r="D516" s="34"/>
      <c r="E516" s="27"/>
      <c r="F516" s="28" t="str">
        <f aca="false">IF(C516="","",IFERROR(INDEX(Settings!$C$8:$C$19,MATCH(C516,Settings!$B$8:$B$19,0)),"?"))</f>
        <v/>
      </c>
      <c r="G516" s="35" t="str">
        <f aca="false">IF(A516="","",DATE(YEAR(A516),MONTH(A516),1))</f>
        <v/>
      </c>
    </row>
    <row r="517" customFormat="false" ht="15" hidden="false" customHeight="false" outlineLevel="0" collapsed="false">
      <c r="A517" s="33"/>
      <c r="B517" s="27"/>
      <c r="C517" s="27"/>
      <c r="D517" s="34"/>
      <c r="E517" s="27"/>
      <c r="F517" s="28" t="str">
        <f aca="false">IF(C517="","",IFERROR(INDEX(Settings!$C$8:$C$19,MATCH(C517,Settings!$B$8:$B$19,0)),"?"))</f>
        <v/>
      </c>
      <c r="G517" s="35" t="str">
        <f aca="false">IF(A517="","",DATE(YEAR(A517),MONTH(A517),1))</f>
        <v/>
      </c>
    </row>
    <row r="518" customFormat="false" ht="15" hidden="false" customHeight="false" outlineLevel="0" collapsed="false">
      <c r="A518" s="33"/>
      <c r="B518" s="27"/>
      <c r="C518" s="27"/>
      <c r="D518" s="34"/>
      <c r="E518" s="27"/>
      <c r="F518" s="28" t="str">
        <f aca="false">IF(C518="","",IFERROR(INDEX(Settings!$C$8:$C$19,MATCH(C518,Settings!$B$8:$B$19,0)),"?"))</f>
        <v/>
      </c>
      <c r="G518" s="35" t="str">
        <f aca="false">IF(A518="","",DATE(YEAR(A518),MONTH(A518),1))</f>
        <v/>
      </c>
    </row>
    <row r="519" customFormat="false" ht="15" hidden="false" customHeight="false" outlineLevel="0" collapsed="false">
      <c r="A519" s="33"/>
      <c r="B519" s="27"/>
      <c r="C519" s="27"/>
      <c r="D519" s="34"/>
      <c r="E519" s="27"/>
      <c r="F519" s="28" t="str">
        <f aca="false">IF(C519="","",IFERROR(INDEX(Settings!$C$8:$C$19,MATCH(C519,Settings!$B$8:$B$19,0)),"?"))</f>
        <v/>
      </c>
      <c r="G519" s="35" t="str">
        <f aca="false">IF(A519="","",DATE(YEAR(A519),MONTH(A519),1))</f>
        <v/>
      </c>
    </row>
    <row r="520" customFormat="false" ht="15" hidden="false" customHeight="false" outlineLevel="0" collapsed="false">
      <c r="A520" s="33"/>
      <c r="B520" s="27"/>
      <c r="C520" s="27"/>
      <c r="D520" s="34"/>
      <c r="E520" s="27"/>
      <c r="F520" s="28" t="str">
        <f aca="false">IF(C520="","",IFERROR(INDEX(Settings!$C$8:$C$19,MATCH(C520,Settings!$B$8:$B$19,0)),"?"))</f>
        <v/>
      </c>
      <c r="G520" s="35" t="str">
        <f aca="false">IF(A520="","",DATE(YEAR(A520),MONTH(A520),1))</f>
        <v/>
      </c>
    </row>
    <row r="521" customFormat="false" ht="15" hidden="false" customHeight="false" outlineLevel="0" collapsed="false">
      <c r="A521" s="33"/>
      <c r="B521" s="27"/>
      <c r="C521" s="27"/>
      <c r="D521" s="34"/>
      <c r="E521" s="27"/>
      <c r="F521" s="28" t="str">
        <f aca="false">IF(C521="","",IFERROR(INDEX(Settings!$C$8:$C$19,MATCH(C521,Settings!$B$8:$B$19,0)),"?"))</f>
        <v/>
      </c>
      <c r="G521" s="35" t="str">
        <f aca="false">IF(A521="","",DATE(YEAR(A521),MONTH(A521),1))</f>
        <v/>
      </c>
    </row>
    <row r="522" customFormat="false" ht="15" hidden="false" customHeight="false" outlineLevel="0" collapsed="false">
      <c r="A522" s="33"/>
      <c r="B522" s="27"/>
      <c r="C522" s="27"/>
      <c r="D522" s="34"/>
      <c r="E522" s="27"/>
      <c r="F522" s="28" t="str">
        <f aca="false">IF(C522="","",IFERROR(INDEX(Settings!$C$8:$C$19,MATCH(C522,Settings!$B$8:$B$19,0)),"?"))</f>
        <v/>
      </c>
      <c r="G522" s="35" t="str">
        <f aca="false">IF(A522="","",DATE(YEAR(A522),MONTH(A522),1))</f>
        <v/>
      </c>
    </row>
    <row r="523" customFormat="false" ht="15" hidden="false" customHeight="false" outlineLevel="0" collapsed="false">
      <c r="A523" s="33"/>
      <c r="B523" s="27"/>
      <c r="C523" s="27"/>
      <c r="D523" s="34"/>
      <c r="E523" s="27"/>
      <c r="F523" s="28" t="str">
        <f aca="false">IF(C523="","",IFERROR(INDEX(Settings!$C$8:$C$19,MATCH(C523,Settings!$B$8:$B$19,0)),"?"))</f>
        <v/>
      </c>
      <c r="G523" s="35" t="str">
        <f aca="false">IF(A523="","",DATE(YEAR(A523),MONTH(A523),1))</f>
        <v/>
      </c>
    </row>
    <row r="524" customFormat="false" ht="15" hidden="false" customHeight="false" outlineLevel="0" collapsed="false">
      <c r="A524" s="33"/>
      <c r="B524" s="27"/>
      <c r="C524" s="27"/>
      <c r="D524" s="34"/>
      <c r="E524" s="27"/>
      <c r="F524" s="28" t="str">
        <f aca="false">IF(C524="","",IFERROR(INDEX(Settings!$C$8:$C$19,MATCH(C524,Settings!$B$8:$B$19,0)),"?"))</f>
        <v/>
      </c>
      <c r="G524" s="35" t="str">
        <f aca="false">IF(A524="","",DATE(YEAR(A524),MONTH(A524),1))</f>
        <v/>
      </c>
    </row>
    <row r="525" customFormat="false" ht="15" hidden="false" customHeight="false" outlineLevel="0" collapsed="false">
      <c r="A525" s="33"/>
      <c r="B525" s="27"/>
      <c r="C525" s="27"/>
      <c r="D525" s="34"/>
      <c r="E525" s="27"/>
      <c r="F525" s="28" t="str">
        <f aca="false">IF(C525="","",IFERROR(INDEX(Settings!$C$8:$C$19,MATCH(C525,Settings!$B$8:$B$19,0)),"?"))</f>
        <v/>
      </c>
      <c r="G525" s="35" t="str">
        <f aca="false">IF(A525="","",DATE(YEAR(A525),MONTH(A525),1))</f>
        <v/>
      </c>
    </row>
    <row r="526" customFormat="false" ht="15" hidden="false" customHeight="false" outlineLevel="0" collapsed="false">
      <c r="A526" s="33"/>
      <c r="B526" s="27"/>
      <c r="C526" s="27"/>
      <c r="D526" s="34"/>
      <c r="E526" s="27"/>
      <c r="F526" s="28" t="str">
        <f aca="false">IF(C526="","",IFERROR(INDEX(Settings!$C$8:$C$19,MATCH(C526,Settings!$B$8:$B$19,0)),"?"))</f>
        <v/>
      </c>
      <c r="G526" s="35" t="str">
        <f aca="false">IF(A526="","",DATE(YEAR(A526),MONTH(A526),1))</f>
        <v/>
      </c>
    </row>
    <row r="527" customFormat="false" ht="15" hidden="false" customHeight="false" outlineLevel="0" collapsed="false">
      <c r="A527" s="33"/>
      <c r="B527" s="27"/>
      <c r="C527" s="27"/>
      <c r="D527" s="34"/>
      <c r="E527" s="27"/>
      <c r="F527" s="28" t="str">
        <f aca="false">IF(C527="","",IFERROR(INDEX(Settings!$C$8:$C$19,MATCH(C527,Settings!$B$8:$B$19,0)),"?"))</f>
        <v/>
      </c>
      <c r="G527" s="35" t="str">
        <f aca="false">IF(A527="","",DATE(YEAR(A527),MONTH(A527),1))</f>
        <v/>
      </c>
    </row>
    <row r="528" customFormat="false" ht="15" hidden="false" customHeight="false" outlineLevel="0" collapsed="false">
      <c r="A528" s="33"/>
      <c r="B528" s="27"/>
      <c r="C528" s="27"/>
      <c r="D528" s="34"/>
      <c r="E528" s="27"/>
      <c r="F528" s="28" t="str">
        <f aca="false">IF(C528="","",IFERROR(INDEX(Settings!$C$8:$C$19,MATCH(C528,Settings!$B$8:$B$19,0)),"?"))</f>
        <v/>
      </c>
      <c r="G528" s="35" t="str">
        <f aca="false">IF(A528="","",DATE(YEAR(A528),MONTH(A528),1))</f>
        <v/>
      </c>
    </row>
    <row r="529" customFormat="false" ht="15" hidden="false" customHeight="false" outlineLevel="0" collapsed="false">
      <c r="A529" s="33"/>
      <c r="B529" s="27"/>
      <c r="C529" s="27"/>
      <c r="D529" s="34"/>
      <c r="E529" s="27"/>
      <c r="F529" s="28" t="str">
        <f aca="false">IF(C529="","",IFERROR(INDEX(Settings!$C$8:$C$19,MATCH(C529,Settings!$B$8:$B$19,0)),"?"))</f>
        <v/>
      </c>
      <c r="G529" s="35" t="str">
        <f aca="false">IF(A529="","",DATE(YEAR(A529),MONTH(A529),1))</f>
        <v/>
      </c>
    </row>
    <row r="530" customFormat="false" ht="15" hidden="false" customHeight="false" outlineLevel="0" collapsed="false">
      <c r="A530" s="33"/>
      <c r="B530" s="27"/>
      <c r="C530" s="27"/>
      <c r="D530" s="34"/>
      <c r="E530" s="27"/>
      <c r="F530" s="28" t="str">
        <f aca="false">IF(C530="","",IFERROR(INDEX(Settings!$C$8:$C$19,MATCH(C530,Settings!$B$8:$B$19,0)),"?"))</f>
        <v/>
      </c>
      <c r="G530" s="35" t="str">
        <f aca="false">IF(A530="","",DATE(YEAR(A530),MONTH(A530),1))</f>
        <v/>
      </c>
    </row>
    <row r="531" customFormat="false" ht="15" hidden="false" customHeight="false" outlineLevel="0" collapsed="false">
      <c r="A531" s="33"/>
      <c r="B531" s="27"/>
      <c r="C531" s="27"/>
      <c r="D531" s="34"/>
      <c r="E531" s="27"/>
      <c r="F531" s="28" t="str">
        <f aca="false">IF(C531="","",IFERROR(INDEX(Settings!$C$8:$C$19,MATCH(C531,Settings!$B$8:$B$19,0)),"?"))</f>
        <v/>
      </c>
      <c r="G531" s="35" t="str">
        <f aca="false">IF(A531="","",DATE(YEAR(A531),MONTH(A531),1))</f>
        <v/>
      </c>
    </row>
    <row r="532" customFormat="false" ht="15" hidden="false" customHeight="false" outlineLevel="0" collapsed="false">
      <c r="A532" s="33"/>
      <c r="B532" s="27"/>
      <c r="C532" s="27"/>
      <c r="D532" s="34"/>
      <c r="E532" s="27"/>
      <c r="F532" s="28" t="str">
        <f aca="false">IF(C532="","",IFERROR(INDEX(Settings!$C$8:$C$19,MATCH(C532,Settings!$B$8:$B$19,0)),"?"))</f>
        <v/>
      </c>
      <c r="G532" s="35" t="str">
        <f aca="false">IF(A532="","",DATE(YEAR(A532),MONTH(A532),1))</f>
        <v/>
      </c>
    </row>
    <row r="533" customFormat="false" ht="15" hidden="false" customHeight="false" outlineLevel="0" collapsed="false">
      <c r="A533" s="33"/>
      <c r="B533" s="27"/>
      <c r="C533" s="27"/>
      <c r="D533" s="34"/>
      <c r="E533" s="27"/>
      <c r="F533" s="28" t="str">
        <f aca="false">IF(C533="","",IFERROR(INDEX(Settings!$C$8:$C$19,MATCH(C533,Settings!$B$8:$B$19,0)),"?"))</f>
        <v/>
      </c>
      <c r="G533" s="35" t="str">
        <f aca="false">IF(A533="","",DATE(YEAR(A533),MONTH(A533),1))</f>
        <v/>
      </c>
    </row>
    <row r="534" customFormat="false" ht="15" hidden="false" customHeight="false" outlineLevel="0" collapsed="false">
      <c r="A534" s="33"/>
      <c r="B534" s="27"/>
      <c r="C534" s="27"/>
      <c r="D534" s="34"/>
      <c r="E534" s="27"/>
      <c r="F534" s="28" t="str">
        <f aca="false">IF(C534="","",IFERROR(INDEX(Settings!$C$8:$C$19,MATCH(C534,Settings!$B$8:$B$19,0)),"?"))</f>
        <v/>
      </c>
      <c r="G534" s="35" t="str">
        <f aca="false">IF(A534="","",DATE(YEAR(A534),MONTH(A534),1))</f>
        <v/>
      </c>
    </row>
    <row r="535" customFormat="false" ht="15" hidden="false" customHeight="false" outlineLevel="0" collapsed="false">
      <c r="A535" s="33"/>
      <c r="B535" s="27"/>
      <c r="C535" s="27"/>
      <c r="D535" s="34"/>
      <c r="E535" s="27"/>
      <c r="F535" s="28" t="str">
        <f aca="false">IF(C535="","",IFERROR(INDEX(Settings!$C$8:$C$19,MATCH(C535,Settings!$B$8:$B$19,0)),"?"))</f>
        <v/>
      </c>
      <c r="G535" s="35" t="str">
        <f aca="false">IF(A535="","",DATE(YEAR(A535),MONTH(A535),1))</f>
        <v/>
      </c>
    </row>
    <row r="536" customFormat="false" ht="15" hidden="false" customHeight="false" outlineLevel="0" collapsed="false">
      <c r="A536" s="33"/>
      <c r="B536" s="27"/>
      <c r="C536" s="27"/>
      <c r="D536" s="34"/>
      <c r="E536" s="27"/>
      <c r="F536" s="28" t="str">
        <f aca="false">IF(C536="","",IFERROR(INDEX(Settings!$C$8:$C$19,MATCH(C536,Settings!$B$8:$B$19,0)),"?"))</f>
        <v/>
      </c>
      <c r="G536" s="35" t="str">
        <f aca="false">IF(A536="","",DATE(YEAR(A536),MONTH(A536),1))</f>
        <v/>
      </c>
    </row>
    <row r="537" customFormat="false" ht="15" hidden="false" customHeight="false" outlineLevel="0" collapsed="false">
      <c r="A537" s="33"/>
      <c r="B537" s="27"/>
      <c r="C537" s="27"/>
      <c r="D537" s="34"/>
      <c r="E537" s="27"/>
      <c r="F537" s="28" t="str">
        <f aca="false">IF(C537="","",IFERROR(INDEX(Settings!$C$8:$C$19,MATCH(C537,Settings!$B$8:$B$19,0)),"?"))</f>
        <v/>
      </c>
      <c r="G537" s="35" t="str">
        <f aca="false">IF(A537="","",DATE(YEAR(A537),MONTH(A537),1))</f>
        <v/>
      </c>
    </row>
    <row r="538" customFormat="false" ht="15" hidden="false" customHeight="false" outlineLevel="0" collapsed="false">
      <c r="A538" s="33"/>
      <c r="B538" s="27"/>
      <c r="C538" s="27"/>
      <c r="D538" s="34"/>
      <c r="E538" s="27"/>
      <c r="F538" s="28" t="str">
        <f aca="false">IF(C538="","",IFERROR(INDEX(Settings!$C$8:$C$19,MATCH(C538,Settings!$B$8:$B$19,0)),"?"))</f>
        <v/>
      </c>
      <c r="G538" s="35" t="str">
        <f aca="false">IF(A538="","",DATE(YEAR(A538),MONTH(A538),1))</f>
        <v/>
      </c>
    </row>
    <row r="539" customFormat="false" ht="15" hidden="false" customHeight="false" outlineLevel="0" collapsed="false">
      <c r="A539" s="33"/>
      <c r="B539" s="27"/>
      <c r="C539" s="27"/>
      <c r="D539" s="34"/>
      <c r="E539" s="27"/>
      <c r="F539" s="28" t="str">
        <f aca="false">IF(C539="","",IFERROR(INDEX(Settings!$C$8:$C$19,MATCH(C539,Settings!$B$8:$B$19,0)),"?"))</f>
        <v/>
      </c>
      <c r="G539" s="35" t="str">
        <f aca="false">IF(A539="","",DATE(YEAR(A539),MONTH(A539),1))</f>
        <v/>
      </c>
    </row>
    <row r="540" customFormat="false" ht="15" hidden="false" customHeight="false" outlineLevel="0" collapsed="false">
      <c r="A540" s="33"/>
      <c r="B540" s="27"/>
      <c r="C540" s="27"/>
      <c r="D540" s="34"/>
      <c r="E540" s="27"/>
      <c r="F540" s="28" t="str">
        <f aca="false">IF(C540="","",IFERROR(INDEX(Settings!$C$8:$C$19,MATCH(C540,Settings!$B$8:$B$19,0)),"?"))</f>
        <v/>
      </c>
      <c r="G540" s="35" t="str">
        <f aca="false">IF(A540="","",DATE(YEAR(A540),MONTH(A540),1))</f>
        <v/>
      </c>
    </row>
    <row r="541" customFormat="false" ht="15" hidden="false" customHeight="false" outlineLevel="0" collapsed="false">
      <c r="A541" s="33"/>
      <c r="B541" s="27"/>
      <c r="C541" s="27"/>
      <c r="D541" s="34"/>
      <c r="E541" s="27"/>
      <c r="F541" s="28" t="str">
        <f aca="false">IF(C541="","",IFERROR(INDEX(Settings!$C$8:$C$19,MATCH(C541,Settings!$B$8:$B$19,0)),"?"))</f>
        <v/>
      </c>
      <c r="G541" s="35" t="str">
        <f aca="false">IF(A541="","",DATE(YEAR(A541),MONTH(A541),1))</f>
        <v/>
      </c>
    </row>
    <row r="542" customFormat="false" ht="15" hidden="false" customHeight="false" outlineLevel="0" collapsed="false">
      <c r="A542" s="33"/>
      <c r="B542" s="27"/>
      <c r="C542" s="27"/>
      <c r="D542" s="34"/>
      <c r="E542" s="27"/>
      <c r="F542" s="28" t="str">
        <f aca="false">IF(C542="","",IFERROR(INDEX(Settings!$C$8:$C$19,MATCH(C542,Settings!$B$8:$B$19,0)),"?"))</f>
        <v/>
      </c>
      <c r="G542" s="35" t="str">
        <f aca="false">IF(A542="","",DATE(YEAR(A542),MONTH(A542),1))</f>
        <v/>
      </c>
    </row>
    <row r="543" customFormat="false" ht="15" hidden="false" customHeight="false" outlineLevel="0" collapsed="false">
      <c r="A543" s="33"/>
      <c r="B543" s="27"/>
      <c r="C543" s="27"/>
      <c r="D543" s="34"/>
      <c r="E543" s="27"/>
      <c r="F543" s="28" t="str">
        <f aca="false">IF(C543="","",IFERROR(INDEX(Settings!$C$8:$C$19,MATCH(C543,Settings!$B$8:$B$19,0)),"?"))</f>
        <v/>
      </c>
      <c r="G543" s="35" t="str">
        <f aca="false">IF(A543="","",DATE(YEAR(A543),MONTH(A543),1))</f>
        <v/>
      </c>
    </row>
    <row r="544" customFormat="false" ht="15" hidden="false" customHeight="false" outlineLevel="0" collapsed="false">
      <c r="A544" s="33"/>
      <c r="B544" s="27"/>
      <c r="C544" s="27"/>
      <c r="D544" s="34"/>
      <c r="E544" s="27"/>
      <c r="F544" s="28" t="str">
        <f aca="false">IF(C544="","",IFERROR(INDEX(Settings!$C$8:$C$19,MATCH(C544,Settings!$B$8:$B$19,0)),"?"))</f>
        <v/>
      </c>
      <c r="G544" s="35" t="str">
        <f aca="false">IF(A544="","",DATE(YEAR(A544),MONTH(A544),1))</f>
        <v/>
      </c>
    </row>
    <row r="545" customFormat="false" ht="15" hidden="false" customHeight="false" outlineLevel="0" collapsed="false">
      <c r="A545" s="33"/>
      <c r="B545" s="27"/>
      <c r="C545" s="27"/>
      <c r="D545" s="34"/>
      <c r="E545" s="27"/>
      <c r="F545" s="28" t="str">
        <f aca="false">IF(C545="","",IFERROR(INDEX(Settings!$C$8:$C$19,MATCH(C545,Settings!$B$8:$B$19,0)),"?"))</f>
        <v/>
      </c>
      <c r="G545" s="35" t="str">
        <f aca="false">IF(A545="","",DATE(YEAR(A545),MONTH(A545),1))</f>
        <v/>
      </c>
    </row>
    <row r="546" customFormat="false" ht="15" hidden="false" customHeight="false" outlineLevel="0" collapsed="false">
      <c r="A546" s="33"/>
      <c r="B546" s="27"/>
      <c r="C546" s="27"/>
      <c r="D546" s="34"/>
      <c r="E546" s="27"/>
      <c r="F546" s="28" t="str">
        <f aca="false">IF(C546="","",IFERROR(INDEX(Settings!$C$8:$C$19,MATCH(C546,Settings!$B$8:$B$19,0)),"?"))</f>
        <v/>
      </c>
      <c r="G546" s="35" t="str">
        <f aca="false">IF(A546="","",DATE(YEAR(A546),MONTH(A546),1))</f>
        <v/>
      </c>
    </row>
    <row r="547" customFormat="false" ht="15" hidden="false" customHeight="false" outlineLevel="0" collapsed="false">
      <c r="A547" s="33"/>
      <c r="B547" s="27"/>
      <c r="C547" s="27"/>
      <c r="D547" s="34"/>
      <c r="E547" s="27"/>
      <c r="F547" s="28" t="str">
        <f aca="false">IF(C547="","",IFERROR(INDEX(Settings!$C$8:$C$19,MATCH(C547,Settings!$B$8:$B$19,0)),"?"))</f>
        <v/>
      </c>
      <c r="G547" s="35" t="str">
        <f aca="false">IF(A547="","",DATE(YEAR(A547),MONTH(A547),1))</f>
        <v/>
      </c>
    </row>
    <row r="548" customFormat="false" ht="15" hidden="false" customHeight="false" outlineLevel="0" collapsed="false">
      <c r="A548" s="33"/>
      <c r="B548" s="27"/>
      <c r="C548" s="27"/>
      <c r="D548" s="34"/>
      <c r="E548" s="27"/>
      <c r="F548" s="28" t="str">
        <f aca="false">IF(C548="","",IFERROR(INDEX(Settings!$C$8:$C$19,MATCH(C548,Settings!$B$8:$B$19,0)),"?"))</f>
        <v/>
      </c>
      <c r="G548" s="35" t="str">
        <f aca="false">IF(A548="","",DATE(YEAR(A548),MONTH(A548),1))</f>
        <v/>
      </c>
    </row>
    <row r="549" customFormat="false" ht="15" hidden="false" customHeight="false" outlineLevel="0" collapsed="false">
      <c r="A549" s="33"/>
      <c r="B549" s="27"/>
      <c r="C549" s="27"/>
      <c r="D549" s="34"/>
      <c r="E549" s="27"/>
      <c r="F549" s="28" t="str">
        <f aca="false">IF(C549="","",IFERROR(INDEX(Settings!$C$8:$C$19,MATCH(C549,Settings!$B$8:$B$19,0)),"?"))</f>
        <v/>
      </c>
      <c r="G549" s="35" t="str">
        <f aca="false">IF(A549="","",DATE(YEAR(A549),MONTH(A549),1))</f>
        <v/>
      </c>
    </row>
    <row r="550" customFormat="false" ht="15" hidden="false" customHeight="false" outlineLevel="0" collapsed="false">
      <c r="A550" s="33"/>
      <c r="B550" s="27"/>
      <c r="C550" s="27"/>
      <c r="D550" s="34"/>
      <c r="E550" s="27"/>
      <c r="F550" s="28" t="str">
        <f aca="false">IF(C550="","",IFERROR(INDEX(Settings!$C$8:$C$19,MATCH(C550,Settings!$B$8:$B$19,0)),"?"))</f>
        <v/>
      </c>
      <c r="G550" s="35" t="str">
        <f aca="false">IF(A550="","",DATE(YEAR(A550),MONTH(A550),1))</f>
        <v/>
      </c>
    </row>
    <row r="551" customFormat="false" ht="15" hidden="false" customHeight="false" outlineLevel="0" collapsed="false">
      <c r="A551" s="33"/>
      <c r="B551" s="27"/>
      <c r="C551" s="27"/>
      <c r="D551" s="34"/>
      <c r="E551" s="27"/>
      <c r="F551" s="28" t="str">
        <f aca="false">IF(C551="","",IFERROR(INDEX(Settings!$C$8:$C$19,MATCH(C551,Settings!$B$8:$B$19,0)),"?"))</f>
        <v/>
      </c>
      <c r="G551" s="35" t="str">
        <f aca="false">IF(A551="","",DATE(YEAR(A551),MONTH(A551),1))</f>
        <v/>
      </c>
    </row>
    <row r="552" customFormat="false" ht="15" hidden="false" customHeight="false" outlineLevel="0" collapsed="false">
      <c r="A552" s="33"/>
      <c r="B552" s="27"/>
      <c r="C552" s="27"/>
      <c r="D552" s="34"/>
      <c r="E552" s="27"/>
      <c r="F552" s="28" t="str">
        <f aca="false">IF(C552="","",IFERROR(INDEX(Settings!$C$8:$C$19,MATCH(C552,Settings!$B$8:$B$19,0)),"?"))</f>
        <v/>
      </c>
      <c r="G552" s="35" t="str">
        <f aca="false">IF(A552="","",DATE(YEAR(A552),MONTH(A552),1))</f>
        <v/>
      </c>
    </row>
    <row r="553" customFormat="false" ht="15" hidden="false" customHeight="false" outlineLevel="0" collapsed="false">
      <c r="A553" s="33"/>
      <c r="B553" s="27"/>
      <c r="C553" s="27"/>
      <c r="D553" s="34"/>
      <c r="E553" s="27"/>
      <c r="F553" s="28" t="str">
        <f aca="false">IF(C553="","",IFERROR(INDEX(Settings!$C$8:$C$19,MATCH(C553,Settings!$B$8:$B$19,0)),"?"))</f>
        <v/>
      </c>
      <c r="G553" s="35" t="str">
        <f aca="false">IF(A553="","",DATE(YEAR(A553),MONTH(A553),1))</f>
        <v/>
      </c>
    </row>
    <row r="554" customFormat="false" ht="15" hidden="false" customHeight="false" outlineLevel="0" collapsed="false">
      <c r="A554" s="33"/>
      <c r="B554" s="27"/>
      <c r="C554" s="27"/>
      <c r="D554" s="34"/>
      <c r="E554" s="27"/>
      <c r="F554" s="28" t="str">
        <f aca="false">IF(C554="","",IFERROR(INDEX(Settings!$C$8:$C$19,MATCH(C554,Settings!$B$8:$B$19,0)),"?"))</f>
        <v/>
      </c>
      <c r="G554" s="35" t="str">
        <f aca="false">IF(A554="","",DATE(YEAR(A554),MONTH(A554),1))</f>
        <v/>
      </c>
    </row>
    <row r="555" customFormat="false" ht="15" hidden="false" customHeight="false" outlineLevel="0" collapsed="false">
      <c r="A555" s="33"/>
      <c r="B555" s="27"/>
      <c r="C555" s="27"/>
      <c r="D555" s="34"/>
      <c r="E555" s="27"/>
      <c r="F555" s="28" t="str">
        <f aca="false">IF(C555="","",IFERROR(INDEX(Settings!$C$8:$C$19,MATCH(C555,Settings!$B$8:$B$19,0)),"?"))</f>
        <v/>
      </c>
      <c r="G555" s="35" t="str">
        <f aca="false">IF(A555="","",DATE(YEAR(A555),MONTH(A555),1))</f>
        <v/>
      </c>
    </row>
    <row r="556" customFormat="false" ht="15" hidden="false" customHeight="false" outlineLevel="0" collapsed="false">
      <c r="A556" s="33"/>
      <c r="B556" s="27"/>
      <c r="C556" s="27"/>
      <c r="D556" s="34"/>
      <c r="E556" s="27"/>
      <c r="F556" s="28" t="str">
        <f aca="false">IF(C556="","",IFERROR(INDEX(Settings!$C$8:$C$19,MATCH(C556,Settings!$B$8:$B$19,0)),"?"))</f>
        <v/>
      </c>
      <c r="G556" s="35" t="str">
        <f aca="false">IF(A556="","",DATE(YEAR(A556),MONTH(A556),1))</f>
        <v/>
      </c>
    </row>
    <row r="557" customFormat="false" ht="15" hidden="false" customHeight="false" outlineLevel="0" collapsed="false">
      <c r="A557" s="33"/>
      <c r="B557" s="27"/>
      <c r="C557" s="27"/>
      <c r="D557" s="34"/>
      <c r="E557" s="27"/>
      <c r="F557" s="28" t="str">
        <f aca="false">IF(C557="","",IFERROR(INDEX(Settings!$C$8:$C$19,MATCH(C557,Settings!$B$8:$B$19,0)),"?"))</f>
        <v/>
      </c>
      <c r="G557" s="35" t="str">
        <f aca="false">IF(A557="","",DATE(YEAR(A557),MONTH(A557),1))</f>
        <v/>
      </c>
    </row>
    <row r="558" customFormat="false" ht="15" hidden="false" customHeight="false" outlineLevel="0" collapsed="false">
      <c r="A558" s="33"/>
      <c r="B558" s="27"/>
      <c r="C558" s="27"/>
      <c r="D558" s="34"/>
      <c r="E558" s="27"/>
      <c r="F558" s="28" t="str">
        <f aca="false">IF(C558="","",IFERROR(INDEX(Settings!$C$8:$C$19,MATCH(C558,Settings!$B$8:$B$19,0)),"?"))</f>
        <v/>
      </c>
      <c r="G558" s="35" t="str">
        <f aca="false">IF(A558="","",DATE(YEAR(A558),MONTH(A558),1))</f>
        <v/>
      </c>
    </row>
    <row r="559" customFormat="false" ht="15" hidden="false" customHeight="false" outlineLevel="0" collapsed="false">
      <c r="A559" s="33"/>
      <c r="B559" s="27"/>
      <c r="C559" s="27"/>
      <c r="D559" s="34"/>
      <c r="E559" s="27"/>
      <c r="F559" s="28" t="str">
        <f aca="false">IF(C559="","",IFERROR(INDEX(Settings!$C$8:$C$19,MATCH(C559,Settings!$B$8:$B$19,0)),"?"))</f>
        <v/>
      </c>
      <c r="G559" s="35" t="str">
        <f aca="false">IF(A559="","",DATE(YEAR(A559),MONTH(A559),1))</f>
        <v/>
      </c>
    </row>
    <row r="560" customFormat="false" ht="15" hidden="false" customHeight="false" outlineLevel="0" collapsed="false">
      <c r="A560" s="33"/>
      <c r="B560" s="27"/>
      <c r="C560" s="27"/>
      <c r="D560" s="34"/>
      <c r="E560" s="27"/>
      <c r="F560" s="28" t="str">
        <f aca="false">IF(C560="","",IFERROR(INDEX(Settings!$C$8:$C$19,MATCH(C560,Settings!$B$8:$B$19,0)),"?"))</f>
        <v/>
      </c>
      <c r="G560" s="35" t="str">
        <f aca="false">IF(A560="","",DATE(YEAR(A560),MONTH(A560),1))</f>
        <v/>
      </c>
    </row>
    <row r="561" customFormat="false" ht="15" hidden="false" customHeight="false" outlineLevel="0" collapsed="false">
      <c r="A561" s="33"/>
      <c r="B561" s="27"/>
      <c r="C561" s="27"/>
      <c r="D561" s="34"/>
      <c r="E561" s="27"/>
      <c r="F561" s="28" t="str">
        <f aca="false">IF(C561="","",IFERROR(INDEX(Settings!$C$8:$C$19,MATCH(C561,Settings!$B$8:$B$19,0)),"?"))</f>
        <v/>
      </c>
      <c r="G561" s="35" t="str">
        <f aca="false">IF(A561="","",DATE(YEAR(A561),MONTH(A561),1))</f>
        <v/>
      </c>
    </row>
    <row r="562" customFormat="false" ht="15" hidden="false" customHeight="false" outlineLevel="0" collapsed="false">
      <c r="A562" s="33"/>
      <c r="B562" s="27"/>
      <c r="C562" s="27"/>
      <c r="D562" s="34"/>
      <c r="E562" s="27"/>
      <c r="F562" s="28" t="str">
        <f aca="false">IF(C562="","",IFERROR(INDEX(Settings!$C$8:$C$19,MATCH(C562,Settings!$B$8:$B$19,0)),"?"))</f>
        <v/>
      </c>
      <c r="G562" s="35" t="str">
        <f aca="false">IF(A562="","",DATE(YEAR(A562),MONTH(A562),1))</f>
        <v/>
      </c>
    </row>
    <row r="563" customFormat="false" ht="15" hidden="false" customHeight="false" outlineLevel="0" collapsed="false">
      <c r="A563" s="33"/>
      <c r="B563" s="27"/>
      <c r="C563" s="27"/>
      <c r="D563" s="34"/>
      <c r="E563" s="27"/>
      <c r="F563" s="28" t="str">
        <f aca="false">IF(C563="","",IFERROR(INDEX(Settings!$C$8:$C$19,MATCH(C563,Settings!$B$8:$B$19,0)),"?"))</f>
        <v/>
      </c>
      <c r="G563" s="35" t="str">
        <f aca="false">IF(A563="","",DATE(YEAR(A563),MONTH(A563),1))</f>
        <v/>
      </c>
    </row>
    <row r="564" customFormat="false" ht="15" hidden="false" customHeight="false" outlineLevel="0" collapsed="false">
      <c r="A564" s="33"/>
      <c r="B564" s="27"/>
      <c r="C564" s="27"/>
      <c r="D564" s="34"/>
      <c r="E564" s="27"/>
      <c r="F564" s="28" t="str">
        <f aca="false">IF(C564="","",IFERROR(INDEX(Settings!$C$8:$C$19,MATCH(C564,Settings!$B$8:$B$19,0)),"?"))</f>
        <v/>
      </c>
      <c r="G564" s="35" t="str">
        <f aca="false">IF(A564="","",DATE(YEAR(A564),MONTH(A564),1))</f>
        <v/>
      </c>
    </row>
    <row r="565" customFormat="false" ht="15" hidden="false" customHeight="false" outlineLevel="0" collapsed="false">
      <c r="A565" s="33"/>
      <c r="B565" s="27"/>
      <c r="C565" s="27"/>
      <c r="D565" s="34"/>
      <c r="E565" s="27"/>
      <c r="F565" s="28" t="str">
        <f aca="false">IF(C565="","",IFERROR(INDEX(Settings!$C$8:$C$19,MATCH(C565,Settings!$B$8:$B$19,0)),"?"))</f>
        <v/>
      </c>
      <c r="G565" s="35" t="str">
        <f aca="false">IF(A565="","",DATE(YEAR(A565),MONTH(A565),1))</f>
        <v/>
      </c>
    </row>
    <row r="566" customFormat="false" ht="15" hidden="false" customHeight="false" outlineLevel="0" collapsed="false">
      <c r="A566" s="33"/>
      <c r="B566" s="27"/>
      <c r="C566" s="27"/>
      <c r="D566" s="34"/>
      <c r="E566" s="27"/>
      <c r="F566" s="28" t="str">
        <f aca="false">IF(C566="","",IFERROR(INDEX(Settings!$C$8:$C$19,MATCH(C566,Settings!$B$8:$B$19,0)),"?"))</f>
        <v/>
      </c>
      <c r="G566" s="35" t="str">
        <f aca="false">IF(A566="","",DATE(YEAR(A566),MONTH(A566),1))</f>
        <v/>
      </c>
    </row>
    <row r="567" customFormat="false" ht="15" hidden="false" customHeight="false" outlineLevel="0" collapsed="false">
      <c r="A567" s="33"/>
      <c r="B567" s="27"/>
      <c r="C567" s="27"/>
      <c r="D567" s="34"/>
      <c r="E567" s="27"/>
      <c r="F567" s="28" t="str">
        <f aca="false">IF(C567="","",IFERROR(INDEX(Settings!$C$8:$C$19,MATCH(C567,Settings!$B$8:$B$19,0)),"?"))</f>
        <v/>
      </c>
      <c r="G567" s="35" t="str">
        <f aca="false">IF(A567="","",DATE(YEAR(A567),MONTH(A567),1))</f>
        <v/>
      </c>
    </row>
    <row r="568" customFormat="false" ht="15" hidden="false" customHeight="false" outlineLevel="0" collapsed="false">
      <c r="A568" s="33"/>
      <c r="B568" s="27"/>
      <c r="C568" s="27"/>
      <c r="D568" s="34"/>
      <c r="E568" s="27"/>
      <c r="F568" s="28" t="str">
        <f aca="false">IF(C568="","",IFERROR(INDEX(Settings!$C$8:$C$19,MATCH(C568,Settings!$B$8:$B$19,0)),"?"))</f>
        <v/>
      </c>
      <c r="G568" s="35" t="str">
        <f aca="false">IF(A568="","",DATE(YEAR(A568),MONTH(A568),1))</f>
        <v/>
      </c>
    </row>
    <row r="569" customFormat="false" ht="15" hidden="false" customHeight="false" outlineLevel="0" collapsed="false">
      <c r="A569" s="33"/>
      <c r="B569" s="27"/>
      <c r="C569" s="27"/>
      <c r="D569" s="34"/>
      <c r="E569" s="27"/>
      <c r="F569" s="28" t="str">
        <f aca="false">IF(C569="","",IFERROR(INDEX(Settings!$C$8:$C$19,MATCH(C569,Settings!$B$8:$B$19,0)),"?"))</f>
        <v/>
      </c>
      <c r="G569" s="35" t="str">
        <f aca="false">IF(A569="","",DATE(YEAR(A569),MONTH(A569),1))</f>
        <v/>
      </c>
    </row>
    <row r="570" customFormat="false" ht="15" hidden="false" customHeight="false" outlineLevel="0" collapsed="false">
      <c r="A570" s="33"/>
      <c r="B570" s="27"/>
      <c r="C570" s="27"/>
      <c r="D570" s="34"/>
      <c r="E570" s="27"/>
      <c r="F570" s="28" t="str">
        <f aca="false">IF(C570="","",IFERROR(INDEX(Settings!$C$8:$C$19,MATCH(C570,Settings!$B$8:$B$19,0)),"?"))</f>
        <v/>
      </c>
      <c r="G570" s="35" t="str">
        <f aca="false">IF(A570="","",DATE(YEAR(A570),MONTH(A570),1))</f>
        <v/>
      </c>
    </row>
    <row r="571" customFormat="false" ht="15" hidden="false" customHeight="false" outlineLevel="0" collapsed="false">
      <c r="A571" s="33"/>
      <c r="B571" s="27"/>
      <c r="C571" s="27"/>
      <c r="D571" s="34"/>
      <c r="E571" s="27"/>
      <c r="F571" s="28" t="str">
        <f aca="false">IF(C571="","",IFERROR(INDEX(Settings!$C$8:$C$19,MATCH(C571,Settings!$B$8:$B$19,0)),"?"))</f>
        <v/>
      </c>
      <c r="G571" s="35" t="str">
        <f aca="false">IF(A571="","",DATE(YEAR(A571),MONTH(A571),1))</f>
        <v/>
      </c>
    </row>
    <row r="572" customFormat="false" ht="15" hidden="false" customHeight="false" outlineLevel="0" collapsed="false">
      <c r="A572" s="33"/>
      <c r="B572" s="27"/>
      <c r="C572" s="27"/>
      <c r="D572" s="34"/>
      <c r="E572" s="27"/>
      <c r="F572" s="28" t="str">
        <f aca="false">IF(C572="","",IFERROR(INDEX(Settings!$C$8:$C$19,MATCH(C572,Settings!$B$8:$B$19,0)),"?"))</f>
        <v/>
      </c>
      <c r="G572" s="35" t="str">
        <f aca="false">IF(A572="","",DATE(YEAR(A572),MONTH(A572),1))</f>
        <v/>
      </c>
    </row>
    <row r="573" customFormat="false" ht="15" hidden="false" customHeight="false" outlineLevel="0" collapsed="false">
      <c r="A573" s="33"/>
      <c r="B573" s="27"/>
      <c r="C573" s="27"/>
      <c r="D573" s="34"/>
      <c r="E573" s="27"/>
      <c r="F573" s="28" t="str">
        <f aca="false">IF(C573="","",IFERROR(INDEX(Settings!$C$8:$C$19,MATCH(C573,Settings!$B$8:$B$19,0)),"?"))</f>
        <v/>
      </c>
      <c r="G573" s="35" t="str">
        <f aca="false">IF(A573="","",DATE(YEAR(A573),MONTH(A573),1))</f>
        <v/>
      </c>
    </row>
    <row r="574" customFormat="false" ht="15" hidden="false" customHeight="false" outlineLevel="0" collapsed="false">
      <c r="A574" s="33"/>
      <c r="B574" s="27"/>
      <c r="C574" s="27"/>
      <c r="D574" s="34"/>
      <c r="E574" s="27"/>
      <c r="F574" s="28" t="str">
        <f aca="false">IF(C574="","",IFERROR(INDEX(Settings!$C$8:$C$19,MATCH(C574,Settings!$B$8:$B$19,0)),"?"))</f>
        <v/>
      </c>
      <c r="G574" s="35" t="str">
        <f aca="false">IF(A574="","",DATE(YEAR(A574),MONTH(A574),1))</f>
        <v/>
      </c>
    </row>
    <row r="575" customFormat="false" ht="15" hidden="false" customHeight="false" outlineLevel="0" collapsed="false">
      <c r="A575" s="33"/>
      <c r="B575" s="27"/>
      <c r="C575" s="27"/>
      <c r="D575" s="34"/>
      <c r="E575" s="27"/>
      <c r="F575" s="28" t="str">
        <f aca="false">IF(C575="","",IFERROR(INDEX(Settings!$C$8:$C$19,MATCH(C575,Settings!$B$8:$B$19,0)),"?"))</f>
        <v/>
      </c>
      <c r="G575" s="35" t="str">
        <f aca="false">IF(A575="","",DATE(YEAR(A575),MONTH(A575),1))</f>
        <v/>
      </c>
    </row>
    <row r="576" customFormat="false" ht="15" hidden="false" customHeight="false" outlineLevel="0" collapsed="false">
      <c r="A576" s="33"/>
      <c r="B576" s="27"/>
      <c r="C576" s="27"/>
      <c r="D576" s="34"/>
      <c r="E576" s="27"/>
      <c r="F576" s="28" t="str">
        <f aca="false">IF(C576="","",IFERROR(INDEX(Settings!$C$8:$C$19,MATCH(C576,Settings!$B$8:$B$19,0)),"?"))</f>
        <v/>
      </c>
      <c r="G576" s="35" t="str">
        <f aca="false">IF(A576="","",DATE(YEAR(A576),MONTH(A576),1))</f>
        <v/>
      </c>
    </row>
    <row r="577" customFormat="false" ht="15" hidden="false" customHeight="false" outlineLevel="0" collapsed="false">
      <c r="A577" s="33"/>
      <c r="B577" s="27"/>
      <c r="C577" s="27"/>
      <c r="D577" s="34"/>
      <c r="E577" s="27"/>
      <c r="F577" s="28" t="str">
        <f aca="false">IF(C577="","",IFERROR(INDEX(Settings!$C$8:$C$19,MATCH(C577,Settings!$B$8:$B$19,0)),"?"))</f>
        <v/>
      </c>
      <c r="G577" s="35" t="str">
        <f aca="false">IF(A577="","",DATE(YEAR(A577),MONTH(A577),1))</f>
        <v/>
      </c>
    </row>
    <row r="578" customFormat="false" ht="15" hidden="false" customHeight="false" outlineLevel="0" collapsed="false">
      <c r="A578" s="33"/>
      <c r="B578" s="27"/>
      <c r="C578" s="27"/>
      <c r="D578" s="34"/>
      <c r="E578" s="27"/>
      <c r="F578" s="28" t="str">
        <f aca="false">IF(C578="","",IFERROR(INDEX(Settings!$C$8:$C$19,MATCH(C578,Settings!$B$8:$B$19,0)),"?"))</f>
        <v/>
      </c>
      <c r="G578" s="35" t="str">
        <f aca="false">IF(A578="","",DATE(YEAR(A578),MONTH(A578),1))</f>
        <v/>
      </c>
    </row>
    <row r="579" customFormat="false" ht="15" hidden="false" customHeight="false" outlineLevel="0" collapsed="false">
      <c r="A579" s="33"/>
      <c r="B579" s="27"/>
      <c r="C579" s="27"/>
      <c r="D579" s="34"/>
      <c r="E579" s="27"/>
      <c r="F579" s="28" t="str">
        <f aca="false">IF(C579="","",IFERROR(INDEX(Settings!$C$8:$C$19,MATCH(C579,Settings!$B$8:$B$19,0)),"?"))</f>
        <v/>
      </c>
      <c r="G579" s="35" t="str">
        <f aca="false">IF(A579="","",DATE(YEAR(A579),MONTH(A579),1))</f>
        <v/>
      </c>
    </row>
    <row r="580" customFormat="false" ht="15" hidden="false" customHeight="false" outlineLevel="0" collapsed="false">
      <c r="A580" s="33"/>
      <c r="B580" s="27"/>
      <c r="C580" s="27"/>
      <c r="D580" s="34"/>
      <c r="E580" s="27"/>
      <c r="F580" s="28" t="str">
        <f aca="false">IF(C580="","",IFERROR(INDEX(Settings!$C$8:$C$19,MATCH(C580,Settings!$B$8:$B$19,0)),"?"))</f>
        <v/>
      </c>
      <c r="G580" s="35" t="str">
        <f aca="false">IF(A580="","",DATE(YEAR(A580),MONTH(A580),1))</f>
        <v/>
      </c>
    </row>
    <row r="581" customFormat="false" ht="15" hidden="false" customHeight="false" outlineLevel="0" collapsed="false">
      <c r="A581" s="33"/>
      <c r="B581" s="27"/>
      <c r="C581" s="27"/>
      <c r="D581" s="34"/>
      <c r="E581" s="27"/>
      <c r="F581" s="28" t="str">
        <f aca="false">IF(C581="","",IFERROR(INDEX(Settings!$C$8:$C$19,MATCH(C581,Settings!$B$8:$B$19,0)),"?"))</f>
        <v/>
      </c>
      <c r="G581" s="35" t="str">
        <f aca="false">IF(A581="","",DATE(YEAR(A581),MONTH(A581),1))</f>
        <v/>
      </c>
    </row>
    <row r="582" customFormat="false" ht="15" hidden="false" customHeight="false" outlineLevel="0" collapsed="false">
      <c r="A582" s="33"/>
      <c r="B582" s="27"/>
      <c r="C582" s="27"/>
      <c r="D582" s="34"/>
      <c r="E582" s="27"/>
      <c r="F582" s="28" t="str">
        <f aca="false">IF(C582="","",IFERROR(INDEX(Settings!$C$8:$C$19,MATCH(C582,Settings!$B$8:$B$19,0)),"?"))</f>
        <v/>
      </c>
      <c r="G582" s="35" t="str">
        <f aca="false">IF(A582="","",DATE(YEAR(A582),MONTH(A582),1))</f>
        <v/>
      </c>
    </row>
    <row r="583" customFormat="false" ht="15" hidden="false" customHeight="false" outlineLevel="0" collapsed="false">
      <c r="A583" s="33"/>
      <c r="B583" s="27"/>
      <c r="C583" s="27"/>
      <c r="D583" s="34"/>
      <c r="E583" s="27"/>
      <c r="F583" s="28" t="str">
        <f aca="false">IF(C583="","",IFERROR(INDEX(Settings!$C$8:$C$19,MATCH(C583,Settings!$B$8:$B$19,0)),"?"))</f>
        <v/>
      </c>
      <c r="G583" s="35" t="str">
        <f aca="false">IF(A583="","",DATE(YEAR(A583),MONTH(A583),1))</f>
        <v/>
      </c>
    </row>
    <row r="584" customFormat="false" ht="15" hidden="false" customHeight="false" outlineLevel="0" collapsed="false">
      <c r="A584" s="33"/>
      <c r="B584" s="27"/>
      <c r="C584" s="27"/>
      <c r="D584" s="34"/>
      <c r="E584" s="27"/>
      <c r="F584" s="28" t="str">
        <f aca="false">IF(C584="","",IFERROR(INDEX(Settings!$C$8:$C$19,MATCH(C584,Settings!$B$8:$B$19,0)),"?"))</f>
        <v/>
      </c>
      <c r="G584" s="35" t="str">
        <f aca="false">IF(A584="","",DATE(YEAR(A584),MONTH(A584),1))</f>
        <v/>
      </c>
    </row>
    <row r="585" customFormat="false" ht="15" hidden="false" customHeight="false" outlineLevel="0" collapsed="false">
      <c r="A585" s="33"/>
      <c r="B585" s="27"/>
      <c r="C585" s="27"/>
      <c r="D585" s="34"/>
      <c r="E585" s="27"/>
      <c r="F585" s="28" t="str">
        <f aca="false">IF(C585="","",IFERROR(INDEX(Settings!$C$8:$C$19,MATCH(C585,Settings!$B$8:$B$19,0)),"?"))</f>
        <v/>
      </c>
      <c r="G585" s="35" t="str">
        <f aca="false">IF(A585="","",DATE(YEAR(A585),MONTH(A585),1))</f>
        <v/>
      </c>
    </row>
    <row r="586" customFormat="false" ht="15" hidden="false" customHeight="false" outlineLevel="0" collapsed="false">
      <c r="A586" s="33"/>
      <c r="B586" s="27"/>
      <c r="C586" s="27"/>
      <c r="D586" s="34"/>
      <c r="E586" s="27"/>
      <c r="F586" s="28" t="str">
        <f aca="false">IF(C586="","",IFERROR(INDEX(Settings!$C$8:$C$19,MATCH(C586,Settings!$B$8:$B$19,0)),"?"))</f>
        <v/>
      </c>
      <c r="G586" s="35" t="str">
        <f aca="false">IF(A586="","",DATE(YEAR(A586),MONTH(A586),1))</f>
        <v/>
      </c>
    </row>
    <row r="587" customFormat="false" ht="15" hidden="false" customHeight="false" outlineLevel="0" collapsed="false">
      <c r="A587" s="33"/>
      <c r="B587" s="27"/>
      <c r="C587" s="27"/>
      <c r="D587" s="34"/>
      <c r="E587" s="27"/>
      <c r="F587" s="28" t="str">
        <f aca="false">IF(C587="","",IFERROR(INDEX(Settings!$C$8:$C$19,MATCH(C587,Settings!$B$8:$B$19,0)),"?"))</f>
        <v/>
      </c>
      <c r="G587" s="35" t="str">
        <f aca="false">IF(A587="","",DATE(YEAR(A587),MONTH(A587),1))</f>
        <v/>
      </c>
    </row>
    <row r="588" customFormat="false" ht="15" hidden="false" customHeight="false" outlineLevel="0" collapsed="false">
      <c r="A588" s="33"/>
      <c r="B588" s="27"/>
      <c r="C588" s="27"/>
      <c r="D588" s="34"/>
      <c r="E588" s="27"/>
      <c r="F588" s="28" t="str">
        <f aca="false">IF(C588="","",IFERROR(INDEX(Settings!$C$8:$C$19,MATCH(C588,Settings!$B$8:$B$19,0)),"?"))</f>
        <v/>
      </c>
      <c r="G588" s="35" t="str">
        <f aca="false">IF(A588="","",DATE(YEAR(A588),MONTH(A588),1))</f>
        <v/>
      </c>
    </row>
    <row r="589" customFormat="false" ht="15" hidden="false" customHeight="false" outlineLevel="0" collapsed="false">
      <c r="A589" s="33"/>
      <c r="B589" s="27"/>
      <c r="C589" s="27"/>
      <c r="D589" s="34"/>
      <c r="E589" s="27"/>
      <c r="F589" s="28" t="str">
        <f aca="false">IF(C589="","",IFERROR(INDEX(Settings!$C$8:$C$19,MATCH(C589,Settings!$B$8:$B$19,0)),"?"))</f>
        <v/>
      </c>
      <c r="G589" s="35" t="str">
        <f aca="false">IF(A589="","",DATE(YEAR(A589),MONTH(A589),1))</f>
        <v/>
      </c>
    </row>
    <row r="590" customFormat="false" ht="15" hidden="false" customHeight="false" outlineLevel="0" collapsed="false">
      <c r="A590" s="33"/>
      <c r="B590" s="27"/>
      <c r="C590" s="27"/>
      <c r="D590" s="34"/>
      <c r="E590" s="27"/>
      <c r="F590" s="28" t="str">
        <f aca="false">IF(C590="","",IFERROR(INDEX(Settings!$C$8:$C$19,MATCH(C590,Settings!$B$8:$B$19,0)),"?"))</f>
        <v/>
      </c>
      <c r="G590" s="35" t="str">
        <f aca="false">IF(A590="","",DATE(YEAR(A590),MONTH(A590),1))</f>
        <v/>
      </c>
    </row>
    <row r="591" customFormat="false" ht="15" hidden="false" customHeight="false" outlineLevel="0" collapsed="false">
      <c r="A591" s="33"/>
      <c r="B591" s="27"/>
      <c r="C591" s="27"/>
      <c r="D591" s="34"/>
      <c r="E591" s="27"/>
      <c r="F591" s="28" t="str">
        <f aca="false">IF(C591="","",IFERROR(INDEX(Settings!$C$8:$C$19,MATCH(C591,Settings!$B$8:$B$19,0)),"?"))</f>
        <v/>
      </c>
      <c r="G591" s="35" t="str">
        <f aca="false">IF(A591="","",DATE(YEAR(A591),MONTH(A591),1))</f>
        <v/>
      </c>
    </row>
    <row r="592" customFormat="false" ht="15" hidden="false" customHeight="false" outlineLevel="0" collapsed="false">
      <c r="A592" s="33"/>
      <c r="B592" s="27"/>
      <c r="C592" s="27"/>
      <c r="D592" s="34"/>
      <c r="E592" s="27"/>
      <c r="F592" s="28" t="str">
        <f aca="false">IF(C592="","",IFERROR(INDEX(Settings!$C$8:$C$19,MATCH(C592,Settings!$B$8:$B$19,0)),"?"))</f>
        <v/>
      </c>
      <c r="G592" s="35" t="str">
        <f aca="false">IF(A592="","",DATE(YEAR(A592),MONTH(A592),1))</f>
        <v/>
      </c>
    </row>
    <row r="593" customFormat="false" ht="15" hidden="false" customHeight="false" outlineLevel="0" collapsed="false">
      <c r="A593" s="33"/>
      <c r="B593" s="27"/>
      <c r="C593" s="27"/>
      <c r="D593" s="34"/>
      <c r="E593" s="27"/>
      <c r="F593" s="28" t="str">
        <f aca="false">IF(C593="","",IFERROR(INDEX(Settings!$C$8:$C$19,MATCH(C593,Settings!$B$8:$B$19,0)),"?"))</f>
        <v/>
      </c>
      <c r="G593" s="35" t="str">
        <f aca="false">IF(A593="","",DATE(YEAR(A593),MONTH(A593),1))</f>
        <v/>
      </c>
    </row>
    <row r="594" customFormat="false" ht="15" hidden="false" customHeight="false" outlineLevel="0" collapsed="false">
      <c r="A594" s="33"/>
      <c r="B594" s="27"/>
      <c r="C594" s="27"/>
      <c r="D594" s="34"/>
      <c r="E594" s="27"/>
      <c r="F594" s="28" t="str">
        <f aca="false">IF(C594="","",IFERROR(INDEX(Settings!$C$8:$C$19,MATCH(C594,Settings!$B$8:$B$19,0)),"?"))</f>
        <v/>
      </c>
      <c r="G594" s="35" t="str">
        <f aca="false">IF(A594="","",DATE(YEAR(A594),MONTH(A594),1))</f>
        <v/>
      </c>
    </row>
    <row r="595" customFormat="false" ht="15" hidden="false" customHeight="false" outlineLevel="0" collapsed="false">
      <c r="A595" s="33"/>
      <c r="B595" s="27"/>
      <c r="C595" s="27"/>
      <c r="D595" s="34"/>
      <c r="E595" s="27"/>
      <c r="F595" s="28" t="str">
        <f aca="false">IF(C595="","",IFERROR(INDEX(Settings!$C$8:$C$19,MATCH(C595,Settings!$B$8:$B$19,0)),"?"))</f>
        <v/>
      </c>
      <c r="G595" s="35" t="str">
        <f aca="false">IF(A595="","",DATE(YEAR(A595),MONTH(A595),1))</f>
        <v/>
      </c>
    </row>
    <row r="596" customFormat="false" ht="15" hidden="false" customHeight="false" outlineLevel="0" collapsed="false">
      <c r="A596" s="33"/>
      <c r="B596" s="27"/>
      <c r="C596" s="27"/>
      <c r="D596" s="34"/>
      <c r="E596" s="27"/>
      <c r="F596" s="28" t="str">
        <f aca="false">IF(C596="","",IFERROR(INDEX(Settings!$C$8:$C$19,MATCH(C596,Settings!$B$8:$B$19,0)),"?"))</f>
        <v/>
      </c>
      <c r="G596" s="35" t="str">
        <f aca="false">IF(A596="","",DATE(YEAR(A596),MONTH(A596),1))</f>
        <v/>
      </c>
    </row>
    <row r="597" customFormat="false" ht="15" hidden="false" customHeight="false" outlineLevel="0" collapsed="false">
      <c r="A597" s="33"/>
      <c r="B597" s="27"/>
      <c r="C597" s="27"/>
      <c r="D597" s="34"/>
      <c r="E597" s="27"/>
      <c r="F597" s="28" t="str">
        <f aca="false">IF(C597="","",IFERROR(INDEX(Settings!$C$8:$C$19,MATCH(C597,Settings!$B$8:$B$19,0)),"?"))</f>
        <v/>
      </c>
      <c r="G597" s="35" t="str">
        <f aca="false">IF(A597="","",DATE(YEAR(A597),MONTH(A597),1))</f>
        <v/>
      </c>
    </row>
    <row r="598" customFormat="false" ht="15" hidden="false" customHeight="false" outlineLevel="0" collapsed="false">
      <c r="A598" s="33"/>
      <c r="B598" s="27"/>
      <c r="C598" s="27"/>
      <c r="D598" s="34"/>
      <c r="E598" s="27"/>
      <c r="F598" s="28" t="str">
        <f aca="false">IF(C598="","",IFERROR(INDEX(Settings!$C$8:$C$19,MATCH(C598,Settings!$B$8:$B$19,0)),"?"))</f>
        <v/>
      </c>
      <c r="G598" s="35" t="str">
        <f aca="false">IF(A598="","",DATE(YEAR(A598),MONTH(A598),1))</f>
        <v/>
      </c>
    </row>
    <row r="599" customFormat="false" ht="15" hidden="false" customHeight="false" outlineLevel="0" collapsed="false">
      <c r="A599" s="33"/>
      <c r="B599" s="27"/>
      <c r="C599" s="27"/>
      <c r="D599" s="34"/>
      <c r="E599" s="27"/>
      <c r="F599" s="28" t="str">
        <f aca="false">IF(C599="","",IFERROR(INDEX(Settings!$C$8:$C$19,MATCH(C599,Settings!$B$8:$B$19,0)),"?"))</f>
        <v/>
      </c>
      <c r="G599" s="35" t="str">
        <f aca="false">IF(A599="","",DATE(YEAR(A599),MONTH(A599),1))</f>
        <v/>
      </c>
    </row>
    <row r="600" customFormat="false" ht="15" hidden="false" customHeight="false" outlineLevel="0" collapsed="false">
      <c r="A600" s="33"/>
      <c r="B600" s="27"/>
      <c r="C600" s="27"/>
      <c r="D600" s="34"/>
      <c r="E600" s="27"/>
      <c r="F600" s="28" t="str">
        <f aca="false">IF(C600="","",IFERROR(INDEX(Settings!$C$8:$C$19,MATCH(C600,Settings!$B$8:$B$19,0)),"?"))</f>
        <v/>
      </c>
      <c r="G600" s="35" t="str">
        <f aca="false">IF(A600="","",DATE(YEAR(A600),MONTH(A600),1))</f>
        <v/>
      </c>
    </row>
    <row r="601" customFormat="false" ht="15" hidden="false" customHeight="false" outlineLevel="0" collapsed="false">
      <c r="A601" s="33"/>
      <c r="B601" s="27"/>
      <c r="C601" s="27"/>
      <c r="D601" s="34"/>
      <c r="E601" s="27"/>
      <c r="F601" s="28" t="str">
        <f aca="false">IF(C601="","",IFERROR(INDEX(Settings!$C$8:$C$19,MATCH(C601,Settings!$B$8:$B$19,0)),"?"))</f>
        <v/>
      </c>
      <c r="G601" s="35" t="str">
        <f aca="false">IF(A601="","",DATE(YEAR(A601),MONTH(A601),1))</f>
        <v/>
      </c>
    </row>
    <row r="602" customFormat="false" ht="15" hidden="false" customHeight="false" outlineLevel="0" collapsed="false">
      <c r="A602" s="33"/>
      <c r="B602" s="27"/>
      <c r="C602" s="27"/>
      <c r="D602" s="34"/>
      <c r="E602" s="27"/>
      <c r="F602" s="28" t="str">
        <f aca="false">IF(C602="","",IFERROR(INDEX(Settings!$C$8:$C$19,MATCH(C602,Settings!$B$8:$B$19,0)),"?"))</f>
        <v/>
      </c>
      <c r="G602" s="35" t="str">
        <f aca="false">IF(A602="","",DATE(YEAR(A602),MONTH(A602),1))</f>
        <v/>
      </c>
    </row>
    <row r="603" customFormat="false" ht="15" hidden="false" customHeight="false" outlineLevel="0" collapsed="false">
      <c r="A603" s="33"/>
      <c r="B603" s="27"/>
      <c r="C603" s="27"/>
      <c r="D603" s="34"/>
      <c r="E603" s="27"/>
      <c r="F603" s="28" t="str">
        <f aca="false">IF(C603="","",IFERROR(INDEX(Settings!$C$8:$C$19,MATCH(C603,Settings!$B$8:$B$19,0)),"?"))</f>
        <v/>
      </c>
      <c r="G603" s="35" t="str">
        <f aca="false">IF(A603="","",DATE(YEAR(A603),MONTH(A603),1))</f>
        <v/>
      </c>
    </row>
    <row r="604" customFormat="false" ht="15" hidden="false" customHeight="false" outlineLevel="0" collapsed="false">
      <c r="A604" s="33"/>
      <c r="B604" s="27"/>
      <c r="C604" s="27"/>
      <c r="D604" s="34"/>
      <c r="E604" s="27"/>
      <c r="F604" s="28" t="str">
        <f aca="false">IF(C604="","",IFERROR(INDEX(Settings!$C$8:$C$19,MATCH(C604,Settings!$B$8:$B$19,0)),"?"))</f>
        <v/>
      </c>
      <c r="G604" s="35" t="str">
        <f aca="false">IF(A604="","",DATE(YEAR(A604),MONTH(A604),1))</f>
        <v/>
      </c>
    </row>
    <row r="605" customFormat="false" ht="15" hidden="false" customHeight="false" outlineLevel="0" collapsed="false">
      <c r="A605" s="33"/>
      <c r="B605" s="27"/>
      <c r="C605" s="27"/>
      <c r="D605" s="34"/>
      <c r="E605" s="27"/>
      <c r="F605" s="28" t="str">
        <f aca="false">IF(C605="","",IFERROR(INDEX(Settings!$C$8:$C$19,MATCH(C605,Settings!$B$8:$B$19,0)),"?"))</f>
        <v/>
      </c>
      <c r="G605" s="35" t="str">
        <f aca="false">IF(A605="","",DATE(YEAR(A605),MONTH(A605),1))</f>
        <v/>
      </c>
    </row>
    <row r="606" customFormat="false" ht="15" hidden="false" customHeight="false" outlineLevel="0" collapsed="false">
      <c r="A606" s="33"/>
      <c r="B606" s="27"/>
      <c r="C606" s="27"/>
      <c r="D606" s="34"/>
      <c r="E606" s="27"/>
      <c r="F606" s="28" t="str">
        <f aca="false">IF(C606="","",IFERROR(INDEX(Settings!$C$8:$C$19,MATCH(C606,Settings!$B$8:$B$19,0)),"?"))</f>
        <v/>
      </c>
      <c r="G606" s="35" t="str">
        <f aca="false">IF(A606="","",DATE(YEAR(A606),MONTH(A606),1))</f>
        <v/>
      </c>
    </row>
    <row r="607" customFormat="false" ht="15" hidden="false" customHeight="false" outlineLevel="0" collapsed="false">
      <c r="A607" s="33"/>
      <c r="B607" s="27"/>
      <c r="C607" s="27"/>
      <c r="D607" s="34"/>
      <c r="E607" s="27"/>
      <c r="F607" s="28" t="str">
        <f aca="false">IF(C607="","",IFERROR(INDEX(Settings!$C$8:$C$19,MATCH(C607,Settings!$B$8:$B$19,0)),"?"))</f>
        <v/>
      </c>
      <c r="G607" s="35" t="str">
        <f aca="false">IF(A607="","",DATE(YEAR(A607),MONTH(A607),1))</f>
        <v/>
      </c>
    </row>
    <row r="608" customFormat="false" ht="15" hidden="false" customHeight="false" outlineLevel="0" collapsed="false">
      <c r="A608" s="33"/>
      <c r="B608" s="27"/>
      <c r="C608" s="27"/>
      <c r="D608" s="34"/>
      <c r="E608" s="27"/>
      <c r="F608" s="28" t="str">
        <f aca="false">IF(C608="","",IFERROR(INDEX(Settings!$C$8:$C$19,MATCH(C608,Settings!$B$8:$B$19,0)),"?"))</f>
        <v/>
      </c>
      <c r="G608" s="35" t="str">
        <f aca="false">IF(A608="","",DATE(YEAR(A608),MONTH(A608),1))</f>
        <v/>
      </c>
    </row>
    <row r="609" customFormat="false" ht="15" hidden="false" customHeight="false" outlineLevel="0" collapsed="false">
      <c r="A609" s="33"/>
      <c r="B609" s="27"/>
      <c r="C609" s="27"/>
      <c r="D609" s="34"/>
      <c r="E609" s="27"/>
      <c r="F609" s="28" t="str">
        <f aca="false">IF(C609="","",IFERROR(INDEX(Settings!$C$8:$C$19,MATCH(C609,Settings!$B$8:$B$19,0)),"?"))</f>
        <v/>
      </c>
      <c r="G609" s="35" t="str">
        <f aca="false">IF(A609="","",DATE(YEAR(A609),MONTH(A609),1))</f>
        <v/>
      </c>
    </row>
    <row r="610" customFormat="false" ht="15" hidden="false" customHeight="false" outlineLevel="0" collapsed="false">
      <c r="A610" s="33"/>
      <c r="B610" s="27"/>
      <c r="C610" s="27"/>
      <c r="D610" s="34"/>
      <c r="E610" s="27"/>
      <c r="F610" s="28" t="str">
        <f aca="false">IF(C610="","",IFERROR(INDEX(Settings!$C$8:$C$19,MATCH(C610,Settings!$B$8:$B$19,0)),"?"))</f>
        <v/>
      </c>
      <c r="G610" s="35" t="str">
        <f aca="false">IF(A610="","",DATE(YEAR(A610),MONTH(A610),1))</f>
        <v/>
      </c>
    </row>
    <row r="611" customFormat="false" ht="15" hidden="false" customHeight="false" outlineLevel="0" collapsed="false">
      <c r="A611" s="33"/>
      <c r="B611" s="27"/>
      <c r="C611" s="27"/>
      <c r="D611" s="34"/>
      <c r="E611" s="27"/>
      <c r="F611" s="28" t="str">
        <f aca="false">IF(C611="","",IFERROR(INDEX(Settings!$C$8:$C$19,MATCH(C611,Settings!$B$8:$B$19,0)),"?"))</f>
        <v/>
      </c>
      <c r="G611" s="35" t="str">
        <f aca="false">IF(A611="","",DATE(YEAR(A611),MONTH(A611),1))</f>
        <v/>
      </c>
    </row>
    <row r="612" customFormat="false" ht="15" hidden="false" customHeight="false" outlineLevel="0" collapsed="false">
      <c r="A612" s="33"/>
      <c r="B612" s="27"/>
      <c r="C612" s="27"/>
      <c r="D612" s="34"/>
      <c r="E612" s="27"/>
      <c r="F612" s="28" t="str">
        <f aca="false">IF(C612="","",IFERROR(INDEX(Settings!$C$8:$C$19,MATCH(C612,Settings!$B$8:$B$19,0)),"?"))</f>
        <v/>
      </c>
      <c r="G612" s="35" t="str">
        <f aca="false">IF(A612="","",DATE(YEAR(A612),MONTH(A612),1))</f>
        <v/>
      </c>
    </row>
    <row r="613" customFormat="false" ht="15" hidden="false" customHeight="false" outlineLevel="0" collapsed="false">
      <c r="A613" s="33"/>
      <c r="B613" s="27"/>
      <c r="C613" s="27"/>
      <c r="D613" s="34"/>
      <c r="E613" s="27"/>
      <c r="F613" s="28" t="str">
        <f aca="false">IF(C613="","",IFERROR(INDEX(Settings!$C$8:$C$19,MATCH(C613,Settings!$B$8:$B$19,0)),"?"))</f>
        <v/>
      </c>
      <c r="G613" s="35" t="str">
        <f aca="false">IF(A613="","",DATE(YEAR(A613),MONTH(A613),1))</f>
        <v/>
      </c>
    </row>
    <row r="614" customFormat="false" ht="15" hidden="false" customHeight="false" outlineLevel="0" collapsed="false">
      <c r="A614" s="33"/>
      <c r="B614" s="27"/>
      <c r="C614" s="27"/>
      <c r="D614" s="34"/>
      <c r="E614" s="27"/>
      <c r="F614" s="28" t="str">
        <f aca="false">IF(C614="","",IFERROR(INDEX(Settings!$C$8:$C$19,MATCH(C614,Settings!$B$8:$B$19,0)),"?"))</f>
        <v/>
      </c>
      <c r="G614" s="35" t="str">
        <f aca="false">IF(A614="","",DATE(YEAR(A614),MONTH(A614),1))</f>
        <v/>
      </c>
    </row>
    <row r="615" customFormat="false" ht="15" hidden="false" customHeight="false" outlineLevel="0" collapsed="false">
      <c r="A615" s="33"/>
      <c r="B615" s="27"/>
      <c r="C615" s="27"/>
      <c r="D615" s="34"/>
      <c r="E615" s="27"/>
      <c r="F615" s="28" t="str">
        <f aca="false">IF(C615="","",IFERROR(INDEX(Settings!$C$8:$C$19,MATCH(C615,Settings!$B$8:$B$19,0)),"?"))</f>
        <v/>
      </c>
      <c r="G615" s="35" t="str">
        <f aca="false">IF(A615="","",DATE(YEAR(A615),MONTH(A615),1))</f>
        <v/>
      </c>
    </row>
    <row r="616" customFormat="false" ht="15" hidden="false" customHeight="false" outlineLevel="0" collapsed="false">
      <c r="A616" s="33"/>
      <c r="B616" s="27"/>
      <c r="C616" s="27"/>
      <c r="D616" s="34"/>
      <c r="E616" s="27"/>
      <c r="F616" s="28" t="str">
        <f aca="false">IF(C616="","",IFERROR(INDEX(Settings!$C$8:$C$19,MATCH(C616,Settings!$B$8:$B$19,0)),"?"))</f>
        <v/>
      </c>
      <c r="G616" s="35" t="str">
        <f aca="false">IF(A616="","",DATE(YEAR(A616),MONTH(A616),1))</f>
        <v/>
      </c>
    </row>
    <row r="617" customFormat="false" ht="15" hidden="false" customHeight="false" outlineLevel="0" collapsed="false">
      <c r="A617" s="33"/>
      <c r="B617" s="27"/>
      <c r="C617" s="27"/>
      <c r="D617" s="34"/>
      <c r="E617" s="27"/>
      <c r="F617" s="28" t="str">
        <f aca="false">IF(C617="","",IFERROR(INDEX(Settings!$C$8:$C$19,MATCH(C617,Settings!$B$8:$B$19,0)),"?"))</f>
        <v/>
      </c>
      <c r="G617" s="35" t="str">
        <f aca="false">IF(A617="","",DATE(YEAR(A617),MONTH(A617),1))</f>
        <v/>
      </c>
    </row>
    <row r="618" customFormat="false" ht="15" hidden="false" customHeight="false" outlineLevel="0" collapsed="false">
      <c r="A618" s="33"/>
      <c r="B618" s="27"/>
      <c r="C618" s="27"/>
      <c r="D618" s="34"/>
      <c r="E618" s="27"/>
      <c r="F618" s="28" t="str">
        <f aca="false">IF(C618="","",IFERROR(INDEX(Settings!$C$8:$C$19,MATCH(C618,Settings!$B$8:$B$19,0)),"?"))</f>
        <v/>
      </c>
      <c r="G618" s="35" t="str">
        <f aca="false">IF(A618="","",DATE(YEAR(A618),MONTH(A618),1))</f>
        <v/>
      </c>
    </row>
    <row r="619" customFormat="false" ht="15" hidden="false" customHeight="false" outlineLevel="0" collapsed="false">
      <c r="A619" s="33"/>
      <c r="B619" s="27"/>
      <c r="C619" s="27"/>
      <c r="D619" s="34"/>
      <c r="E619" s="27"/>
      <c r="F619" s="28" t="str">
        <f aca="false">IF(C619="","",IFERROR(INDEX(Settings!$C$8:$C$19,MATCH(C619,Settings!$B$8:$B$19,0)),"?"))</f>
        <v/>
      </c>
      <c r="G619" s="35" t="str">
        <f aca="false">IF(A619="","",DATE(YEAR(A619),MONTH(A619),1))</f>
        <v/>
      </c>
    </row>
    <row r="620" customFormat="false" ht="15" hidden="false" customHeight="false" outlineLevel="0" collapsed="false">
      <c r="A620" s="33"/>
      <c r="B620" s="27"/>
      <c r="C620" s="27"/>
      <c r="D620" s="34"/>
      <c r="E620" s="27"/>
      <c r="F620" s="28" t="str">
        <f aca="false">IF(C620="","",IFERROR(INDEX(Settings!$C$8:$C$19,MATCH(C620,Settings!$B$8:$B$19,0)),"?"))</f>
        <v/>
      </c>
      <c r="G620" s="35" t="str">
        <f aca="false">IF(A620="","",DATE(YEAR(A620),MONTH(A620),1))</f>
        <v/>
      </c>
    </row>
    <row r="621" customFormat="false" ht="15" hidden="false" customHeight="false" outlineLevel="0" collapsed="false">
      <c r="A621" s="33"/>
      <c r="B621" s="27"/>
      <c r="C621" s="27"/>
      <c r="D621" s="34"/>
      <c r="E621" s="27"/>
      <c r="F621" s="28" t="str">
        <f aca="false">IF(C621="","",IFERROR(INDEX(Settings!$C$8:$C$19,MATCH(C621,Settings!$B$8:$B$19,0)),"?"))</f>
        <v/>
      </c>
      <c r="G621" s="35" t="str">
        <f aca="false">IF(A621="","",DATE(YEAR(A621),MONTH(A621),1))</f>
        <v/>
      </c>
    </row>
    <row r="622" customFormat="false" ht="15" hidden="false" customHeight="false" outlineLevel="0" collapsed="false">
      <c r="A622" s="33"/>
      <c r="B622" s="27"/>
      <c r="C622" s="27"/>
      <c r="D622" s="34"/>
      <c r="E622" s="27"/>
      <c r="F622" s="28" t="str">
        <f aca="false">IF(C622="","",IFERROR(INDEX(Settings!$C$8:$C$19,MATCH(C622,Settings!$B$8:$B$19,0)),"?"))</f>
        <v/>
      </c>
      <c r="G622" s="35" t="str">
        <f aca="false">IF(A622="","",DATE(YEAR(A622),MONTH(A622),1))</f>
        <v/>
      </c>
    </row>
    <row r="623" customFormat="false" ht="15" hidden="false" customHeight="false" outlineLevel="0" collapsed="false">
      <c r="A623" s="33"/>
      <c r="B623" s="27"/>
      <c r="C623" s="27"/>
      <c r="D623" s="34"/>
      <c r="E623" s="27"/>
      <c r="F623" s="28" t="str">
        <f aca="false">IF(C623="","",IFERROR(INDEX(Settings!$C$8:$C$19,MATCH(C623,Settings!$B$8:$B$19,0)),"?"))</f>
        <v/>
      </c>
      <c r="G623" s="35" t="str">
        <f aca="false">IF(A623="","",DATE(YEAR(A623),MONTH(A623),1))</f>
        <v/>
      </c>
    </row>
    <row r="624" customFormat="false" ht="15" hidden="false" customHeight="false" outlineLevel="0" collapsed="false">
      <c r="A624" s="33"/>
      <c r="B624" s="27"/>
      <c r="C624" s="27"/>
      <c r="D624" s="34"/>
      <c r="E624" s="27"/>
      <c r="F624" s="28" t="str">
        <f aca="false">IF(C624="","",IFERROR(INDEX(Settings!$C$8:$C$19,MATCH(C624,Settings!$B$8:$B$19,0)),"?"))</f>
        <v/>
      </c>
      <c r="G624" s="35" t="str">
        <f aca="false">IF(A624="","",DATE(YEAR(A624),MONTH(A624),1))</f>
        <v/>
      </c>
    </row>
    <row r="625" customFormat="false" ht="15" hidden="false" customHeight="false" outlineLevel="0" collapsed="false">
      <c r="A625" s="33"/>
      <c r="B625" s="27"/>
      <c r="C625" s="27"/>
      <c r="D625" s="34"/>
      <c r="E625" s="27"/>
      <c r="F625" s="28" t="str">
        <f aca="false">IF(C625="","",IFERROR(INDEX(Settings!$C$8:$C$19,MATCH(C625,Settings!$B$8:$B$19,0)),"?"))</f>
        <v/>
      </c>
      <c r="G625" s="35" t="str">
        <f aca="false">IF(A625="","",DATE(YEAR(A625),MONTH(A625),1))</f>
        <v/>
      </c>
    </row>
    <row r="626" customFormat="false" ht="15" hidden="false" customHeight="false" outlineLevel="0" collapsed="false">
      <c r="A626" s="33"/>
      <c r="B626" s="27"/>
      <c r="C626" s="27"/>
      <c r="D626" s="34"/>
      <c r="E626" s="27"/>
      <c r="F626" s="28" t="str">
        <f aca="false">IF(C626="","",IFERROR(INDEX(Settings!$C$8:$C$19,MATCH(C626,Settings!$B$8:$B$19,0)),"?"))</f>
        <v/>
      </c>
      <c r="G626" s="35" t="str">
        <f aca="false">IF(A626="","",DATE(YEAR(A626),MONTH(A626),1))</f>
        <v/>
      </c>
    </row>
    <row r="627" customFormat="false" ht="15" hidden="false" customHeight="false" outlineLevel="0" collapsed="false">
      <c r="A627" s="33"/>
      <c r="B627" s="27"/>
      <c r="C627" s="27"/>
      <c r="D627" s="34"/>
      <c r="E627" s="27"/>
      <c r="F627" s="28" t="str">
        <f aca="false">IF(C627="","",IFERROR(INDEX(Settings!$C$8:$C$19,MATCH(C627,Settings!$B$8:$B$19,0)),"?"))</f>
        <v/>
      </c>
      <c r="G627" s="35" t="str">
        <f aca="false">IF(A627="","",DATE(YEAR(A627),MONTH(A627),1))</f>
        <v/>
      </c>
    </row>
    <row r="628" customFormat="false" ht="15" hidden="false" customHeight="false" outlineLevel="0" collapsed="false">
      <c r="A628" s="33"/>
      <c r="B628" s="27"/>
      <c r="C628" s="27"/>
      <c r="D628" s="34"/>
      <c r="E628" s="27"/>
      <c r="F628" s="28" t="str">
        <f aca="false">IF(C628="","",IFERROR(INDEX(Settings!$C$8:$C$19,MATCH(C628,Settings!$B$8:$B$19,0)),"?"))</f>
        <v/>
      </c>
      <c r="G628" s="35" t="str">
        <f aca="false">IF(A628="","",DATE(YEAR(A628),MONTH(A628),1))</f>
        <v/>
      </c>
    </row>
    <row r="629" customFormat="false" ht="15" hidden="false" customHeight="false" outlineLevel="0" collapsed="false">
      <c r="A629" s="33"/>
      <c r="B629" s="27"/>
      <c r="C629" s="27"/>
      <c r="D629" s="34"/>
      <c r="E629" s="27"/>
      <c r="F629" s="28" t="str">
        <f aca="false">IF(C629="","",IFERROR(INDEX(Settings!$C$8:$C$19,MATCH(C629,Settings!$B$8:$B$19,0)),"?"))</f>
        <v/>
      </c>
      <c r="G629" s="35" t="str">
        <f aca="false">IF(A629="","",DATE(YEAR(A629),MONTH(A629),1))</f>
        <v/>
      </c>
    </row>
    <row r="630" customFormat="false" ht="15" hidden="false" customHeight="false" outlineLevel="0" collapsed="false">
      <c r="A630" s="33"/>
      <c r="B630" s="27"/>
      <c r="C630" s="27"/>
      <c r="D630" s="34"/>
      <c r="E630" s="27"/>
      <c r="F630" s="28" t="str">
        <f aca="false">IF(C630="","",IFERROR(INDEX(Settings!$C$8:$C$19,MATCH(C630,Settings!$B$8:$B$19,0)),"?"))</f>
        <v/>
      </c>
      <c r="G630" s="35" t="str">
        <f aca="false">IF(A630="","",DATE(YEAR(A630),MONTH(A630),1))</f>
        <v/>
      </c>
    </row>
    <row r="631" customFormat="false" ht="15" hidden="false" customHeight="false" outlineLevel="0" collapsed="false">
      <c r="A631" s="33"/>
      <c r="B631" s="27"/>
      <c r="C631" s="27"/>
      <c r="D631" s="34"/>
      <c r="E631" s="27"/>
      <c r="F631" s="28" t="str">
        <f aca="false">IF(C631="","",IFERROR(INDEX(Settings!$C$8:$C$19,MATCH(C631,Settings!$B$8:$B$19,0)),"?"))</f>
        <v/>
      </c>
      <c r="G631" s="35" t="str">
        <f aca="false">IF(A631="","",DATE(YEAR(A631),MONTH(A631),1))</f>
        <v/>
      </c>
    </row>
    <row r="632" customFormat="false" ht="15" hidden="false" customHeight="false" outlineLevel="0" collapsed="false">
      <c r="A632" s="33"/>
      <c r="B632" s="27"/>
      <c r="C632" s="27"/>
      <c r="D632" s="34"/>
      <c r="E632" s="27"/>
      <c r="F632" s="28" t="str">
        <f aca="false">IF(C632="","",IFERROR(INDEX(Settings!$C$8:$C$19,MATCH(C632,Settings!$B$8:$B$19,0)),"?"))</f>
        <v/>
      </c>
      <c r="G632" s="35" t="str">
        <f aca="false">IF(A632="","",DATE(YEAR(A632),MONTH(A632),1))</f>
        <v/>
      </c>
    </row>
    <row r="633" customFormat="false" ht="15" hidden="false" customHeight="false" outlineLevel="0" collapsed="false">
      <c r="A633" s="33"/>
      <c r="B633" s="27"/>
      <c r="C633" s="27"/>
      <c r="D633" s="34"/>
      <c r="E633" s="27"/>
      <c r="F633" s="28" t="str">
        <f aca="false">IF(C633="","",IFERROR(INDEX(Settings!$C$8:$C$19,MATCH(C633,Settings!$B$8:$B$19,0)),"?"))</f>
        <v/>
      </c>
      <c r="G633" s="35" t="str">
        <f aca="false">IF(A633="","",DATE(YEAR(A633),MONTH(A633),1))</f>
        <v/>
      </c>
    </row>
    <row r="634" customFormat="false" ht="15" hidden="false" customHeight="false" outlineLevel="0" collapsed="false">
      <c r="A634" s="33"/>
      <c r="B634" s="27"/>
      <c r="C634" s="27"/>
      <c r="D634" s="34"/>
      <c r="E634" s="27"/>
      <c r="F634" s="28" t="str">
        <f aca="false">IF(C634="","",IFERROR(INDEX(Settings!$C$8:$C$19,MATCH(C634,Settings!$B$8:$B$19,0)),"?"))</f>
        <v/>
      </c>
      <c r="G634" s="35" t="str">
        <f aca="false">IF(A634="","",DATE(YEAR(A634),MONTH(A634),1))</f>
        <v/>
      </c>
    </row>
    <row r="635" customFormat="false" ht="15" hidden="false" customHeight="false" outlineLevel="0" collapsed="false">
      <c r="A635" s="33"/>
      <c r="B635" s="27"/>
      <c r="C635" s="27"/>
      <c r="D635" s="34"/>
      <c r="E635" s="27"/>
      <c r="F635" s="28" t="str">
        <f aca="false">IF(C635="","",IFERROR(INDEX(Settings!$C$8:$C$19,MATCH(C635,Settings!$B$8:$B$19,0)),"?"))</f>
        <v/>
      </c>
      <c r="G635" s="35" t="str">
        <f aca="false">IF(A635="","",DATE(YEAR(A635),MONTH(A635),1))</f>
        <v/>
      </c>
    </row>
    <row r="636" customFormat="false" ht="15" hidden="false" customHeight="false" outlineLevel="0" collapsed="false">
      <c r="A636" s="33"/>
      <c r="B636" s="27"/>
      <c r="C636" s="27"/>
      <c r="D636" s="34"/>
      <c r="E636" s="27"/>
      <c r="F636" s="28" t="str">
        <f aca="false">IF(C636="","",IFERROR(INDEX(Settings!$C$8:$C$19,MATCH(C636,Settings!$B$8:$B$19,0)),"?"))</f>
        <v/>
      </c>
      <c r="G636" s="35" t="str">
        <f aca="false">IF(A636="","",DATE(YEAR(A636),MONTH(A636),1))</f>
        <v/>
      </c>
    </row>
    <row r="637" customFormat="false" ht="15" hidden="false" customHeight="false" outlineLevel="0" collapsed="false">
      <c r="A637" s="33"/>
      <c r="B637" s="27"/>
      <c r="C637" s="27"/>
      <c r="D637" s="34"/>
      <c r="E637" s="27"/>
      <c r="F637" s="28" t="str">
        <f aca="false">IF(C637="","",IFERROR(INDEX(Settings!$C$8:$C$19,MATCH(C637,Settings!$B$8:$B$19,0)),"?"))</f>
        <v/>
      </c>
      <c r="G637" s="35" t="str">
        <f aca="false">IF(A637="","",DATE(YEAR(A637),MONTH(A637),1))</f>
        <v/>
      </c>
    </row>
    <row r="638" customFormat="false" ht="15" hidden="false" customHeight="false" outlineLevel="0" collapsed="false">
      <c r="A638" s="33"/>
      <c r="B638" s="27"/>
      <c r="C638" s="27"/>
      <c r="D638" s="34"/>
      <c r="E638" s="27"/>
      <c r="F638" s="28" t="str">
        <f aca="false">IF(C638="","",IFERROR(INDEX(Settings!$C$8:$C$19,MATCH(C638,Settings!$B$8:$B$19,0)),"?"))</f>
        <v/>
      </c>
      <c r="G638" s="35" t="str">
        <f aca="false">IF(A638="","",DATE(YEAR(A638),MONTH(A638),1))</f>
        <v/>
      </c>
    </row>
    <row r="639" customFormat="false" ht="15" hidden="false" customHeight="false" outlineLevel="0" collapsed="false">
      <c r="A639" s="33"/>
      <c r="B639" s="27"/>
      <c r="C639" s="27"/>
      <c r="D639" s="34"/>
      <c r="E639" s="27"/>
      <c r="F639" s="28" t="str">
        <f aca="false">IF(C639="","",IFERROR(INDEX(Settings!$C$8:$C$19,MATCH(C639,Settings!$B$8:$B$19,0)),"?"))</f>
        <v/>
      </c>
      <c r="G639" s="35" t="str">
        <f aca="false">IF(A639="","",DATE(YEAR(A639),MONTH(A639),1))</f>
        <v/>
      </c>
    </row>
    <row r="640" customFormat="false" ht="15" hidden="false" customHeight="false" outlineLevel="0" collapsed="false">
      <c r="A640" s="33"/>
      <c r="B640" s="27"/>
      <c r="C640" s="27"/>
      <c r="D640" s="34"/>
      <c r="E640" s="27"/>
      <c r="F640" s="28" t="str">
        <f aca="false">IF(C640="","",IFERROR(INDEX(Settings!$C$8:$C$19,MATCH(C640,Settings!$B$8:$B$19,0)),"?"))</f>
        <v/>
      </c>
      <c r="G640" s="35" t="str">
        <f aca="false">IF(A640="","",DATE(YEAR(A640),MONTH(A640),1))</f>
        <v/>
      </c>
    </row>
    <row r="641" customFormat="false" ht="15" hidden="false" customHeight="false" outlineLevel="0" collapsed="false">
      <c r="A641" s="33"/>
      <c r="B641" s="27"/>
      <c r="C641" s="27"/>
      <c r="D641" s="34"/>
      <c r="E641" s="27"/>
      <c r="F641" s="28" t="str">
        <f aca="false">IF(C641="","",IFERROR(INDEX(Settings!$C$8:$C$19,MATCH(C641,Settings!$B$8:$B$19,0)),"?"))</f>
        <v/>
      </c>
      <c r="G641" s="35" t="str">
        <f aca="false">IF(A641="","",DATE(YEAR(A641),MONTH(A641),1))</f>
        <v/>
      </c>
    </row>
    <row r="642" customFormat="false" ht="15" hidden="false" customHeight="false" outlineLevel="0" collapsed="false">
      <c r="A642" s="33"/>
      <c r="B642" s="27"/>
      <c r="C642" s="27"/>
      <c r="D642" s="34"/>
      <c r="E642" s="27"/>
      <c r="F642" s="28" t="str">
        <f aca="false">IF(C642="","",IFERROR(INDEX(Settings!$C$8:$C$19,MATCH(C642,Settings!$B$8:$B$19,0)),"?"))</f>
        <v/>
      </c>
      <c r="G642" s="35" t="str">
        <f aca="false">IF(A642="","",DATE(YEAR(A642),MONTH(A642),1))</f>
        <v/>
      </c>
    </row>
    <row r="643" customFormat="false" ht="15" hidden="false" customHeight="false" outlineLevel="0" collapsed="false">
      <c r="A643" s="33"/>
      <c r="B643" s="27"/>
      <c r="C643" s="27"/>
      <c r="D643" s="34"/>
      <c r="E643" s="27"/>
      <c r="F643" s="28" t="str">
        <f aca="false">IF(C643="","",IFERROR(INDEX(Settings!$C$8:$C$19,MATCH(C643,Settings!$B$8:$B$19,0)),"?"))</f>
        <v/>
      </c>
      <c r="G643" s="35" t="str">
        <f aca="false">IF(A643="","",DATE(YEAR(A643),MONTH(A643),1))</f>
        <v/>
      </c>
    </row>
    <row r="644" customFormat="false" ht="15" hidden="false" customHeight="false" outlineLevel="0" collapsed="false">
      <c r="A644" s="33"/>
      <c r="B644" s="27"/>
      <c r="C644" s="27"/>
      <c r="D644" s="34"/>
      <c r="E644" s="27"/>
      <c r="F644" s="28" t="str">
        <f aca="false">IF(C644="","",IFERROR(INDEX(Settings!$C$8:$C$19,MATCH(C644,Settings!$B$8:$B$19,0)),"?"))</f>
        <v/>
      </c>
      <c r="G644" s="35" t="str">
        <f aca="false">IF(A644="","",DATE(YEAR(A644),MONTH(A644),1))</f>
        <v/>
      </c>
    </row>
    <row r="645" customFormat="false" ht="15" hidden="false" customHeight="false" outlineLevel="0" collapsed="false">
      <c r="A645" s="33"/>
      <c r="B645" s="27"/>
      <c r="C645" s="27"/>
      <c r="D645" s="34"/>
      <c r="E645" s="27"/>
      <c r="F645" s="28" t="str">
        <f aca="false">IF(C645="","",IFERROR(INDEX(Settings!$C$8:$C$19,MATCH(C645,Settings!$B$8:$B$19,0)),"?"))</f>
        <v/>
      </c>
      <c r="G645" s="35" t="str">
        <f aca="false">IF(A645="","",DATE(YEAR(A645),MONTH(A645),1))</f>
        <v/>
      </c>
    </row>
    <row r="646" customFormat="false" ht="15" hidden="false" customHeight="false" outlineLevel="0" collapsed="false">
      <c r="A646" s="33"/>
      <c r="B646" s="27"/>
      <c r="C646" s="27"/>
      <c r="D646" s="34"/>
      <c r="E646" s="27"/>
      <c r="F646" s="28" t="str">
        <f aca="false">IF(C646="","",IFERROR(INDEX(Settings!$C$8:$C$19,MATCH(C646,Settings!$B$8:$B$19,0)),"?"))</f>
        <v/>
      </c>
      <c r="G646" s="35" t="str">
        <f aca="false">IF(A646="","",DATE(YEAR(A646),MONTH(A646),1))</f>
        <v/>
      </c>
    </row>
    <row r="647" customFormat="false" ht="15" hidden="false" customHeight="false" outlineLevel="0" collapsed="false">
      <c r="A647" s="33"/>
      <c r="B647" s="27"/>
      <c r="C647" s="27"/>
      <c r="D647" s="34"/>
      <c r="E647" s="27"/>
      <c r="F647" s="28" t="str">
        <f aca="false">IF(C647="","",IFERROR(INDEX(Settings!$C$8:$C$19,MATCH(C647,Settings!$B$8:$B$19,0)),"?"))</f>
        <v/>
      </c>
      <c r="G647" s="35" t="str">
        <f aca="false">IF(A647="","",DATE(YEAR(A647),MONTH(A647),1))</f>
        <v/>
      </c>
    </row>
    <row r="648" customFormat="false" ht="15" hidden="false" customHeight="false" outlineLevel="0" collapsed="false">
      <c r="A648" s="33"/>
      <c r="B648" s="27"/>
      <c r="C648" s="27"/>
      <c r="D648" s="34"/>
      <c r="E648" s="27"/>
      <c r="F648" s="28" t="str">
        <f aca="false">IF(C648="","",IFERROR(INDEX(Settings!$C$8:$C$19,MATCH(C648,Settings!$B$8:$B$19,0)),"?"))</f>
        <v/>
      </c>
      <c r="G648" s="35" t="str">
        <f aca="false">IF(A648="","",DATE(YEAR(A648),MONTH(A648),1))</f>
        <v/>
      </c>
    </row>
    <row r="649" customFormat="false" ht="15" hidden="false" customHeight="false" outlineLevel="0" collapsed="false">
      <c r="A649" s="33"/>
      <c r="B649" s="27"/>
      <c r="C649" s="27"/>
      <c r="D649" s="34"/>
      <c r="E649" s="27"/>
      <c r="F649" s="28" t="str">
        <f aca="false">IF(C649="","",IFERROR(INDEX(Settings!$C$8:$C$19,MATCH(C649,Settings!$B$8:$B$19,0)),"?"))</f>
        <v/>
      </c>
      <c r="G649" s="35" t="str">
        <f aca="false">IF(A649="","",DATE(YEAR(A649),MONTH(A649),1))</f>
        <v/>
      </c>
    </row>
    <row r="650" customFormat="false" ht="15" hidden="false" customHeight="false" outlineLevel="0" collapsed="false">
      <c r="A650" s="33"/>
      <c r="B650" s="27"/>
      <c r="C650" s="27"/>
      <c r="D650" s="34"/>
      <c r="E650" s="27"/>
      <c r="F650" s="28" t="str">
        <f aca="false">IF(C650="","",IFERROR(INDEX(Settings!$C$8:$C$19,MATCH(C650,Settings!$B$8:$B$19,0)),"?"))</f>
        <v/>
      </c>
      <c r="G650" s="35" t="str">
        <f aca="false">IF(A650="","",DATE(YEAR(A650),MONTH(A650),1))</f>
        <v/>
      </c>
    </row>
    <row r="651" customFormat="false" ht="15" hidden="false" customHeight="false" outlineLevel="0" collapsed="false">
      <c r="A651" s="33"/>
      <c r="B651" s="27"/>
      <c r="C651" s="27"/>
      <c r="D651" s="34"/>
      <c r="E651" s="27"/>
      <c r="F651" s="28" t="str">
        <f aca="false">IF(C651="","",IFERROR(INDEX(Settings!$C$8:$C$19,MATCH(C651,Settings!$B$8:$B$19,0)),"?"))</f>
        <v/>
      </c>
      <c r="G651" s="35" t="str">
        <f aca="false">IF(A651="","",DATE(YEAR(A651),MONTH(A651),1))</f>
        <v/>
      </c>
    </row>
    <row r="652" customFormat="false" ht="15" hidden="false" customHeight="false" outlineLevel="0" collapsed="false">
      <c r="A652" s="33"/>
      <c r="B652" s="27"/>
      <c r="C652" s="27"/>
      <c r="D652" s="34"/>
      <c r="E652" s="27"/>
      <c r="F652" s="28" t="str">
        <f aca="false">IF(C652="","",IFERROR(INDEX(Settings!$C$8:$C$19,MATCH(C652,Settings!$B$8:$B$19,0)),"?"))</f>
        <v/>
      </c>
      <c r="G652" s="35" t="str">
        <f aca="false">IF(A652="","",DATE(YEAR(A652),MONTH(A652),1))</f>
        <v/>
      </c>
    </row>
    <row r="653" customFormat="false" ht="15" hidden="false" customHeight="false" outlineLevel="0" collapsed="false">
      <c r="A653" s="33"/>
      <c r="B653" s="27"/>
      <c r="C653" s="27"/>
      <c r="D653" s="34"/>
      <c r="E653" s="27"/>
      <c r="F653" s="28" t="str">
        <f aca="false">IF(C653="","",IFERROR(INDEX(Settings!$C$8:$C$19,MATCH(C653,Settings!$B$8:$B$19,0)),"?"))</f>
        <v/>
      </c>
      <c r="G653" s="35" t="str">
        <f aca="false">IF(A653="","",DATE(YEAR(A653),MONTH(A653),1))</f>
        <v/>
      </c>
    </row>
    <row r="654" customFormat="false" ht="15" hidden="false" customHeight="false" outlineLevel="0" collapsed="false">
      <c r="A654" s="33"/>
      <c r="B654" s="27"/>
      <c r="C654" s="27"/>
      <c r="D654" s="34"/>
      <c r="E654" s="27"/>
      <c r="F654" s="28" t="str">
        <f aca="false">IF(C654="","",IFERROR(INDEX(Settings!$C$8:$C$19,MATCH(C654,Settings!$B$8:$B$19,0)),"?"))</f>
        <v/>
      </c>
      <c r="G654" s="35" t="str">
        <f aca="false">IF(A654="","",DATE(YEAR(A654),MONTH(A654),1))</f>
        <v/>
      </c>
    </row>
    <row r="655" customFormat="false" ht="15" hidden="false" customHeight="false" outlineLevel="0" collapsed="false">
      <c r="A655" s="33"/>
      <c r="B655" s="27"/>
      <c r="C655" s="27"/>
      <c r="D655" s="34"/>
      <c r="E655" s="27"/>
      <c r="F655" s="28" t="str">
        <f aca="false">IF(C655="","",IFERROR(INDEX(Settings!$C$8:$C$19,MATCH(C655,Settings!$B$8:$B$19,0)),"?"))</f>
        <v/>
      </c>
      <c r="G655" s="35" t="str">
        <f aca="false">IF(A655="","",DATE(YEAR(A655),MONTH(A655),1))</f>
        <v/>
      </c>
    </row>
    <row r="656" customFormat="false" ht="15" hidden="false" customHeight="false" outlineLevel="0" collapsed="false">
      <c r="A656" s="33"/>
      <c r="B656" s="27"/>
      <c r="C656" s="27"/>
      <c r="D656" s="34"/>
      <c r="E656" s="27"/>
      <c r="F656" s="28" t="str">
        <f aca="false">IF(C656="","",IFERROR(INDEX(Settings!$C$8:$C$19,MATCH(C656,Settings!$B$8:$B$19,0)),"?"))</f>
        <v/>
      </c>
      <c r="G656" s="35" t="str">
        <f aca="false">IF(A656="","",DATE(YEAR(A656),MONTH(A656),1))</f>
        <v/>
      </c>
    </row>
    <row r="657" customFormat="false" ht="15" hidden="false" customHeight="false" outlineLevel="0" collapsed="false">
      <c r="A657" s="33"/>
      <c r="B657" s="27"/>
      <c r="C657" s="27"/>
      <c r="D657" s="34"/>
      <c r="E657" s="27"/>
      <c r="F657" s="28" t="str">
        <f aca="false">IF(C657="","",IFERROR(INDEX(Settings!$C$8:$C$19,MATCH(C657,Settings!$B$8:$B$19,0)),"?"))</f>
        <v/>
      </c>
      <c r="G657" s="35" t="str">
        <f aca="false">IF(A657="","",DATE(YEAR(A657),MONTH(A657),1))</f>
        <v/>
      </c>
    </row>
    <row r="658" customFormat="false" ht="15" hidden="false" customHeight="false" outlineLevel="0" collapsed="false">
      <c r="A658" s="33"/>
      <c r="B658" s="27"/>
      <c r="C658" s="27"/>
      <c r="D658" s="34"/>
      <c r="E658" s="27"/>
      <c r="F658" s="28" t="str">
        <f aca="false">IF(C658="","",IFERROR(INDEX(Settings!$C$8:$C$19,MATCH(C658,Settings!$B$8:$B$19,0)),"?"))</f>
        <v/>
      </c>
      <c r="G658" s="35" t="str">
        <f aca="false">IF(A658="","",DATE(YEAR(A658),MONTH(A658),1))</f>
        <v/>
      </c>
    </row>
    <row r="659" customFormat="false" ht="15" hidden="false" customHeight="false" outlineLevel="0" collapsed="false">
      <c r="A659" s="33"/>
      <c r="B659" s="27"/>
      <c r="C659" s="27"/>
      <c r="D659" s="34"/>
      <c r="E659" s="27"/>
      <c r="F659" s="28" t="str">
        <f aca="false">IF(C659="","",IFERROR(INDEX(Settings!$C$8:$C$19,MATCH(C659,Settings!$B$8:$B$19,0)),"?"))</f>
        <v/>
      </c>
      <c r="G659" s="35" t="str">
        <f aca="false">IF(A659="","",DATE(YEAR(A659),MONTH(A659),1))</f>
        <v/>
      </c>
    </row>
    <row r="660" customFormat="false" ht="15" hidden="false" customHeight="false" outlineLevel="0" collapsed="false">
      <c r="A660" s="33"/>
      <c r="B660" s="27"/>
      <c r="C660" s="27"/>
      <c r="D660" s="34"/>
      <c r="E660" s="27"/>
      <c r="F660" s="28" t="str">
        <f aca="false">IF(C660="","",IFERROR(INDEX(Settings!$C$8:$C$19,MATCH(C660,Settings!$B$8:$B$19,0)),"?"))</f>
        <v/>
      </c>
      <c r="G660" s="35" t="str">
        <f aca="false">IF(A660="","",DATE(YEAR(A660),MONTH(A660),1))</f>
        <v/>
      </c>
    </row>
    <row r="661" customFormat="false" ht="15" hidden="false" customHeight="false" outlineLevel="0" collapsed="false">
      <c r="A661" s="33"/>
      <c r="B661" s="27"/>
      <c r="C661" s="27"/>
      <c r="D661" s="34"/>
      <c r="E661" s="27"/>
      <c r="F661" s="28" t="str">
        <f aca="false">IF(C661="","",IFERROR(INDEX(Settings!$C$8:$C$19,MATCH(C661,Settings!$B$8:$B$19,0)),"?"))</f>
        <v/>
      </c>
      <c r="G661" s="35" t="str">
        <f aca="false">IF(A661="","",DATE(YEAR(A661),MONTH(A661),1))</f>
        <v/>
      </c>
    </row>
    <row r="662" customFormat="false" ht="15" hidden="false" customHeight="false" outlineLevel="0" collapsed="false">
      <c r="A662" s="33"/>
      <c r="B662" s="27"/>
      <c r="C662" s="27"/>
      <c r="D662" s="34"/>
      <c r="E662" s="27"/>
      <c r="F662" s="28" t="str">
        <f aca="false">IF(C662="","",IFERROR(INDEX(Settings!$C$8:$C$19,MATCH(C662,Settings!$B$8:$B$19,0)),"?"))</f>
        <v/>
      </c>
      <c r="G662" s="35" t="str">
        <f aca="false">IF(A662="","",DATE(YEAR(A662),MONTH(A662),1))</f>
        <v/>
      </c>
    </row>
    <row r="663" customFormat="false" ht="15" hidden="false" customHeight="false" outlineLevel="0" collapsed="false">
      <c r="A663" s="33"/>
      <c r="B663" s="27"/>
      <c r="C663" s="27"/>
      <c r="D663" s="34"/>
      <c r="E663" s="27"/>
      <c r="F663" s="28" t="str">
        <f aca="false">IF(C663="","",IFERROR(INDEX(Settings!$C$8:$C$19,MATCH(C663,Settings!$B$8:$B$19,0)),"?"))</f>
        <v/>
      </c>
      <c r="G663" s="35" t="str">
        <f aca="false">IF(A663="","",DATE(YEAR(A663),MONTH(A663),1))</f>
        <v/>
      </c>
    </row>
    <row r="664" customFormat="false" ht="15" hidden="false" customHeight="false" outlineLevel="0" collapsed="false">
      <c r="A664" s="33"/>
      <c r="B664" s="27"/>
      <c r="C664" s="27"/>
      <c r="D664" s="34"/>
      <c r="E664" s="27"/>
      <c r="F664" s="28" t="str">
        <f aca="false">IF(C664="","",IFERROR(INDEX(Settings!$C$8:$C$19,MATCH(C664,Settings!$B$8:$B$19,0)),"?"))</f>
        <v/>
      </c>
      <c r="G664" s="35" t="str">
        <f aca="false">IF(A664="","",DATE(YEAR(A664),MONTH(A664),1))</f>
        <v/>
      </c>
    </row>
    <row r="665" customFormat="false" ht="15" hidden="false" customHeight="false" outlineLevel="0" collapsed="false">
      <c r="A665" s="33"/>
      <c r="B665" s="27"/>
      <c r="C665" s="27"/>
      <c r="D665" s="34"/>
      <c r="E665" s="27"/>
      <c r="F665" s="28" t="str">
        <f aca="false">IF(C665="","",IFERROR(INDEX(Settings!$C$8:$C$19,MATCH(C665,Settings!$B$8:$B$19,0)),"?"))</f>
        <v/>
      </c>
      <c r="G665" s="35" t="str">
        <f aca="false">IF(A665="","",DATE(YEAR(A665),MONTH(A665),1))</f>
        <v/>
      </c>
    </row>
    <row r="666" customFormat="false" ht="15" hidden="false" customHeight="false" outlineLevel="0" collapsed="false">
      <c r="A666" s="33"/>
      <c r="B666" s="27"/>
      <c r="C666" s="27"/>
      <c r="D666" s="34"/>
      <c r="E666" s="27"/>
      <c r="F666" s="28" t="str">
        <f aca="false">IF(C666="","",IFERROR(INDEX(Settings!$C$8:$C$19,MATCH(C666,Settings!$B$8:$B$19,0)),"?"))</f>
        <v/>
      </c>
      <c r="G666" s="35" t="str">
        <f aca="false">IF(A666="","",DATE(YEAR(A666),MONTH(A666),1))</f>
        <v/>
      </c>
    </row>
    <row r="667" customFormat="false" ht="15" hidden="false" customHeight="false" outlineLevel="0" collapsed="false">
      <c r="A667" s="33"/>
      <c r="B667" s="27"/>
      <c r="C667" s="27"/>
      <c r="D667" s="34"/>
      <c r="E667" s="27"/>
      <c r="F667" s="28" t="str">
        <f aca="false">IF(C667="","",IFERROR(INDEX(Settings!$C$8:$C$19,MATCH(C667,Settings!$B$8:$B$19,0)),"?"))</f>
        <v/>
      </c>
      <c r="G667" s="35" t="str">
        <f aca="false">IF(A667="","",DATE(YEAR(A667),MONTH(A667),1))</f>
        <v/>
      </c>
    </row>
    <row r="668" customFormat="false" ht="15" hidden="false" customHeight="false" outlineLevel="0" collapsed="false">
      <c r="A668" s="33"/>
      <c r="B668" s="27"/>
      <c r="C668" s="27"/>
      <c r="D668" s="34"/>
      <c r="E668" s="27"/>
      <c r="F668" s="28" t="str">
        <f aca="false">IF(C668="","",IFERROR(INDEX(Settings!$C$8:$C$19,MATCH(C668,Settings!$B$8:$B$19,0)),"?"))</f>
        <v/>
      </c>
      <c r="G668" s="35" t="str">
        <f aca="false">IF(A668="","",DATE(YEAR(A668),MONTH(A668),1))</f>
        <v/>
      </c>
    </row>
    <row r="669" customFormat="false" ht="15" hidden="false" customHeight="false" outlineLevel="0" collapsed="false">
      <c r="A669" s="33"/>
      <c r="B669" s="27"/>
      <c r="C669" s="27"/>
      <c r="D669" s="34"/>
      <c r="E669" s="27"/>
      <c r="F669" s="28" t="str">
        <f aca="false">IF(C669="","",IFERROR(INDEX(Settings!$C$8:$C$19,MATCH(C669,Settings!$B$8:$B$19,0)),"?"))</f>
        <v/>
      </c>
      <c r="G669" s="35" t="str">
        <f aca="false">IF(A669="","",DATE(YEAR(A669),MONTH(A669),1))</f>
        <v/>
      </c>
    </row>
    <row r="670" customFormat="false" ht="15" hidden="false" customHeight="false" outlineLevel="0" collapsed="false">
      <c r="A670" s="33"/>
      <c r="B670" s="27"/>
      <c r="C670" s="27"/>
      <c r="D670" s="34"/>
      <c r="E670" s="27"/>
      <c r="F670" s="28" t="str">
        <f aca="false">IF(C670="","",IFERROR(INDEX(Settings!$C$8:$C$19,MATCH(C670,Settings!$B$8:$B$19,0)),"?"))</f>
        <v/>
      </c>
      <c r="G670" s="35" t="str">
        <f aca="false">IF(A670="","",DATE(YEAR(A670),MONTH(A670),1))</f>
        <v/>
      </c>
    </row>
    <row r="671" customFormat="false" ht="15" hidden="false" customHeight="false" outlineLevel="0" collapsed="false">
      <c r="A671" s="33"/>
      <c r="B671" s="27"/>
      <c r="C671" s="27"/>
      <c r="D671" s="34"/>
      <c r="E671" s="27"/>
      <c r="F671" s="28" t="str">
        <f aca="false">IF(C671="","",IFERROR(INDEX(Settings!$C$8:$C$19,MATCH(C671,Settings!$B$8:$B$19,0)),"?"))</f>
        <v/>
      </c>
      <c r="G671" s="35" t="str">
        <f aca="false">IF(A671="","",DATE(YEAR(A671),MONTH(A671),1))</f>
        <v/>
      </c>
    </row>
    <row r="672" customFormat="false" ht="15" hidden="false" customHeight="false" outlineLevel="0" collapsed="false">
      <c r="A672" s="33"/>
      <c r="B672" s="27"/>
      <c r="C672" s="27"/>
      <c r="D672" s="34"/>
      <c r="E672" s="27"/>
      <c r="F672" s="28" t="str">
        <f aca="false">IF(C672="","",IFERROR(INDEX(Settings!$C$8:$C$19,MATCH(C672,Settings!$B$8:$B$19,0)),"?"))</f>
        <v/>
      </c>
      <c r="G672" s="35" t="str">
        <f aca="false">IF(A672="","",DATE(YEAR(A672),MONTH(A672),1))</f>
        <v/>
      </c>
    </row>
    <row r="673" customFormat="false" ht="15" hidden="false" customHeight="false" outlineLevel="0" collapsed="false">
      <c r="A673" s="33"/>
      <c r="B673" s="27"/>
      <c r="C673" s="27"/>
      <c r="D673" s="34"/>
      <c r="E673" s="27"/>
      <c r="F673" s="28" t="str">
        <f aca="false">IF(C673="","",IFERROR(INDEX(Settings!$C$8:$C$19,MATCH(C673,Settings!$B$8:$B$19,0)),"?"))</f>
        <v/>
      </c>
      <c r="G673" s="35" t="str">
        <f aca="false">IF(A673="","",DATE(YEAR(A673),MONTH(A673),1))</f>
        <v/>
      </c>
    </row>
    <row r="674" customFormat="false" ht="15" hidden="false" customHeight="false" outlineLevel="0" collapsed="false">
      <c r="A674" s="33"/>
      <c r="B674" s="27"/>
      <c r="C674" s="27"/>
      <c r="D674" s="34"/>
      <c r="E674" s="27"/>
      <c r="F674" s="28" t="str">
        <f aca="false">IF(C674="","",IFERROR(INDEX(Settings!$C$8:$C$19,MATCH(C674,Settings!$B$8:$B$19,0)),"?"))</f>
        <v/>
      </c>
      <c r="G674" s="35" t="str">
        <f aca="false">IF(A674="","",DATE(YEAR(A674),MONTH(A674),1))</f>
        <v/>
      </c>
    </row>
    <row r="675" customFormat="false" ht="15" hidden="false" customHeight="false" outlineLevel="0" collapsed="false">
      <c r="A675" s="33"/>
      <c r="B675" s="27"/>
      <c r="C675" s="27"/>
      <c r="D675" s="34"/>
      <c r="E675" s="27"/>
      <c r="F675" s="28" t="str">
        <f aca="false">IF(C675="","",IFERROR(INDEX(Settings!$C$8:$C$19,MATCH(C675,Settings!$B$8:$B$19,0)),"?"))</f>
        <v/>
      </c>
      <c r="G675" s="35" t="str">
        <f aca="false">IF(A675="","",DATE(YEAR(A675),MONTH(A675),1))</f>
        <v/>
      </c>
    </row>
    <row r="676" customFormat="false" ht="15" hidden="false" customHeight="false" outlineLevel="0" collapsed="false">
      <c r="A676" s="33"/>
      <c r="B676" s="27"/>
      <c r="C676" s="27"/>
      <c r="D676" s="34"/>
      <c r="E676" s="27"/>
      <c r="F676" s="28" t="str">
        <f aca="false">IF(C676="","",IFERROR(INDEX(Settings!$C$8:$C$19,MATCH(C676,Settings!$B$8:$B$19,0)),"?"))</f>
        <v/>
      </c>
      <c r="G676" s="35" t="str">
        <f aca="false">IF(A676="","",DATE(YEAR(A676),MONTH(A676),1))</f>
        <v/>
      </c>
    </row>
    <row r="677" customFormat="false" ht="15" hidden="false" customHeight="false" outlineLevel="0" collapsed="false">
      <c r="A677" s="33"/>
      <c r="B677" s="27"/>
      <c r="C677" s="27"/>
      <c r="D677" s="34"/>
      <c r="E677" s="27"/>
      <c r="F677" s="28" t="str">
        <f aca="false">IF(C677="","",IFERROR(INDEX(Settings!$C$8:$C$19,MATCH(C677,Settings!$B$8:$B$19,0)),"?"))</f>
        <v/>
      </c>
      <c r="G677" s="35" t="str">
        <f aca="false">IF(A677="","",DATE(YEAR(A677),MONTH(A677),1))</f>
        <v/>
      </c>
    </row>
    <row r="678" customFormat="false" ht="15" hidden="false" customHeight="false" outlineLevel="0" collapsed="false">
      <c r="A678" s="33"/>
      <c r="B678" s="27"/>
      <c r="C678" s="27"/>
      <c r="D678" s="34"/>
      <c r="E678" s="27"/>
      <c r="F678" s="28" t="str">
        <f aca="false">IF(C678="","",IFERROR(INDEX(Settings!$C$8:$C$19,MATCH(C678,Settings!$B$8:$B$19,0)),"?"))</f>
        <v/>
      </c>
      <c r="G678" s="35" t="str">
        <f aca="false">IF(A678="","",DATE(YEAR(A678),MONTH(A678),1))</f>
        <v/>
      </c>
    </row>
    <row r="679" customFormat="false" ht="15" hidden="false" customHeight="false" outlineLevel="0" collapsed="false">
      <c r="A679" s="33"/>
      <c r="B679" s="27"/>
      <c r="C679" s="27"/>
      <c r="D679" s="34"/>
      <c r="E679" s="27"/>
      <c r="F679" s="28" t="str">
        <f aca="false">IF(C679="","",IFERROR(INDEX(Settings!$C$8:$C$19,MATCH(C679,Settings!$B$8:$B$19,0)),"?"))</f>
        <v/>
      </c>
      <c r="G679" s="35" t="str">
        <f aca="false">IF(A679="","",DATE(YEAR(A679),MONTH(A679),1))</f>
        <v/>
      </c>
    </row>
    <row r="680" customFormat="false" ht="15" hidden="false" customHeight="false" outlineLevel="0" collapsed="false">
      <c r="A680" s="33"/>
      <c r="B680" s="27"/>
      <c r="C680" s="27"/>
      <c r="D680" s="34"/>
      <c r="E680" s="27"/>
      <c r="F680" s="28" t="str">
        <f aca="false">IF(C680="","",IFERROR(INDEX(Settings!$C$8:$C$19,MATCH(C680,Settings!$B$8:$B$19,0)),"?"))</f>
        <v/>
      </c>
      <c r="G680" s="35" t="str">
        <f aca="false">IF(A680="","",DATE(YEAR(A680),MONTH(A680),1))</f>
        <v/>
      </c>
    </row>
    <row r="681" customFormat="false" ht="15" hidden="false" customHeight="false" outlineLevel="0" collapsed="false">
      <c r="A681" s="33"/>
      <c r="B681" s="27"/>
      <c r="C681" s="27"/>
      <c r="D681" s="34"/>
      <c r="E681" s="27"/>
      <c r="F681" s="28" t="str">
        <f aca="false">IF(C681="","",IFERROR(INDEX(Settings!$C$8:$C$19,MATCH(C681,Settings!$B$8:$B$19,0)),"?"))</f>
        <v/>
      </c>
      <c r="G681" s="35" t="str">
        <f aca="false">IF(A681="","",DATE(YEAR(A681),MONTH(A681),1))</f>
        <v/>
      </c>
    </row>
    <row r="682" customFormat="false" ht="15" hidden="false" customHeight="false" outlineLevel="0" collapsed="false">
      <c r="A682" s="33"/>
      <c r="B682" s="27"/>
      <c r="C682" s="27"/>
      <c r="D682" s="34"/>
      <c r="E682" s="27"/>
      <c r="F682" s="28" t="str">
        <f aca="false">IF(C682="","",IFERROR(INDEX(Settings!$C$8:$C$19,MATCH(C682,Settings!$B$8:$B$19,0)),"?"))</f>
        <v/>
      </c>
      <c r="G682" s="35" t="str">
        <f aca="false">IF(A682="","",DATE(YEAR(A682),MONTH(A682),1))</f>
        <v/>
      </c>
    </row>
    <row r="683" customFormat="false" ht="15" hidden="false" customHeight="false" outlineLevel="0" collapsed="false">
      <c r="A683" s="33"/>
      <c r="B683" s="27"/>
      <c r="C683" s="27"/>
      <c r="D683" s="34"/>
      <c r="E683" s="27"/>
      <c r="F683" s="28" t="str">
        <f aca="false">IF(C683="","",IFERROR(INDEX(Settings!$C$8:$C$19,MATCH(C683,Settings!$B$8:$B$19,0)),"?"))</f>
        <v/>
      </c>
      <c r="G683" s="35" t="str">
        <f aca="false">IF(A683="","",DATE(YEAR(A683),MONTH(A683),1))</f>
        <v/>
      </c>
    </row>
    <row r="684" customFormat="false" ht="15" hidden="false" customHeight="false" outlineLevel="0" collapsed="false">
      <c r="A684" s="33"/>
      <c r="B684" s="27"/>
      <c r="C684" s="27"/>
      <c r="D684" s="34"/>
      <c r="E684" s="27"/>
      <c r="F684" s="28" t="str">
        <f aca="false">IF(C684="","",IFERROR(INDEX(Settings!$C$8:$C$19,MATCH(C684,Settings!$B$8:$B$19,0)),"?"))</f>
        <v/>
      </c>
      <c r="G684" s="35" t="str">
        <f aca="false">IF(A684="","",DATE(YEAR(A684),MONTH(A684),1))</f>
        <v/>
      </c>
    </row>
    <row r="685" customFormat="false" ht="15" hidden="false" customHeight="false" outlineLevel="0" collapsed="false">
      <c r="A685" s="33"/>
      <c r="B685" s="27"/>
      <c r="C685" s="27"/>
      <c r="D685" s="34"/>
      <c r="E685" s="27"/>
      <c r="F685" s="28" t="str">
        <f aca="false">IF(C685="","",IFERROR(INDEX(Settings!$C$8:$C$19,MATCH(C685,Settings!$B$8:$B$19,0)),"?"))</f>
        <v/>
      </c>
      <c r="G685" s="35" t="str">
        <f aca="false">IF(A685="","",DATE(YEAR(A685),MONTH(A685),1))</f>
        <v/>
      </c>
    </row>
    <row r="686" customFormat="false" ht="15" hidden="false" customHeight="false" outlineLevel="0" collapsed="false">
      <c r="A686" s="33"/>
      <c r="B686" s="27"/>
      <c r="C686" s="27"/>
      <c r="D686" s="34"/>
      <c r="E686" s="27"/>
      <c r="F686" s="28" t="str">
        <f aca="false">IF(C686="","",IFERROR(INDEX(Settings!$C$8:$C$19,MATCH(C686,Settings!$B$8:$B$19,0)),"?"))</f>
        <v/>
      </c>
      <c r="G686" s="35" t="str">
        <f aca="false">IF(A686="","",DATE(YEAR(A686),MONTH(A686),1))</f>
        <v/>
      </c>
    </row>
    <row r="687" customFormat="false" ht="15" hidden="false" customHeight="false" outlineLevel="0" collapsed="false">
      <c r="A687" s="33"/>
      <c r="B687" s="27"/>
      <c r="C687" s="27"/>
      <c r="D687" s="34"/>
      <c r="E687" s="27"/>
      <c r="F687" s="28" t="str">
        <f aca="false">IF(C687="","",IFERROR(INDEX(Settings!$C$8:$C$19,MATCH(C687,Settings!$B$8:$B$19,0)),"?"))</f>
        <v/>
      </c>
      <c r="G687" s="35" t="str">
        <f aca="false">IF(A687="","",DATE(YEAR(A687),MONTH(A687),1))</f>
        <v/>
      </c>
    </row>
    <row r="688" customFormat="false" ht="15" hidden="false" customHeight="false" outlineLevel="0" collapsed="false">
      <c r="A688" s="33"/>
      <c r="B688" s="27"/>
      <c r="C688" s="27"/>
      <c r="D688" s="34"/>
      <c r="E688" s="27"/>
      <c r="F688" s="28" t="str">
        <f aca="false">IF(C688="","",IFERROR(INDEX(Settings!$C$8:$C$19,MATCH(C688,Settings!$B$8:$B$19,0)),"?"))</f>
        <v/>
      </c>
      <c r="G688" s="35" t="str">
        <f aca="false">IF(A688="","",DATE(YEAR(A688),MONTH(A688),1))</f>
        <v/>
      </c>
    </row>
    <row r="689" customFormat="false" ht="15" hidden="false" customHeight="false" outlineLevel="0" collapsed="false">
      <c r="A689" s="33"/>
      <c r="B689" s="27"/>
      <c r="C689" s="27"/>
      <c r="D689" s="34"/>
      <c r="E689" s="27"/>
      <c r="F689" s="28" t="str">
        <f aca="false">IF(C689="","",IFERROR(INDEX(Settings!$C$8:$C$19,MATCH(C689,Settings!$B$8:$B$19,0)),"?"))</f>
        <v/>
      </c>
      <c r="G689" s="35" t="str">
        <f aca="false">IF(A689="","",DATE(YEAR(A689),MONTH(A689),1))</f>
        <v/>
      </c>
    </row>
    <row r="690" customFormat="false" ht="15" hidden="false" customHeight="false" outlineLevel="0" collapsed="false">
      <c r="A690" s="33"/>
      <c r="B690" s="27"/>
      <c r="C690" s="27"/>
      <c r="D690" s="34"/>
      <c r="E690" s="27"/>
      <c r="F690" s="28" t="str">
        <f aca="false">IF(C690="","",IFERROR(INDEX(Settings!$C$8:$C$19,MATCH(C690,Settings!$B$8:$B$19,0)),"?"))</f>
        <v/>
      </c>
      <c r="G690" s="35" t="str">
        <f aca="false">IF(A690="","",DATE(YEAR(A690),MONTH(A690),1))</f>
        <v/>
      </c>
    </row>
    <row r="691" customFormat="false" ht="15" hidden="false" customHeight="false" outlineLevel="0" collapsed="false">
      <c r="A691" s="33"/>
      <c r="B691" s="27"/>
      <c r="C691" s="27"/>
      <c r="D691" s="34"/>
      <c r="E691" s="27"/>
      <c r="F691" s="28" t="str">
        <f aca="false">IF(C691="","",IFERROR(INDEX(Settings!$C$8:$C$19,MATCH(C691,Settings!$B$8:$B$19,0)),"?"))</f>
        <v/>
      </c>
      <c r="G691" s="35" t="str">
        <f aca="false">IF(A691="","",DATE(YEAR(A691),MONTH(A691),1))</f>
        <v/>
      </c>
    </row>
    <row r="692" customFormat="false" ht="15" hidden="false" customHeight="false" outlineLevel="0" collapsed="false">
      <c r="A692" s="33"/>
      <c r="B692" s="27"/>
      <c r="C692" s="27"/>
      <c r="D692" s="34"/>
      <c r="E692" s="27"/>
      <c r="F692" s="28" t="str">
        <f aca="false">IF(C692="","",IFERROR(INDEX(Settings!$C$8:$C$19,MATCH(C692,Settings!$B$8:$B$19,0)),"?"))</f>
        <v/>
      </c>
      <c r="G692" s="35" t="str">
        <f aca="false">IF(A692="","",DATE(YEAR(A692),MONTH(A692),1))</f>
        <v/>
      </c>
    </row>
    <row r="693" customFormat="false" ht="15" hidden="false" customHeight="false" outlineLevel="0" collapsed="false">
      <c r="A693" s="33"/>
      <c r="B693" s="27"/>
      <c r="C693" s="27"/>
      <c r="D693" s="34"/>
      <c r="E693" s="27"/>
      <c r="F693" s="28" t="str">
        <f aca="false">IF(C693="","",IFERROR(INDEX(Settings!$C$8:$C$19,MATCH(C693,Settings!$B$8:$B$19,0)),"?"))</f>
        <v/>
      </c>
      <c r="G693" s="35" t="str">
        <f aca="false">IF(A693="","",DATE(YEAR(A693),MONTH(A693),1))</f>
        <v/>
      </c>
    </row>
    <row r="694" customFormat="false" ht="15" hidden="false" customHeight="false" outlineLevel="0" collapsed="false">
      <c r="A694" s="33"/>
      <c r="B694" s="27"/>
      <c r="C694" s="27"/>
      <c r="D694" s="34"/>
      <c r="E694" s="27"/>
      <c r="F694" s="28" t="str">
        <f aca="false">IF(C694="","",IFERROR(INDEX(Settings!$C$8:$C$19,MATCH(C694,Settings!$B$8:$B$19,0)),"?"))</f>
        <v/>
      </c>
      <c r="G694" s="35" t="str">
        <f aca="false">IF(A694="","",DATE(YEAR(A694),MONTH(A694),1))</f>
        <v/>
      </c>
    </row>
    <row r="695" customFormat="false" ht="15" hidden="false" customHeight="false" outlineLevel="0" collapsed="false">
      <c r="A695" s="33"/>
      <c r="B695" s="27"/>
      <c r="C695" s="27"/>
      <c r="D695" s="34"/>
      <c r="E695" s="27"/>
      <c r="F695" s="28" t="str">
        <f aca="false">IF(C695="","",IFERROR(INDEX(Settings!$C$8:$C$19,MATCH(C695,Settings!$B$8:$B$19,0)),"?"))</f>
        <v/>
      </c>
      <c r="G695" s="35" t="str">
        <f aca="false">IF(A695="","",DATE(YEAR(A695),MONTH(A695),1))</f>
        <v/>
      </c>
    </row>
    <row r="696" customFormat="false" ht="15" hidden="false" customHeight="false" outlineLevel="0" collapsed="false">
      <c r="A696" s="33"/>
      <c r="B696" s="27"/>
      <c r="C696" s="27"/>
      <c r="D696" s="34"/>
      <c r="E696" s="27"/>
      <c r="F696" s="28" t="str">
        <f aca="false">IF(C696="","",IFERROR(INDEX(Settings!$C$8:$C$19,MATCH(C696,Settings!$B$8:$B$19,0)),"?"))</f>
        <v/>
      </c>
      <c r="G696" s="35" t="str">
        <f aca="false">IF(A696="","",DATE(YEAR(A696),MONTH(A696),1))</f>
        <v/>
      </c>
    </row>
    <row r="697" customFormat="false" ht="15" hidden="false" customHeight="false" outlineLevel="0" collapsed="false">
      <c r="A697" s="33"/>
      <c r="B697" s="27"/>
      <c r="C697" s="27"/>
      <c r="D697" s="34"/>
      <c r="E697" s="27"/>
      <c r="F697" s="28" t="str">
        <f aca="false">IF(C697="","",IFERROR(INDEX(Settings!$C$8:$C$19,MATCH(C697,Settings!$B$8:$B$19,0)),"?"))</f>
        <v/>
      </c>
      <c r="G697" s="35" t="str">
        <f aca="false">IF(A697="","",DATE(YEAR(A697),MONTH(A697),1))</f>
        <v/>
      </c>
    </row>
    <row r="698" customFormat="false" ht="15" hidden="false" customHeight="false" outlineLevel="0" collapsed="false">
      <c r="A698" s="33"/>
      <c r="B698" s="27"/>
      <c r="C698" s="27"/>
      <c r="D698" s="34"/>
      <c r="E698" s="27"/>
      <c r="F698" s="28" t="str">
        <f aca="false">IF(C698="","",IFERROR(INDEX(Settings!$C$8:$C$19,MATCH(C698,Settings!$B$8:$B$19,0)),"?"))</f>
        <v/>
      </c>
      <c r="G698" s="35" t="str">
        <f aca="false">IF(A698="","",DATE(YEAR(A698),MONTH(A698),1))</f>
        <v/>
      </c>
    </row>
    <row r="699" customFormat="false" ht="15" hidden="false" customHeight="false" outlineLevel="0" collapsed="false">
      <c r="A699" s="33"/>
      <c r="B699" s="27"/>
      <c r="C699" s="27"/>
      <c r="D699" s="34"/>
      <c r="E699" s="27"/>
      <c r="F699" s="28" t="str">
        <f aca="false">IF(C699="","",IFERROR(INDEX(Settings!$C$8:$C$19,MATCH(C699,Settings!$B$8:$B$19,0)),"?"))</f>
        <v/>
      </c>
      <c r="G699" s="35" t="str">
        <f aca="false">IF(A699="","",DATE(YEAR(A699),MONTH(A699),1))</f>
        <v/>
      </c>
    </row>
    <row r="700" customFormat="false" ht="15" hidden="false" customHeight="false" outlineLevel="0" collapsed="false">
      <c r="A700" s="33"/>
      <c r="B700" s="27"/>
      <c r="C700" s="27"/>
      <c r="D700" s="34"/>
      <c r="E700" s="27"/>
      <c r="F700" s="28" t="str">
        <f aca="false">IF(C700="","",IFERROR(INDEX(Settings!$C$8:$C$19,MATCH(C700,Settings!$B$8:$B$19,0)),"?"))</f>
        <v/>
      </c>
      <c r="G700" s="35" t="str">
        <f aca="false">IF(A700="","",DATE(YEAR(A700),MONTH(A700),1))</f>
        <v/>
      </c>
    </row>
    <row r="701" customFormat="false" ht="15" hidden="false" customHeight="false" outlineLevel="0" collapsed="false">
      <c r="A701" s="33"/>
      <c r="B701" s="27"/>
      <c r="C701" s="27"/>
      <c r="D701" s="34"/>
      <c r="E701" s="27"/>
      <c r="F701" s="28" t="str">
        <f aca="false">IF(C701="","",IFERROR(INDEX(Settings!$C$8:$C$19,MATCH(C701,Settings!$B$8:$B$19,0)),"?"))</f>
        <v/>
      </c>
      <c r="G701" s="35" t="str">
        <f aca="false">IF(A701="","",DATE(YEAR(A701),MONTH(A701),1))</f>
        <v/>
      </c>
    </row>
    <row r="702" customFormat="false" ht="15" hidden="false" customHeight="false" outlineLevel="0" collapsed="false">
      <c r="A702" s="33"/>
      <c r="B702" s="27"/>
      <c r="C702" s="27"/>
      <c r="D702" s="34"/>
      <c r="E702" s="27"/>
      <c r="F702" s="28" t="str">
        <f aca="false">IF(C702="","",IFERROR(INDEX(Settings!$C$8:$C$19,MATCH(C702,Settings!$B$8:$B$19,0)),"?"))</f>
        <v/>
      </c>
      <c r="G702" s="35" t="str">
        <f aca="false">IF(A702="","",DATE(YEAR(A702),MONTH(A702),1))</f>
        <v/>
      </c>
    </row>
    <row r="703" customFormat="false" ht="15" hidden="false" customHeight="false" outlineLevel="0" collapsed="false">
      <c r="A703" s="33"/>
      <c r="B703" s="27"/>
      <c r="C703" s="27"/>
      <c r="D703" s="34"/>
      <c r="E703" s="27"/>
      <c r="F703" s="28" t="str">
        <f aca="false">IF(C703="","",IFERROR(INDEX(Settings!$C$8:$C$19,MATCH(C703,Settings!$B$8:$B$19,0)),"?"))</f>
        <v/>
      </c>
      <c r="G703" s="35" t="str">
        <f aca="false">IF(A703="","",DATE(YEAR(A703),MONTH(A703),1))</f>
        <v/>
      </c>
    </row>
    <row r="704" customFormat="false" ht="15" hidden="false" customHeight="false" outlineLevel="0" collapsed="false">
      <c r="A704" s="33"/>
      <c r="B704" s="27"/>
      <c r="C704" s="27"/>
      <c r="D704" s="34"/>
      <c r="E704" s="27"/>
      <c r="F704" s="28" t="str">
        <f aca="false">IF(C704="","",IFERROR(INDEX(Settings!$C$8:$C$19,MATCH(C704,Settings!$B$8:$B$19,0)),"?"))</f>
        <v/>
      </c>
      <c r="G704" s="35" t="str">
        <f aca="false">IF(A704="","",DATE(YEAR(A704),MONTH(A704),1))</f>
        <v/>
      </c>
    </row>
    <row r="705" customFormat="false" ht="15" hidden="false" customHeight="false" outlineLevel="0" collapsed="false">
      <c r="A705" s="33"/>
      <c r="B705" s="27"/>
      <c r="C705" s="27"/>
      <c r="D705" s="34"/>
      <c r="E705" s="27"/>
      <c r="F705" s="28" t="str">
        <f aca="false">IF(C705="","",IFERROR(INDEX(Settings!$C$8:$C$19,MATCH(C705,Settings!$B$8:$B$19,0)),"?"))</f>
        <v/>
      </c>
      <c r="G705" s="35" t="str">
        <f aca="false">IF(A705="","",DATE(YEAR(A705),MONTH(A705),1))</f>
        <v/>
      </c>
    </row>
    <row r="706" customFormat="false" ht="15" hidden="false" customHeight="false" outlineLevel="0" collapsed="false">
      <c r="A706" s="33"/>
      <c r="B706" s="27"/>
      <c r="C706" s="27"/>
      <c r="D706" s="34"/>
      <c r="E706" s="27"/>
      <c r="F706" s="28" t="str">
        <f aca="false">IF(C706="","",IFERROR(INDEX(Settings!$C$8:$C$19,MATCH(C706,Settings!$B$8:$B$19,0)),"?"))</f>
        <v/>
      </c>
      <c r="G706" s="35" t="str">
        <f aca="false">IF(A706="","",DATE(YEAR(A706),MONTH(A706),1))</f>
        <v/>
      </c>
    </row>
    <row r="707" customFormat="false" ht="15" hidden="false" customHeight="false" outlineLevel="0" collapsed="false">
      <c r="A707" s="33"/>
      <c r="B707" s="27"/>
      <c r="C707" s="27"/>
      <c r="D707" s="34"/>
      <c r="E707" s="27"/>
      <c r="F707" s="28" t="str">
        <f aca="false">IF(C707="","",IFERROR(INDEX(Settings!$C$8:$C$19,MATCH(C707,Settings!$B$8:$B$19,0)),"?"))</f>
        <v/>
      </c>
      <c r="G707" s="35" t="str">
        <f aca="false">IF(A707="","",DATE(YEAR(A707),MONTH(A707),1))</f>
        <v/>
      </c>
    </row>
    <row r="708" customFormat="false" ht="15" hidden="false" customHeight="false" outlineLevel="0" collapsed="false">
      <c r="A708" s="33"/>
      <c r="B708" s="27"/>
      <c r="C708" s="27"/>
      <c r="D708" s="34"/>
      <c r="E708" s="27"/>
      <c r="F708" s="28" t="str">
        <f aca="false">IF(C708="","",IFERROR(INDEX(Settings!$C$8:$C$19,MATCH(C708,Settings!$B$8:$B$19,0)),"?"))</f>
        <v/>
      </c>
      <c r="G708" s="35" t="str">
        <f aca="false">IF(A708="","",DATE(YEAR(A708),MONTH(A708),1))</f>
        <v/>
      </c>
    </row>
    <row r="709" customFormat="false" ht="15" hidden="false" customHeight="false" outlineLevel="0" collapsed="false">
      <c r="A709" s="33"/>
      <c r="B709" s="27"/>
      <c r="C709" s="27"/>
      <c r="D709" s="34"/>
      <c r="E709" s="27"/>
      <c r="F709" s="28" t="str">
        <f aca="false">IF(C709="","",IFERROR(INDEX(Settings!$C$8:$C$19,MATCH(C709,Settings!$B$8:$B$19,0)),"?"))</f>
        <v/>
      </c>
      <c r="G709" s="35" t="str">
        <f aca="false">IF(A709="","",DATE(YEAR(A709),MONTH(A709),1))</f>
        <v/>
      </c>
    </row>
    <row r="710" customFormat="false" ht="15" hidden="false" customHeight="false" outlineLevel="0" collapsed="false">
      <c r="A710" s="33"/>
      <c r="B710" s="27"/>
      <c r="C710" s="27"/>
      <c r="D710" s="34"/>
      <c r="E710" s="27"/>
      <c r="F710" s="28" t="str">
        <f aca="false">IF(C710="","",IFERROR(INDEX(Settings!$C$8:$C$19,MATCH(C710,Settings!$B$8:$B$19,0)),"?"))</f>
        <v/>
      </c>
      <c r="G710" s="35" t="str">
        <f aca="false">IF(A710="","",DATE(YEAR(A710),MONTH(A710),1))</f>
        <v/>
      </c>
    </row>
    <row r="711" customFormat="false" ht="15" hidden="false" customHeight="false" outlineLevel="0" collapsed="false">
      <c r="A711" s="33"/>
      <c r="B711" s="27"/>
      <c r="C711" s="27"/>
      <c r="D711" s="34"/>
      <c r="E711" s="27"/>
      <c r="F711" s="28" t="str">
        <f aca="false">IF(C711="","",IFERROR(INDEX(Settings!$C$8:$C$19,MATCH(C711,Settings!$B$8:$B$19,0)),"?"))</f>
        <v/>
      </c>
      <c r="G711" s="35" t="str">
        <f aca="false">IF(A711="","",DATE(YEAR(A711),MONTH(A711),1))</f>
        <v/>
      </c>
    </row>
    <row r="712" customFormat="false" ht="15" hidden="false" customHeight="false" outlineLevel="0" collapsed="false">
      <c r="A712" s="33"/>
      <c r="B712" s="27"/>
      <c r="C712" s="27"/>
      <c r="D712" s="34"/>
      <c r="E712" s="27"/>
      <c r="F712" s="28" t="str">
        <f aca="false">IF(C712="","",IFERROR(INDEX(Settings!$C$8:$C$19,MATCH(C712,Settings!$B$8:$B$19,0)),"?"))</f>
        <v/>
      </c>
      <c r="G712" s="35" t="str">
        <f aca="false">IF(A712="","",DATE(YEAR(A712),MONTH(A712),1))</f>
        <v/>
      </c>
    </row>
    <row r="713" customFormat="false" ht="15" hidden="false" customHeight="false" outlineLevel="0" collapsed="false">
      <c r="A713" s="33"/>
      <c r="B713" s="27"/>
      <c r="C713" s="27"/>
      <c r="D713" s="34"/>
      <c r="E713" s="27"/>
      <c r="F713" s="28" t="str">
        <f aca="false">IF(C713="","",IFERROR(INDEX(Settings!$C$8:$C$19,MATCH(C713,Settings!$B$8:$B$19,0)),"?"))</f>
        <v/>
      </c>
      <c r="G713" s="35" t="str">
        <f aca="false">IF(A713="","",DATE(YEAR(A713),MONTH(A713),1))</f>
        <v/>
      </c>
    </row>
    <row r="714" customFormat="false" ht="15" hidden="false" customHeight="false" outlineLevel="0" collapsed="false">
      <c r="A714" s="33"/>
      <c r="B714" s="27"/>
      <c r="C714" s="27"/>
      <c r="D714" s="34"/>
      <c r="E714" s="27"/>
      <c r="F714" s="28" t="str">
        <f aca="false">IF(C714="","",IFERROR(INDEX(Settings!$C$8:$C$19,MATCH(C714,Settings!$B$8:$B$19,0)),"?"))</f>
        <v/>
      </c>
      <c r="G714" s="35" t="str">
        <f aca="false">IF(A714="","",DATE(YEAR(A714),MONTH(A714),1))</f>
        <v/>
      </c>
    </row>
    <row r="715" customFormat="false" ht="15" hidden="false" customHeight="false" outlineLevel="0" collapsed="false">
      <c r="A715" s="33"/>
      <c r="B715" s="27"/>
      <c r="C715" s="27"/>
      <c r="D715" s="34"/>
      <c r="E715" s="27"/>
      <c r="F715" s="28" t="str">
        <f aca="false">IF(C715="","",IFERROR(INDEX(Settings!$C$8:$C$19,MATCH(C715,Settings!$B$8:$B$19,0)),"?"))</f>
        <v/>
      </c>
      <c r="G715" s="35" t="str">
        <f aca="false">IF(A715="","",DATE(YEAR(A715),MONTH(A715),1))</f>
        <v/>
      </c>
    </row>
    <row r="716" customFormat="false" ht="15" hidden="false" customHeight="false" outlineLevel="0" collapsed="false">
      <c r="A716" s="33"/>
      <c r="B716" s="27"/>
      <c r="C716" s="27"/>
      <c r="D716" s="34"/>
      <c r="E716" s="27"/>
      <c r="F716" s="28" t="str">
        <f aca="false">IF(C716="","",IFERROR(INDEX(Settings!$C$8:$C$19,MATCH(C716,Settings!$B$8:$B$19,0)),"?"))</f>
        <v/>
      </c>
      <c r="G716" s="35" t="str">
        <f aca="false">IF(A716="","",DATE(YEAR(A716),MONTH(A716),1))</f>
        <v/>
      </c>
    </row>
    <row r="717" customFormat="false" ht="15" hidden="false" customHeight="false" outlineLevel="0" collapsed="false">
      <c r="A717" s="33"/>
      <c r="B717" s="27"/>
      <c r="C717" s="27"/>
      <c r="D717" s="34"/>
      <c r="E717" s="27"/>
      <c r="F717" s="28" t="str">
        <f aca="false">IF(C717="","",IFERROR(INDEX(Settings!$C$8:$C$19,MATCH(C717,Settings!$B$8:$B$19,0)),"?"))</f>
        <v/>
      </c>
      <c r="G717" s="35" t="str">
        <f aca="false">IF(A717="","",DATE(YEAR(A717),MONTH(A717),1))</f>
        <v/>
      </c>
    </row>
    <row r="718" customFormat="false" ht="15" hidden="false" customHeight="false" outlineLevel="0" collapsed="false">
      <c r="A718" s="33"/>
      <c r="B718" s="27"/>
      <c r="C718" s="27"/>
      <c r="D718" s="34"/>
      <c r="E718" s="27"/>
      <c r="F718" s="28" t="str">
        <f aca="false">IF(C718="","",IFERROR(INDEX(Settings!$C$8:$C$19,MATCH(C718,Settings!$B$8:$B$19,0)),"?"))</f>
        <v/>
      </c>
      <c r="G718" s="35" t="str">
        <f aca="false">IF(A718="","",DATE(YEAR(A718),MONTH(A718),1))</f>
        <v/>
      </c>
    </row>
    <row r="719" customFormat="false" ht="15" hidden="false" customHeight="false" outlineLevel="0" collapsed="false">
      <c r="A719" s="33"/>
      <c r="B719" s="27"/>
      <c r="C719" s="27"/>
      <c r="D719" s="34"/>
      <c r="E719" s="27"/>
      <c r="F719" s="28" t="str">
        <f aca="false">IF(C719="","",IFERROR(INDEX(Settings!$C$8:$C$19,MATCH(C719,Settings!$B$8:$B$19,0)),"?"))</f>
        <v/>
      </c>
      <c r="G719" s="35" t="str">
        <f aca="false">IF(A719="","",DATE(YEAR(A719),MONTH(A719),1))</f>
        <v/>
      </c>
    </row>
    <row r="720" customFormat="false" ht="15" hidden="false" customHeight="false" outlineLevel="0" collapsed="false">
      <c r="A720" s="33"/>
      <c r="B720" s="27"/>
      <c r="C720" s="27"/>
      <c r="D720" s="34"/>
      <c r="E720" s="27"/>
      <c r="F720" s="28" t="str">
        <f aca="false">IF(C720="","",IFERROR(INDEX(Settings!$C$8:$C$19,MATCH(C720,Settings!$B$8:$B$19,0)),"?"))</f>
        <v/>
      </c>
      <c r="G720" s="35" t="str">
        <f aca="false">IF(A720="","",DATE(YEAR(A720),MONTH(A720),1))</f>
        <v/>
      </c>
    </row>
    <row r="721" customFormat="false" ht="15" hidden="false" customHeight="false" outlineLevel="0" collapsed="false">
      <c r="A721" s="33"/>
      <c r="B721" s="27"/>
      <c r="C721" s="27"/>
      <c r="D721" s="34"/>
      <c r="E721" s="27"/>
      <c r="F721" s="28" t="str">
        <f aca="false">IF(C721="","",IFERROR(INDEX(Settings!$C$8:$C$19,MATCH(C721,Settings!$B$8:$B$19,0)),"?"))</f>
        <v/>
      </c>
      <c r="G721" s="35" t="str">
        <f aca="false">IF(A721="","",DATE(YEAR(A721),MONTH(A721),1))</f>
        <v/>
      </c>
    </row>
    <row r="722" customFormat="false" ht="15" hidden="false" customHeight="false" outlineLevel="0" collapsed="false">
      <c r="A722" s="33"/>
      <c r="B722" s="27"/>
      <c r="C722" s="27"/>
      <c r="D722" s="34"/>
      <c r="E722" s="27"/>
      <c r="F722" s="28" t="str">
        <f aca="false">IF(C722="","",IFERROR(INDEX(Settings!$C$8:$C$19,MATCH(C722,Settings!$B$8:$B$19,0)),"?"))</f>
        <v/>
      </c>
      <c r="G722" s="35" t="str">
        <f aca="false">IF(A722="","",DATE(YEAR(A722),MONTH(A722),1))</f>
        <v/>
      </c>
    </row>
    <row r="723" customFormat="false" ht="15" hidden="false" customHeight="false" outlineLevel="0" collapsed="false">
      <c r="A723" s="33"/>
      <c r="B723" s="27"/>
      <c r="C723" s="27"/>
      <c r="D723" s="34"/>
      <c r="E723" s="27"/>
      <c r="F723" s="28" t="str">
        <f aca="false">IF(C723="","",IFERROR(INDEX(Settings!$C$8:$C$19,MATCH(C723,Settings!$B$8:$B$19,0)),"?"))</f>
        <v/>
      </c>
      <c r="G723" s="35" t="str">
        <f aca="false">IF(A723="","",DATE(YEAR(A723),MONTH(A723),1))</f>
        <v/>
      </c>
    </row>
    <row r="724" customFormat="false" ht="15" hidden="false" customHeight="false" outlineLevel="0" collapsed="false">
      <c r="A724" s="33"/>
      <c r="B724" s="27"/>
      <c r="C724" s="27"/>
      <c r="D724" s="34"/>
      <c r="E724" s="27"/>
      <c r="F724" s="28" t="str">
        <f aca="false">IF(C724="","",IFERROR(INDEX(Settings!$C$8:$C$19,MATCH(C724,Settings!$B$8:$B$19,0)),"?"))</f>
        <v/>
      </c>
      <c r="G724" s="35" t="str">
        <f aca="false">IF(A724="","",DATE(YEAR(A724),MONTH(A724),1))</f>
        <v/>
      </c>
    </row>
    <row r="725" customFormat="false" ht="15" hidden="false" customHeight="false" outlineLevel="0" collapsed="false">
      <c r="A725" s="33"/>
      <c r="B725" s="27"/>
      <c r="C725" s="27"/>
      <c r="D725" s="34"/>
      <c r="E725" s="27"/>
      <c r="F725" s="28" t="str">
        <f aca="false">IF(C725="","",IFERROR(INDEX(Settings!$C$8:$C$19,MATCH(C725,Settings!$B$8:$B$19,0)),"?"))</f>
        <v/>
      </c>
      <c r="G725" s="35" t="str">
        <f aca="false">IF(A725="","",DATE(YEAR(A725),MONTH(A725),1))</f>
        <v/>
      </c>
    </row>
    <row r="726" customFormat="false" ht="15" hidden="false" customHeight="false" outlineLevel="0" collapsed="false">
      <c r="A726" s="33"/>
      <c r="B726" s="27"/>
      <c r="C726" s="27"/>
      <c r="D726" s="34"/>
      <c r="E726" s="27"/>
      <c r="F726" s="28" t="str">
        <f aca="false">IF(C726="","",IFERROR(INDEX(Settings!$C$8:$C$19,MATCH(C726,Settings!$B$8:$B$19,0)),"?"))</f>
        <v/>
      </c>
      <c r="G726" s="35" t="str">
        <f aca="false">IF(A726="","",DATE(YEAR(A726),MONTH(A726),1))</f>
        <v/>
      </c>
    </row>
    <row r="727" customFormat="false" ht="15" hidden="false" customHeight="false" outlineLevel="0" collapsed="false">
      <c r="A727" s="33"/>
      <c r="B727" s="27"/>
      <c r="C727" s="27"/>
      <c r="D727" s="34"/>
      <c r="E727" s="27"/>
      <c r="F727" s="28" t="str">
        <f aca="false">IF(C727="","",IFERROR(INDEX(Settings!$C$8:$C$19,MATCH(C727,Settings!$B$8:$B$19,0)),"?"))</f>
        <v/>
      </c>
      <c r="G727" s="35" t="str">
        <f aca="false">IF(A727="","",DATE(YEAR(A727),MONTH(A727),1))</f>
        <v/>
      </c>
    </row>
    <row r="728" customFormat="false" ht="15" hidden="false" customHeight="false" outlineLevel="0" collapsed="false">
      <c r="A728" s="33"/>
      <c r="B728" s="27"/>
      <c r="C728" s="27"/>
      <c r="D728" s="34"/>
      <c r="E728" s="27"/>
      <c r="F728" s="28" t="str">
        <f aca="false">IF(C728="","",IFERROR(INDEX(Settings!$C$8:$C$19,MATCH(C728,Settings!$B$8:$B$19,0)),"?"))</f>
        <v/>
      </c>
      <c r="G728" s="35" t="str">
        <f aca="false">IF(A728="","",DATE(YEAR(A728),MONTH(A728),1))</f>
        <v/>
      </c>
    </row>
    <row r="729" customFormat="false" ht="15" hidden="false" customHeight="false" outlineLevel="0" collapsed="false">
      <c r="A729" s="33"/>
      <c r="B729" s="27"/>
      <c r="C729" s="27"/>
      <c r="D729" s="34"/>
      <c r="E729" s="27"/>
      <c r="F729" s="28" t="str">
        <f aca="false">IF(C729="","",IFERROR(INDEX(Settings!$C$8:$C$19,MATCH(C729,Settings!$B$8:$B$19,0)),"?"))</f>
        <v/>
      </c>
      <c r="G729" s="35" t="str">
        <f aca="false">IF(A729="","",DATE(YEAR(A729),MONTH(A729),1))</f>
        <v/>
      </c>
    </row>
    <row r="730" customFormat="false" ht="15" hidden="false" customHeight="false" outlineLevel="0" collapsed="false">
      <c r="A730" s="33"/>
      <c r="B730" s="27"/>
      <c r="C730" s="27"/>
      <c r="D730" s="34"/>
      <c r="E730" s="27"/>
      <c r="F730" s="28" t="str">
        <f aca="false">IF(C730="","",IFERROR(INDEX(Settings!$C$8:$C$19,MATCH(C730,Settings!$B$8:$B$19,0)),"?"))</f>
        <v/>
      </c>
      <c r="G730" s="35" t="str">
        <f aca="false">IF(A730="","",DATE(YEAR(A730),MONTH(A730),1))</f>
        <v/>
      </c>
    </row>
    <row r="731" customFormat="false" ht="15" hidden="false" customHeight="false" outlineLevel="0" collapsed="false">
      <c r="A731" s="33"/>
      <c r="B731" s="27"/>
      <c r="C731" s="27"/>
      <c r="D731" s="34"/>
      <c r="E731" s="27"/>
      <c r="F731" s="28" t="str">
        <f aca="false">IF(C731="","",IFERROR(INDEX(Settings!$C$8:$C$19,MATCH(C731,Settings!$B$8:$B$19,0)),"?"))</f>
        <v/>
      </c>
      <c r="G731" s="35" t="str">
        <f aca="false">IF(A731="","",DATE(YEAR(A731),MONTH(A731),1))</f>
        <v/>
      </c>
    </row>
    <row r="732" customFormat="false" ht="15" hidden="false" customHeight="false" outlineLevel="0" collapsed="false">
      <c r="A732" s="33"/>
      <c r="B732" s="27"/>
      <c r="C732" s="27"/>
      <c r="D732" s="34"/>
      <c r="E732" s="27"/>
      <c r="F732" s="28" t="str">
        <f aca="false">IF(C732="","",IFERROR(INDEX(Settings!$C$8:$C$19,MATCH(C732,Settings!$B$8:$B$19,0)),"?"))</f>
        <v/>
      </c>
      <c r="G732" s="35" t="str">
        <f aca="false">IF(A732="","",DATE(YEAR(A732),MONTH(A732),1))</f>
        <v/>
      </c>
    </row>
    <row r="733" customFormat="false" ht="15" hidden="false" customHeight="false" outlineLevel="0" collapsed="false">
      <c r="A733" s="33"/>
      <c r="B733" s="27"/>
      <c r="C733" s="27"/>
      <c r="D733" s="34"/>
      <c r="E733" s="27"/>
      <c r="F733" s="28" t="str">
        <f aca="false">IF(C733="","",IFERROR(INDEX(Settings!$C$8:$C$19,MATCH(C733,Settings!$B$8:$B$19,0)),"?"))</f>
        <v/>
      </c>
      <c r="G733" s="35" t="str">
        <f aca="false">IF(A733="","",DATE(YEAR(A733),MONTH(A733),1))</f>
        <v/>
      </c>
    </row>
    <row r="734" customFormat="false" ht="15" hidden="false" customHeight="false" outlineLevel="0" collapsed="false">
      <c r="A734" s="33"/>
      <c r="B734" s="27"/>
      <c r="C734" s="27"/>
      <c r="D734" s="34"/>
      <c r="E734" s="27"/>
      <c r="F734" s="28" t="str">
        <f aca="false">IF(C734="","",IFERROR(INDEX(Settings!$C$8:$C$19,MATCH(C734,Settings!$B$8:$B$19,0)),"?"))</f>
        <v/>
      </c>
      <c r="G734" s="35" t="str">
        <f aca="false">IF(A734="","",DATE(YEAR(A734),MONTH(A734),1))</f>
        <v/>
      </c>
    </row>
    <row r="735" customFormat="false" ht="15" hidden="false" customHeight="false" outlineLevel="0" collapsed="false">
      <c r="A735" s="33"/>
      <c r="B735" s="27"/>
      <c r="C735" s="27"/>
      <c r="D735" s="34"/>
      <c r="E735" s="27"/>
      <c r="F735" s="28" t="str">
        <f aca="false">IF(C735="","",IFERROR(INDEX(Settings!$C$8:$C$19,MATCH(C735,Settings!$B$8:$B$19,0)),"?"))</f>
        <v/>
      </c>
      <c r="G735" s="35" t="str">
        <f aca="false">IF(A735="","",DATE(YEAR(A735),MONTH(A735),1))</f>
        <v/>
      </c>
    </row>
    <row r="736" customFormat="false" ht="15" hidden="false" customHeight="false" outlineLevel="0" collapsed="false">
      <c r="A736" s="33"/>
      <c r="B736" s="27"/>
      <c r="C736" s="27"/>
      <c r="D736" s="34"/>
      <c r="E736" s="27"/>
      <c r="F736" s="28" t="str">
        <f aca="false">IF(C736="","",IFERROR(INDEX(Settings!$C$8:$C$19,MATCH(C736,Settings!$B$8:$B$19,0)),"?"))</f>
        <v/>
      </c>
      <c r="G736" s="35" t="str">
        <f aca="false">IF(A736="","",DATE(YEAR(A736),MONTH(A736),1))</f>
        <v/>
      </c>
    </row>
    <row r="737" customFormat="false" ht="15" hidden="false" customHeight="false" outlineLevel="0" collapsed="false">
      <c r="A737" s="33"/>
      <c r="B737" s="27"/>
      <c r="C737" s="27"/>
      <c r="D737" s="34"/>
      <c r="E737" s="27"/>
      <c r="F737" s="28" t="str">
        <f aca="false">IF(C737="","",IFERROR(INDEX(Settings!$C$8:$C$19,MATCH(C737,Settings!$B$8:$B$19,0)),"?"))</f>
        <v/>
      </c>
      <c r="G737" s="35" t="str">
        <f aca="false">IF(A737="","",DATE(YEAR(A737),MONTH(A737),1))</f>
        <v/>
      </c>
    </row>
    <row r="738" customFormat="false" ht="15" hidden="false" customHeight="false" outlineLevel="0" collapsed="false">
      <c r="A738" s="33"/>
      <c r="B738" s="27"/>
      <c r="C738" s="27"/>
      <c r="D738" s="34"/>
      <c r="E738" s="27"/>
      <c r="F738" s="28" t="str">
        <f aca="false">IF(C738="","",IFERROR(INDEX(Settings!$C$8:$C$19,MATCH(C738,Settings!$B$8:$B$19,0)),"?"))</f>
        <v/>
      </c>
      <c r="G738" s="35" t="str">
        <f aca="false">IF(A738="","",DATE(YEAR(A738),MONTH(A738),1))</f>
        <v/>
      </c>
    </row>
    <row r="739" customFormat="false" ht="15" hidden="false" customHeight="false" outlineLevel="0" collapsed="false">
      <c r="A739" s="33"/>
      <c r="B739" s="27"/>
      <c r="C739" s="27"/>
      <c r="D739" s="34"/>
      <c r="E739" s="27"/>
      <c r="F739" s="28" t="str">
        <f aca="false">IF(C739="","",IFERROR(INDEX(Settings!$C$8:$C$19,MATCH(C739,Settings!$B$8:$B$19,0)),"?"))</f>
        <v/>
      </c>
      <c r="G739" s="35" t="str">
        <f aca="false">IF(A739="","",DATE(YEAR(A739),MONTH(A739),1))</f>
        <v/>
      </c>
    </row>
    <row r="740" customFormat="false" ht="15" hidden="false" customHeight="false" outlineLevel="0" collapsed="false">
      <c r="A740" s="33"/>
      <c r="B740" s="27"/>
      <c r="C740" s="27"/>
      <c r="D740" s="34"/>
      <c r="E740" s="27"/>
      <c r="F740" s="28" t="str">
        <f aca="false">IF(C740="","",IFERROR(INDEX(Settings!$C$8:$C$19,MATCH(C740,Settings!$B$8:$B$19,0)),"?"))</f>
        <v/>
      </c>
      <c r="G740" s="35" t="str">
        <f aca="false">IF(A740="","",DATE(YEAR(A740),MONTH(A740),1))</f>
        <v/>
      </c>
    </row>
    <row r="741" customFormat="false" ht="15" hidden="false" customHeight="false" outlineLevel="0" collapsed="false">
      <c r="A741" s="33"/>
      <c r="B741" s="27"/>
      <c r="C741" s="27"/>
      <c r="D741" s="34"/>
      <c r="E741" s="27"/>
      <c r="F741" s="28" t="str">
        <f aca="false">IF(C741="","",IFERROR(INDEX(Settings!$C$8:$C$19,MATCH(C741,Settings!$B$8:$B$19,0)),"?"))</f>
        <v/>
      </c>
      <c r="G741" s="35" t="str">
        <f aca="false">IF(A741="","",DATE(YEAR(A741),MONTH(A741),1))</f>
        <v/>
      </c>
    </row>
    <row r="742" customFormat="false" ht="15" hidden="false" customHeight="false" outlineLevel="0" collapsed="false">
      <c r="A742" s="33"/>
      <c r="B742" s="27"/>
      <c r="C742" s="27"/>
      <c r="D742" s="34"/>
      <c r="E742" s="27"/>
      <c r="F742" s="28" t="str">
        <f aca="false">IF(C742="","",IFERROR(INDEX(Settings!$C$8:$C$19,MATCH(C742,Settings!$B$8:$B$19,0)),"?"))</f>
        <v/>
      </c>
      <c r="G742" s="35" t="str">
        <f aca="false">IF(A742="","",DATE(YEAR(A742),MONTH(A742),1))</f>
        <v/>
      </c>
    </row>
    <row r="743" customFormat="false" ht="15" hidden="false" customHeight="false" outlineLevel="0" collapsed="false">
      <c r="A743" s="33"/>
      <c r="B743" s="27"/>
      <c r="C743" s="27"/>
      <c r="D743" s="34"/>
      <c r="E743" s="27"/>
      <c r="F743" s="28" t="str">
        <f aca="false">IF(C743="","",IFERROR(INDEX(Settings!$C$8:$C$19,MATCH(C743,Settings!$B$8:$B$19,0)),"?"))</f>
        <v/>
      </c>
      <c r="G743" s="35" t="str">
        <f aca="false">IF(A743="","",DATE(YEAR(A743),MONTH(A743),1))</f>
        <v/>
      </c>
    </row>
    <row r="744" customFormat="false" ht="15" hidden="false" customHeight="false" outlineLevel="0" collapsed="false">
      <c r="A744" s="33"/>
      <c r="B744" s="27"/>
      <c r="C744" s="27"/>
      <c r="D744" s="34"/>
      <c r="E744" s="27"/>
      <c r="F744" s="28" t="str">
        <f aca="false">IF(C744="","",IFERROR(INDEX(Settings!$C$8:$C$19,MATCH(C744,Settings!$B$8:$B$19,0)),"?"))</f>
        <v/>
      </c>
      <c r="G744" s="35" t="str">
        <f aca="false">IF(A744="","",DATE(YEAR(A744),MONTH(A744),1))</f>
        <v/>
      </c>
    </row>
    <row r="745" customFormat="false" ht="15" hidden="false" customHeight="false" outlineLevel="0" collapsed="false">
      <c r="A745" s="33"/>
      <c r="B745" s="27"/>
      <c r="C745" s="27"/>
      <c r="D745" s="34"/>
      <c r="E745" s="27"/>
      <c r="F745" s="28" t="str">
        <f aca="false">IF(C745="","",IFERROR(INDEX(Settings!$C$8:$C$19,MATCH(C745,Settings!$B$8:$B$19,0)),"?"))</f>
        <v/>
      </c>
      <c r="G745" s="35" t="str">
        <f aca="false">IF(A745="","",DATE(YEAR(A745),MONTH(A745),1))</f>
        <v/>
      </c>
    </row>
    <row r="746" customFormat="false" ht="15" hidden="false" customHeight="false" outlineLevel="0" collapsed="false">
      <c r="A746" s="33"/>
      <c r="B746" s="27"/>
      <c r="C746" s="27"/>
      <c r="D746" s="34"/>
      <c r="E746" s="27"/>
      <c r="F746" s="28" t="str">
        <f aca="false">IF(C746="","",IFERROR(INDEX(Settings!$C$8:$C$19,MATCH(C746,Settings!$B$8:$B$19,0)),"?"))</f>
        <v/>
      </c>
      <c r="G746" s="35" t="str">
        <f aca="false">IF(A746="","",DATE(YEAR(A746),MONTH(A746),1))</f>
        <v/>
      </c>
    </row>
    <row r="747" customFormat="false" ht="15" hidden="false" customHeight="false" outlineLevel="0" collapsed="false">
      <c r="A747" s="33"/>
      <c r="B747" s="27"/>
      <c r="C747" s="27"/>
      <c r="D747" s="34"/>
      <c r="E747" s="27"/>
      <c r="F747" s="28" t="str">
        <f aca="false">IF(C747="","",IFERROR(INDEX(Settings!$C$8:$C$19,MATCH(C747,Settings!$B$8:$B$19,0)),"?"))</f>
        <v/>
      </c>
      <c r="G747" s="35" t="str">
        <f aca="false">IF(A747="","",DATE(YEAR(A747),MONTH(A747),1))</f>
        <v/>
      </c>
    </row>
    <row r="748" customFormat="false" ht="15" hidden="false" customHeight="false" outlineLevel="0" collapsed="false">
      <c r="A748" s="33"/>
      <c r="B748" s="27"/>
      <c r="C748" s="27"/>
      <c r="D748" s="34"/>
      <c r="E748" s="27"/>
      <c r="F748" s="28" t="str">
        <f aca="false">IF(C748="","",IFERROR(INDEX(Settings!$C$8:$C$19,MATCH(C748,Settings!$B$8:$B$19,0)),"?"))</f>
        <v/>
      </c>
      <c r="G748" s="35" t="str">
        <f aca="false">IF(A748="","",DATE(YEAR(A748),MONTH(A748),1))</f>
        <v/>
      </c>
    </row>
    <row r="749" customFormat="false" ht="15" hidden="false" customHeight="false" outlineLevel="0" collapsed="false">
      <c r="A749" s="33"/>
      <c r="B749" s="27"/>
      <c r="C749" s="27"/>
      <c r="D749" s="34"/>
      <c r="E749" s="27"/>
      <c r="F749" s="28" t="str">
        <f aca="false">IF(C749="","",IFERROR(INDEX(Settings!$C$8:$C$19,MATCH(C749,Settings!$B$8:$B$19,0)),"?"))</f>
        <v/>
      </c>
      <c r="G749" s="35" t="str">
        <f aca="false">IF(A749="","",DATE(YEAR(A749),MONTH(A749),1))</f>
        <v/>
      </c>
    </row>
    <row r="750" customFormat="false" ht="15" hidden="false" customHeight="false" outlineLevel="0" collapsed="false">
      <c r="A750" s="33"/>
      <c r="B750" s="27"/>
      <c r="C750" s="27"/>
      <c r="D750" s="34"/>
      <c r="E750" s="27"/>
      <c r="F750" s="28" t="str">
        <f aca="false">IF(C750="","",IFERROR(INDEX(Settings!$C$8:$C$19,MATCH(C750,Settings!$B$8:$B$19,0)),"?"))</f>
        <v/>
      </c>
      <c r="G750" s="35" t="str">
        <f aca="false">IF(A750="","",DATE(YEAR(A750),MONTH(A750),1))</f>
        <v/>
      </c>
    </row>
    <row r="751" customFormat="false" ht="15" hidden="false" customHeight="false" outlineLevel="0" collapsed="false">
      <c r="A751" s="33"/>
      <c r="B751" s="27"/>
      <c r="C751" s="27"/>
      <c r="D751" s="34"/>
      <c r="E751" s="27"/>
      <c r="F751" s="28" t="str">
        <f aca="false">IF(C751="","",IFERROR(INDEX(Settings!$C$8:$C$19,MATCH(C751,Settings!$B$8:$B$19,0)),"?"))</f>
        <v/>
      </c>
      <c r="G751" s="35" t="str">
        <f aca="false">IF(A751="","",DATE(YEAR(A751),MONTH(A751),1))</f>
        <v/>
      </c>
    </row>
    <row r="752" customFormat="false" ht="15" hidden="false" customHeight="false" outlineLevel="0" collapsed="false">
      <c r="A752" s="33"/>
      <c r="B752" s="27"/>
      <c r="C752" s="27"/>
      <c r="D752" s="34"/>
      <c r="E752" s="27"/>
      <c r="F752" s="28" t="str">
        <f aca="false">IF(C752="","",IFERROR(INDEX(Settings!$C$8:$C$19,MATCH(C752,Settings!$B$8:$B$19,0)),"?"))</f>
        <v/>
      </c>
      <c r="G752" s="35" t="str">
        <f aca="false">IF(A752="","",DATE(YEAR(A752),MONTH(A752),1))</f>
        <v/>
      </c>
    </row>
    <row r="753" customFormat="false" ht="15" hidden="false" customHeight="false" outlineLevel="0" collapsed="false">
      <c r="A753" s="33"/>
      <c r="B753" s="27"/>
      <c r="C753" s="27"/>
      <c r="D753" s="34"/>
      <c r="E753" s="27"/>
      <c r="F753" s="28" t="str">
        <f aca="false">IF(C753="","",IFERROR(INDEX(Settings!$C$8:$C$19,MATCH(C753,Settings!$B$8:$B$19,0)),"?"))</f>
        <v/>
      </c>
      <c r="G753" s="35" t="str">
        <f aca="false">IF(A753="","",DATE(YEAR(A753),MONTH(A753),1))</f>
        <v/>
      </c>
    </row>
    <row r="754" customFormat="false" ht="15" hidden="false" customHeight="false" outlineLevel="0" collapsed="false">
      <c r="A754" s="33"/>
      <c r="B754" s="27"/>
      <c r="C754" s="27"/>
      <c r="D754" s="34"/>
      <c r="E754" s="27"/>
      <c r="F754" s="28" t="str">
        <f aca="false">IF(C754="","",IFERROR(INDEX(Settings!$C$8:$C$19,MATCH(C754,Settings!$B$8:$B$19,0)),"?"))</f>
        <v/>
      </c>
      <c r="G754" s="35" t="str">
        <f aca="false">IF(A754="","",DATE(YEAR(A754),MONTH(A754),1))</f>
        <v/>
      </c>
    </row>
    <row r="755" customFormat="false" ht="15" hidden="false" customHeight="false" outlineLevel="0" collapsed="false">
      <c r="A755" s="33"/>
      <c r="B755" s="27"/>
      <c r="C755" s="27"/>
      <c r="D755" s="34"/>
      <c r="E755" s="27"/>
      <c r="F755" s="28" t="str">
        <f aca="false">IF(C755="","",IFERROR(INDEX(Settings!$C$8:$C$19,MATCH(C755,Settings!$B$8:$B$19,0)),"?"))</f>
        <v/>
      </c>
      <c r="G755" s="35" t="str">
        <f aca="false">IF(A755="","",DATE(YEAR(A755),MONTH(A755),1))</f>
        <v/>
      </c>
    </row>
    <row r="756" customFormat="false" ht="15" hidden="false" customHeight="false" outlineLevel="0" collapsed="false">
      <c r="A756" s="33"/>
      <c r="B756" s="27"/>
      <c r="C756" s="27"/>
      <c r="D756" s="34"/>
      <c r="E756" s="27"/>
      <c r="F756" s="28" t="str">
        <f aca="false">IF(C756="","",IFERROR(INDEX(Settings!$C$8:$C$19,MATCH(C756,Settings!$B$8:$B$19,0)),"?"))</f>
        <v/>
      </c>
      <c r="G756" s="35" t="str">
        <f aca="false">IF(A756="","",DATE(YEAR(A756),MONTH(A756),1))</f>
        <v/>
      </c>
    </row>
    <row r="757" customFormat="false" ht="15" hidden="false" customHeight="false" outlineLevel="0" collapsed="false">
      <c r="A757" s="33"/>
      <c r="B757" s="27"/>
      <c r="C757" s="27"/>
      <c r="D757" s="34"/>
      <c r="E757" s="27"/>
      <c r="F757" s="28" t="str">
        <f aca="false">IF(C757="","",IFERROR(INDEX(Settings!$C$8:$C$19,MATCH(C757,Settings!$B$8:$B$19,0)),"?"))</f>
        <v/>
      </c>
      <c r="G757" s="35" t="str">
        <f aca="false">IF(A757="","",DATE(YEAR(A757),MONTH(A757),1))</f>
        <v/>
      </c>
    </row>
    <row r="758" customFormat="false" ht="15" hidden="false" customHeight="false" outlineLevel="0" collapsed="false">
      <c r="A758" s="33"/>
      <c r="B758" s="27"/>
      <c r="C758" s="27"/>
      <c r="D758" s="34"/>
      <c r="E758" s="27"/>
      <c r="F758" s="28" t="str">
        <f aca="false">IF(C758="","",IFERROR(INDEX(Settings!$C$8:$C$19,MATCH(C758,Settings!$B$8:$B$19,0)),"?"))</f>
        <v/>
      </c>
      <c r="G758" s="35" t="str">
        <f aca="false">IF(A758="","",DATE(YEAR(A758),MONTH(A758),1))</f>
        <v/>
      </c>
    </row>
    <row r="759" customFormat="false" ht="15" hidden="false" customHeight="false" outlineLevel="0" collapsed="false">
      <c r="A759" s="33"/>
      <c r="B759" s="27"/>
      <c r="C759" s="27"/>
      <c r="D759" s="34"/>
      <c r="E759" s="27"/>
      <c r="F759" s="28" t="str">
        <f aca="false">IF(C759="","",IFERROR(INDEX(Settings!$C$8:$C$19,MATCH(C759,Settings!$B$8:$B$19,0)),"?"))</f>
        <v/>
      </c>
      <c r="G759" s="35" t="str">
        <f aca="false">IF(A759="","",DATE(YEAR(A759),MONTH(A759),1))</f>
        <v/>
      </c>
    </row>
    <row r="760" customFormat="false" ht="15" hidden="false" customHeight="false" outlineLevel="0" collapsed="false">
      <c r="A760" s="33"/>
      <c r="B760" s="27"/>
      <c r="C760" s="27"/>
      <c r="D760" s="34"/>
      <c r="E760" s="27"/>
      <c r="F760" s="28" t="str">
        <f aca="false">IF(C760="","",IFERROR(INDEX(Settings!$C$8:$C$19,MATCH(C760,Settings!$B$8:$B$19,0)),"?"))</f>
        <v/>
      </c>
      <c r="G760" s="35" t="str">
        <f aca="false">IF(A760="","",DATE(YEAR(A760),MONTH(A760),1))</f>
        <v/>
      </c>
    </row>
    <row r="761" customFormat="false" ht="15" hidden="false" customHeight="false" outlineLevel="0" collapsed="false">
      <c r="A761" s="33"/>
      <c r="B761" s="27"/>
      <c r="C761" s="27"/>
      <c r="D761" s="34"/>
      <c r="E761" s="27"/>
      <c r="F761" s="28" t="str">
        <f aca="false">IF(C761="","",IFERROR(INDEX(Settings!$C$8:$C$19,MATCH(C761,Settings!$B$8:$B$19,0)),"?"))</f>
        <v/>
      </c>
      <c r="G761" s="35" t="str">
        <f aca="false">IF(A761="","",DATE(YEAR(A761),MONTH(A761),1))</f>
        <v/>
      </c>
    </row>
    <row r="762" customFormat="false" ht="15" hidden="false" customHeight="false" outlineLevel="0" collapsed="false">
      <c r="A762" s="33"/>
      <c r="B762" s="27"/>
      <c r="C762" s="27"/>
      <c r="D762" s="34"/>
      <c r="E762" s="27"/>
      <c r="F762" s="28" t="str">
        <f aca="false">IF(C762="","",IFERROR(INDEX(Settings!$C$8:$C$19,MATCH(C762,Settings!$B$8:$B$19,0)),"?"))</f>
        <v/>
      </c>
      <c r="G762" s="35" t="str">
        <f aca="false">IF(A762="","",DATE(YEAR(A762),MONTH(A762),1))</f>
        <v/>
      </c>
    </row>
    <row r="763" customFormat="false" ht="15" hidden="false" customHeight="false" outlineLevel="0" collapsed="false">
      <c r="A763" s="33"/>
      <c r="B763" s="27"/>
      <c r="C763" s="27"/>
      <c r="D763" s="34"/>
      <c r="E763" s="27"/>
      <c r="F763" s="28" t="str">
        <f aca="false">IF(C763="","",IFERROR(INDEX(Settings!$C$8:$C$19,MATCH(C763,Settings!$B$8:$B$19,0)),"?"))</f>
        <v/>
      </c>
      <c r="G763" s="35" t="str">
        <f aca="false">IF(A763="","",DATE(YEAR(A763),MONTH(A763),1))</f>
        <v/>
      </c>
    </row>
    <row r="764" customFormat="false" ht="15" hidden="false" customHeight="false" outlineLevel="0" collapsed="false">
      <c r="A764" s="33"/>
      <c r="B764" s="27"/>
      <c r="C764" s="27"/>
      <c r="D764" s="34"/>
      <c r="E764" s="27"/>
      <c r="F764" s="28" t="str">
        <f aca="false">IF(C764="","",IFERROR(INDEX(Settings!$C$8:$C$19,MATCH(C764,Settings!$B$8:$B$19,0)),"?"))</f>
        <v/>
      </c>
      <c r="G764" s="35" t="str">
        <f aca="false">IF(A764="","",DATE(YEAR(A764),MONTH(A764),1))</f>
        <v/>
      </c>
    </row>
    <row r="765" customFormat="false" ht="15" hidden="false" customHeight="false" outlineLevel="0" collapsed="false">
      <c r="A765" s="33"/>
      <c r="B765" s="27"/>
      <c r="C765" s="27"/>
      <c r="D765" s="34"/>
      <c r="E765" s="27"/>
      <c r="F765" s="28" t="str">
        <f aca="false">IF(C765="","",IFERROR(INDEX(Settings!$C$8:$C$19,MATCH(C765,Settings!$B$8:$B$19,0)),"?"))</f>
        <v/>
      </c>
      <c r="G765" s="35" t="str">
        <f aca="false">IF(A765="","",DATE(YEAR(A765),MONTH(A765),1))</f>
        <v/>
      </c>
    </row>
    <row r="766" customFormat="false" ht="15" hidden="false" customHeight="false" outlineLevel="0" collapsed="false">
      <c r="A766" s="33"/>
      <c r="B766" s="27"/>
      <c r="C766" s="27"/>
      <c r="D766" s="34"/>
      <c r="E766" s="27"/>
      <c r="F766" s="28" t="str">
        <f aca="false">IF(C766="","",IFERROR(INDEX(Settings!$C$8:$C$19,MATCH(C766,Settings!$B$8:$B$19,0)),"?"))</f>
        <v/>
      </c>
      <c r="G766" s="35" t="str">
        <f aca="false">IF(A766="","",DATE(YEAR(A766),MONTH(A766),1))</f>
        <v/>
      </c>
    </row>
    <row r="767" customFormat="false" ht="15" hidden="false" customHeight="false" outlineLevel="0" collapsed="false">
      <c r="A767" s="33"/>
      <c r="B767" s="27"/>
      <c r="C767" s="27"/>
      <c r="D767" s="34"/>
      <c r="E767" s="27"/>
      <c r="F767" s="28" t="str">
        <f aca="false">IF(C767="","",IFERROR(INDEX(Settings!$C$8:$C$19,MATCH(C767,Settings!$B$8:$B$19,0)),"?"))</f>
        <v/>
      </c>
      <c r="G767" s="35" t="str">
        <f aca="false">IF(A767="","",DATE(YEAR(A767),MONTH(A767),1))</f>
        <v/>
      </c>
    </row>
    <row r="768" customFormat="false" ht="15" hidden="false" customHeight="false" outlineLevel="0" collapsed="false">
      <c r="A768" s="33"/>
      <c r="B768" s="27"/>
      <c r="C768" s="27"/>
      <c r="D768" s="34"/>
      <c r="E768" s="27"/>
      <c r="F768" s="28" t="str">
        <f aca="false">IF(C768="","",IFERROR(INDEX(Settings!$C$8:$C$19,MATCH(C768,Settings!$B$8:$B$19,0)),"?"))</f>
        <v/>
      </c>
      <c r="G768" s="35" t="str">
        <f aca="false">IF(A768="","",DATE(YEAR(A768),MONTH(A768),1))</f>
        <v/>
      </c>
    </row>
    <row r="769" customFormat="false" ht="15" hidden="false" customHeight="false" outlineLevel="0" collapsed="false">
      <c r="A769" s="33"/>
      <c r="B769" s="27"/>
      <c r="C769" s="27"/>
      <c r="D769" s="34"/>
      <c r="E769" s="27"/>
      <c r="F769" s="28" t="str">
        <f aca="false">IF(C769="","",IFERROR(INDEX(Settings!$C$8:$C$19,MATCH(C769,Settings!$B$8:$B$19,0)),"?"))</f>
        <v/>
      </c>
      <c r="G769" s="35" t="str">
        <f aca="false">IF(A769="","",DATE(YEAR(A769),MONTH(A769),1))</f>
        <v/>
      </c>
    </row>
    <row r="770" customFormat="false" ht="15" hidden="false" customHeight="false" outlineLevel="0" collapsed="false">
      <c r="A770" s="33"/>
      <c r="B770" s="27"/>
      <c r="C770" s="27"/>
      <c r="D770" s="34"/>
      <c r="E770" s="27"/>
      <c r="F770" s="28" t="str">
        <f aca="false">IF(C770="","",IFERROR(INDEX(Settings!$C$8:$C$19,MATCH(C770,Settings!$B$8:$B$19,0)),"?"))</f>
        <v/>
      </c>
      <c r="G770" s="35" t="str">
        <f aca="false">IF(A770="","",DATE(YEAR(A770),MONTH(A770),1))</f>
        <v/>
      </c>
    </row>
    <row r="771" customFormat="false" ht="15" hidden="false" customHeight="false" outlineLevel="0" collapsed="false">
      <c r="A771" s="33"/>
      <c r="B771" s="27"/>
      <c r="C771" s="27"/>
      <c r="D771" s="34"/>
      <c r="E771" s="27"/>
      <c r="F771" s="28" t="str">
        <f aca="false">IF(C771="","",IFERROR(INDEX(Settings!$C$8:$C$19,MATCH(C771,Settings!$B$8:$B$19,0)),"?"))</f>
        <v/>
      </c>
      <c r="G771" s="35" t="str">
        <f aca="false">IF(A771="","",DATE(YEAR(A771),MONTH(A771),1))</f>
        <v/>
      </c>
    </row>
    <row r="772" customFormat="false" ht="15" hidden="false" customHeight="false" outlineLevel="0" collapsed="false">
      <c r="A772" s="33"/>
      <c r="B772" s="27"/>
      <c r="C772" s="27"/>
      <c r="D772" s="34"/>
      <c r="E772" s="27"/>
      <c r="F772" s="28" t="str">
        <f aca="false">IF(C772="","",IFERROR(INDEX(Settings!$C$8:$C$19,MATCH(C772,Settings!$B$8:$B$19,0)),"?"))</f>
        <v/>
      </c>
      <c r="G772" s="35" t="str">
        <f aca="false">IF(A772="","",DATE(YEAR(A772),MONTH(A772),1))</f>
        <v/>
      </c>
    </row>
    <row r="773" customFormat="false" ht="15" hidden="false" customHeight="false" outlineLevel="0" collapsed="false">
      <c r="A773" s="33"/>
      <c r="B773" s="27"/>
      <c r="C773" s="27"/>
      <c r="D773" s="34"/>
      <c r="E773" s="27"/>
      <c r="F773" s="28" t="str">
        <f aca="false">IF(C773="","",IFERROR(INDEX(Settings!$C$8:$C$19,MATCH(C773,Settings!$B$8:$B$19,0)),"?"))</f>
        <v/>
      </c>
      <c r="G773" s="35" t="str">
        <f aca="false">IF(A773="","",DATE(YEAR(A773),MONTH(A773),1))</f>
        <v/>
      </c>
    </row>
    <row r="774" customFormat="false" ht="15" hidden="false" customHeight="false" outlineLevel="0" collapsed="false">
      <c r="A774" s="33"/>
      <c r="B774" s="27"/>
      <c r="C774" s="27"/>
      <c r="D774" s="34"/>
      <c r="E774" s="27"/>
      <c r="F774" s="28" t="str">
        <f aca="false">IF(C774="","",IFERROR(INDEX(Settings!$C$8:$C$19,MATCH(C774,Settings!$B$8:$B$19,0)),"?"))</f>
        <v/>
      </c>
      <c r="G774" s="35" t="str">
        <f aca="false">IF(A774="","",DATE(YEAR(A774),MONTH(A774),1))</f>
        <v/>
      </c>
    </row>
    <row r="775" customFormat="false" ht="15" hidden="false" customHeight="false" outlineLevel="0" collapsed="false">
      <c r="A775" s="33"/>
      <c r="B775" s="27"/>
      <c r="C775" s="27"/>
      <c r="D775" s="34"/>
      <c r="E775" s="27"/>
      <c r="F775" s="28" t="str">
        <f aca="false">IF(C775="","",IFERROR(INDEX(Settings!$C$8:$C$19,MATCH(C775,Settings!$B$8:$B$19,0)),"?"))</f>
        <v/>
      </c>
      <c r="G775" s="35" t="str">
        <f aca="false">IF(A775="","",DATE(YEAR(A775),MONTH(A775),1))</f>
        <v/>
      </c>
    </row>
    <row r="776" customFormat="false" ht="15" hidden="false" customHeight="false" outlineLevel="0" collapsed="false">
      <c r="A776" s="33"/>
      <c r="B776" s="27"/>
      <c r="C776" s="27"/>
      <c r="D776" s="34"/>
      <c r="E776" s="27"/>
      <c r="F776" s="28" t="str">
        <f aca="false">IF(C776="","",IFERROR(INDEX(Settings!$C$8:$C$19,MATCH(C776,Settings!$B$8:$B$19,0)),"?"))</f>
        <v/>
      </c>
      <c r="G776" s="35" t="str">
        <f aca="false">IF(A776="","",DATE(YEAR(A776),MONTH(A776),1))</f>
        <v/>
      </c>
    </row>
    <row r="777" customFormat="false" ht="15" hidden="false" customHeight="false" outlineLevel="0" collapsed="false">
      <c r="A777" s="33"/>
      <c r="B777" s="27"/>
      <c r="C777" s="27"/>
      <c r="D777" s="34"/>
      <c r="E777" s="27"/>
      <c r="F777" s="28" t="str">
        <f aca="false">IF(C777="","",IFERROR(INDEX(Settings!$C$8:$C$19,MATCH(C777,Settings!$B$8:$B$19,0)),"?"))</f>
        <v/>
      </c>
      <c r="G777" s="35" t="str">
        <f aca="false">IF(A777="","",DATE(YEAR(A777),MONTH(A777),1))</f>
        <v/>
      </c>
    </row>
    <row r="778" customFormat="false" ht="15" hidden="false" customHeight="false" outlineLevel="0" collapsed="false">
      <c r="A778" s="33"/>
      <c r="B778" s="27"/>
      <c r="C778" s="27"/>
      <c r="D778" s="34"/>
      <c r="E778" s="27"/>
      <c r="F778" s="28" t="str">
        <f aca="false">IF(C778="","",IFERROR(INDEX(Settings!$C$8:$C$19,MATCH(C778,Settings!$B$8:$B$19,0)),"?"))</f>
        <v/>
      </c>
      <c r="G778" s="35" t="str">
        <f aca="false">IF(A778="","",DATE(YEAR(A778),MONTH(A778),1))</f>
        <v/>
      </c>
    </row>
    <row r="779" customFormat="false" ht="15" hidden="false" customHeight="false" outlineLevel="0" collapsed="false">
      <c r="A779" s="33"/>
      <c r="B779" s="27"/>
      <c r="C779" s="27"/>
      <c r="D779" s="34"/>
      <c r="E779" s="27"/>
      <c r="F779" s="28" t="str">
        <f aca="false">IF(C779="","",IFERROR(INDEX(Settings!$C$8:$C$19,MATCH(C779,Settings!$B$8:$B$19,0)),"?"))</f>
        <v/>
      </c>
      <c r="G779" s="35" t="str">
        <f aca="false">IF(A779="","",DATE(YEAR(A779),MONTH(A779),1))</f>
        <v/>
      </c>
    </row>
    <row r="780" customFormat="false" ht="15" hidden="false" customHeight="false" outlineLevel="0" collapsed="false">
      <c r="A780" s="33"/>
      <c r="B780" s="27"/>
      <c r="C780" s="27"/>
      <c r="D780" s="34"/>
      <c r="E780" s="27"/>
      <c r="F780" s="28" t="str">
        <f aca="false">IF(C780="","",IFERROR(INDEX(Settings!$C$8:$C$19,MATCH(C780,Settings!$B$8:$B$19,0)),"?"))</f>
        <v/>
      </c>
      <c r="G780" s="35" t="str">
        <f aca="false">IF(A780="","",DATE(YEAR(A780),MONTH(A780),1))</f>
        <v/>
      </c>
    </row>
    <row r="781" customFormat="false" ht="15" hidden="false" customHeight="false" outlineLevel="0" collapsed="false">
      <c r="A781" s="33"/>
      <c r="B781" s="27"/>
      <c r="C781" s="27"/>
      <c r="D781" s="34"/>
      <c r="E781" s="27"/>
      <c r="F781" s="28" t="str">
        <f aca="false">IF(C781="","",IFERROR(INDEX(Settings!$C$8:$C$19,MATCH(C781,Settings!$B$8:$B$19,0)),"?"))</f>
        <v/>
      </c>
      <c r="G781" s="35" t="str">
        <f aca="false">IF(A781="","",DATE(YEAR(A781),MONTH(A781),1))</f>
        <v/>
      </c>
    </row>
    <row r="782" customFormat="false" ht="15" hidden="false" customHeight="false" outlineLevel="0" collapsed="false">
      <c r="A782" s="33"/>
      <c r="B782" s="27"/>
      <c r="C782" s="27"/>
      <c r="D782" s="34"/>
      <c r="E782" s="27"/>
      <c r="F782" s="28" t="str">
        <f aca="false">IF(C782="","",IFERROR(INDEX(Settings!$C$8:$C$19,MATCH(C782,Settings!$B$8:$B$19,0)),"?"))</f>
        <v/>
      </c>
      <c r="G782" s="35" t="str">
        <f aca="false">IF(A782="","",DATE(YEAR(A782),MONTH(A782),1))</f>
        <v/>
      </c>
    </row>
    <row r="783" customFormat="false" ht="15" hidden="false" customHeight="false" outlineLevel="0" collapsed="false">
      <c r="A783" s="33"/>
      <c r="B783" s="27"/>
      <c r="C783" s="27"/>
      <c r="D783" s="34"/>
      <c r="E783" s="27"/>
      <c r="F783" s="28" t="str">
        <f aca="false">IF(C783="","",IFERROR(INDEX(Settings!$C$8:$C$19,MATCH(C783,Settings!$B$8:$B$19,0)),"?"))</f>
        <v/>
      </c>
      <c r="G783" s="35" t="str">
        <f aca="false">IF(A783="","",DATE(YEAR(A783),MONTH(A783),1))</f>
        <v/>
      </c>
    </row>
    <row r="784" customFormat="false" ht="15" hidden="false" customHeight="false" outlineLevel="0" collapsed="false">
      <c r="A784" s="33"/>
      <c r="B784" s="27"/>
      <c r="C784" s="27"/>
      <c r="D784" s="34"/>
      <c r="E784" s="27"/>
      <c r="F784" s="28" t="str">
        <f aca="false">IF(C784="","",IFERROR(INDEX(Settings!$C$8:$C$19,MATCH(C784,Settings!$B$8:$B$19,0)),"?"))</f>
        <v/>
      </c>
      <c r="G784" s="35" t="str">
        <f aca="false">IF(A784="","",DATE(YEAR(A784),MONTH(A784),1))</f>
        <v/>
      </c>
    </row>
    <row r="785" customFormat="false" ht="15" hidden="false" customHeight="false" outlineLevel="0" collapsed="false">
      <c r="A785" s="33"/>
      <c r="B785" s="27"/>
      <c r="C785" s="27"/>
      <c r="D785" s="34"/>
      <c r="E785" s="27"/>
      <c r="F785" s="28" t="str">
        <f aca="false">IF(C785="","",IFERROR(INDEX(Settings!$C$8:$C$19,MATCH(C785,Settings!$B$8:$B$19,0)),"?"))</f>
        <v/>
      </c>
      <c r="G785" s="35" t="str">
        <f aca="false">IF(A785="","",DATE(YEAR(A785),MONTH(A785),1))</f>
        <v/>
      </c>
    </row>
    <row r="786" customFormat="false" ht="15" hidden="false" customHeight="false" outlineLevel="0" collapsed="false">
      <c r="A786" s="33"/>
      <c r="B786" s="27"/>
      <c r="C786" s="27"/>
      <c r="D786" s="34"/>
      <c r="E786" s="27"/>
      <c r="F786" s="28" t="str">
        <f aca="false">IF(C786="","",IFERROR(INDEX(Settings!$C$8:$C$19,MATCH(C786,Settings!$B$8:$B$19,0)),"?"))</f>
        <v/>
      </c>
      <c r="G786" s="35" t="str">
        <f aca="false">IF(A786="","",DATE(YEAR(A786),MONTH(A786),1))</f>
        <v/>
      </c>
    </row>
    <row r="787" customFormat="false" ht="15" hidden="false" customHeight="false" outlineLevel="0" collapsed="false">
      <c r="A787" s="33"/>
      <c r="B787" s="27"/>
      <c r="C787" s="27"/>
      <c r="D787" s="34"/>
      <c r="E787" s="27"/>
      <c r="F787" s="28" t="str">
        <f aca="false">IF(C787="","",IFERROR(INDEX(Settings!$C$8:$C$19,MATCH(C787,Settings!$B$8:$B$19,0)),"?"))</f>
        <v/>
      </c>
      <c r="G787" s="35" t="str">
        <f aca="false">IF(A787="","",DATE(YEAR(A787),MONTH(A787),1))</f>
        <v/>
      </c>
    </row>
    <row r="788" customFormat="false" ht="15" hidden="false" customHeight="false" outlineLevel="0" collapsed="false">
      <c r="A788" s="33"/>
      <c r="B788" s="27"/>
      <c r="C788" s="27"/>
      <c r="D788" s="34"/>
      <c r="E788" s="27"/>
      <c r="F788" s="28" t="str">
        <f aca="false">IF(C788="","",IFERROR(INDEX(Settings!$C$8:$C$19,MATCH(C788,Settings!$B$8:$B$19,0)),"?"))</f>
        <v/>
      </c>
      <c r="G788" s="35" t="str">
        <f aca="false">IF(A788="","",DATE(YEAR(A788),MONTH(A788),1))</f>
        <v/>
      </c>
    </row>
    <row r="789" customFormat="false" ht="15" hidden="false" customHeight="false" outlineLevel="0" collapsed="false">
      <c r="A789" s="33"/>
      <c r="B789" s="27"/>
      <c r="C789" s="27"/>
      <c r="D789" s="34"/>
      <c r="E789" s="27"/>
      <c r="F789" s="28" t="str">
        <f aca="false">IF(C789="","",IFERROR(INDEX(Settings!$C$8:$C$19,MATCH(C789,Settings!$B$8:$B$19,0)),"?"))</f>
        <v/>
      </c>
      <c r="G789" s="35" t="str">
        <f aca="false">IF(A789="","",DATE(YEAR(A789),MONTH(A789),1))</f>
        <v/>
      </c>
    </row>
    <row r="790" customFormat="false" ht="15" hidden="false" customHeight="false" outlineLevel="0" collapsed="false">
      <c r="A790" s="33"/>
      <c r="B790" s="27"/>
      <c r="C790" s="27"/>
      <c r="D790" s="34"/>
      <c r="E790" s="27"/>
      <c r="F790" s="28" t="str">
        <f aca="false">IF(C790="","",IFERROR(INDEX(Settings!$C$8:$C$19,MATCH(C790,Settings!$B$8:$B$19,0)),"?"))</f>
        <v/>
      </c>
      <c r="G790" s="35" t="str">
        <f aca="false">IF(A790="","",DATE(YEAR(A790),MONTH(A790),1))</f>
        <v/>
      </c>
    </row>
    <row r="791" customFormat="false" ht="15" hidden="false" customHeight="false" outlineLevel="0" collapsed="false">
      <c r="A791" s="33"/>
      <c r="B791" s="27"/>
      <c r="C791" s="27"/>
      <c r="D791" s="34"/>
      <c r="E791" s="27"/>
      <c r="F791" s="28" t="str">
        <f aca="false">IF(C791="","",IFERROR(INDEX(Settings!$C$8:$C$19,MATCH(C791,Settings!$B$8:$B$19,0)),"?"))</f>
        <v/>
      </c>
      <c r="G791" s="35" t="str">
        <f aca="false">IF(A791="","",DATE(YEAR(A791),MONTH(A791),1))</f>
        <v/>
      </c>
    </row>
    <row r="792" customFormat="false" ht="15" hidden="false" customHeight="false" outlineLevel="0" collapsed="false">
      <c r="A792" s="33"/>
      <c r="B792" s="27"/>
      <c r="C792" s="27"/>
      <c r="D792" s="34"/>
      <c r="E792" s="27"/>
      <c r="F792" s="28" t="str">
        <f aca="false">IF(C792="","",IFERROR(INDEX(Settings!$C$8:$C$19,MATCH(C792,Settings!$B$8:$B$19,0)),"?"))</f>
        <v/>
      </c>
      <c r="G792" s="35" t="str">
        <f aca="false">IF(A792="","",DATE(YEAR(A792),MONTH(A792),1))</f>
        <v/>
      </c>
    </row>
    <row r="793" customFormat="false" ht="15" hidden="false" customHeight="false" outlineLevel="0" collapsed="false">
      <c r="A793" s="33"/>
      <c r="B793" s="27"/>
      <c r="C793" s="27"/>
      <c r="D793" s="34"/>
      <c r="E793" s="27"/>
      <c r="F793" s="28" t="str">
        <f aca="false">IF(C793="","",IFERROR(INDEX(Settings!$C$8:$C$19,MATCH(C793,Settings!$B$8:$B$19,0)),"?"))</f>
        <v/>
      </c>
      <c r="G793" s="35" t="str">
        <f aca="false">IF(A793="","",DATE(YEAR(A793),MONTH(A793),1))</f>
        <v/>
      </c>
    </row>
    <row r="794" customFormat="false" ht="15" hidden="false" customHeight="false" outlineLevel="0" collapsed="false">
      <c r="A794" s="33"/>
      <c r="B794" s="27"/>
      <c r="C794" s="27"/>
      <c r="D794" s="34"/>
      <c r="E794" s="27"/>
      <c r="F794" s="28" t="str">
        <f aca="false">IF(C794="","",IFERROR(INDEX(Settings!$C$8:$C$19,MATCH(C794,Settings!$B$8:$B$19,0)),"?"))</f>
        <v/>
      </c>
      <c r="G794" s="35" t="str">
        <f aca="false">IF(A794="","",DATE(YEAR(A794),MONTH(A794),1))</f>
        <v/>
      </c>
    </row>
    <row r="795" customFormat="false" ht="15" hidden="false" customHeight="false" outlineLevel="0" collapsed="false">
      <c r="A795" s="33"/>
      <c r="B795" s="27"/>
      <c r="C795" s="27"/>
      <c r="D795" s="34"/>
      <c r="E795" s="27"/>
      <c r="F795" s="28" t="str">
        <f aca="false">IF(C795="","",IFERROR(INDEX(Settings!$C$8:$C$19,MATCH(C795,Settings!$B$8:$B$19,0)),"?"))</f>
        <v/>
      </c>
      <c r="G795" s="35" t="str">
        <f aca="false">IF(A795="","",DATE(YEAR(A795),MONTH(A795),1))</f>
        <v/>
      </c>
    </row>
    <row r="796" customFormat="false" ht="15" hidden="false" customHeight="false" outlineLevel="0" collapsed="false">
      <c r="A796" s="33"/>
      <c r="B796" s="27"/>
      <c r="C796" s="27"/>
      <c r="D796" s="34"/>
      <c r="E796" s="27"/>
      <c r="F796" s="28" t="str">
        <f aca="false">IF(C796="","",IFERROR(INDEX(Settings!$C$8:$C$19,MATCH(C796,Settings!$B$8:$B$19,0)),"?"))</f>
        <v/>
      </c>
      <c r="G796" s="35" t="str">
        <f aca="false">IF(A796="","",DATE(YEAR(A796),MONTH(A796),1))</f>
        <v/>
      </c>
    </row>
    <row r="797" customFormat="false" ht="15" hidden="false" customHeight="false" outlineLevel="0" collapsed="false">
      <c r="A797" s="33"/>
      <c r="B797" s="27"/>
      <c r="C797" s="27"/>
      <c r="D797" s="34"/>
      <c r="E797" s="27"/>
      <c r="F797" s="28" t="str">
        <f aca="false">IF(C797="","",IFERROR(INDEX(Settings!$C$8:$C$19,MATCH(C797,Settings!$B$8:$B$19,0)),"?"))</f>
        <v/>
      </c>
      <c r="G797" s="35" t="str">
        <f aca="false">IF(A797="","",DATE(YEAR(A797),MONTH(A797),1))</f>
        <v/>
      </c>
    </row>
    <row r="798" customFormat="false" ht="15" hidden="false" customHeight="false" outlineLevel="0" collapsed="false">
      <c r="A798" s="33"/>
      <c r="B798" s="27"/>
      <c r="C798" s="27"/>
      <c r="D798" s="34"/>
      <c r="E798" s="27"/>
      <c r="F798" s="28" t="str">
        <f aca="false">IF(C798="","",IFERROR(INDEX(Settings!$C$8:$C$19,MATCH(C798,Settings!$B$8:$B$19,0)),"?"))</f>
        <v/>
      </c>
      <c r="G798" s="35" t="str">
        <f aca="false">IF(A798="","",DATE(YEAR(A798),MONTH(A798),1))</f>
        <v/>
      </c>
    </row>
    <row r="799" customFormat="false" ht="15" hidden="false" customHeight="false" outlineLevel="0" collapsed="false">
      <c r="A799" s="33"/>
      <c r="B799" s="27"/>
      <c r="C799" s="27"/>
      <c r="D799" s="34"/>
      <c r="E799" s="27"/>
      <c r="F799" s="28" t="str">
        <f aca="false">IF(C799="","",IFERROR(INDEX(Settings!$C$8:$C$19,MATCH(C799,Settings!$B$8:$B$19,0)),"?"))</f>
        <v/>
      </c>
      <c r="G799" s="35" t="str">
        <f aca="false">IF(A799="","",DATE(YEAR(A799),MONTH(A799),1))</f>
        <v/>
      </c>
    </row>
    <row r="800" customFormat="false" ht="15" hidden="false" customHeight="false" outlineLevel="0" collapsed="false">
      <c r="A800" s="33"/>
      <c r="B800" s="27"/>
      <c r="C800" s="27"/>
      <c r="D800" s="34"/>
      <c r="E800" s="27"/>
      <c r="F800" s="28" t="str">
        <f aca="false">IF(C800="","",IFERROR(INDEX(Settings!$C$8:$C$19,MATCH(C800,Settings!$B$8:$B$19,0)),"?"))</f>
        <v/>
      </c>
      <c r="G800" s="35" t="str">
        <f aca="false">IF(A800="","",DATE(YEAR(A800),MONTH(A800),1))</f>
        <v/>
      </c>
    </row>
    <row r="801" customFormat="false" ht="15" hidden="false" customHeight="false" outlineLevel="0" collapsed="false">
      <c r="A801" s="33"/>
      <c r="B801" s="27"/>
      <c r="C801" s="27"/>
      <c r="D801" s="34"/>
      <c r="E801" s="27"/>
      <c r="F801" s="28" t="str">
        <f aca="false">IF(C801="","",IFERROR(INDEX(Settings!$C$8:$C$19,MATCH(C801,Settings!$B$8:$B$19,0)),"?"))</f>
        <v/>
      </c>
      <c r="G801" s="35" t="str">
        <f aca="false">IF(A801="","",DATE(YEAR(A801),MONTH(A801),1))</f>
        <v/>
      </c>
    </row>
    <row r="802" customFormat="false" ht="15" hidden="false" customHeight="false" outlineLevel="0" collapsed="false">
      <c r="A802" s="33"/>
      <c r="B802" s="27"/>
      <c r="C802" s="27"/>
      <c r="D802" s="34"/>
      <c r="E802" s="27"/>
      <c r="F802" s="28" t="str">
        <f aca="false">IF(C802="","",IFERROR(INDEX(Settings!$C$8:$C$19,MATCH(C802,Settings!$B$8:$B$19,0)),"?"))</f>
        <v/>
      </c>
      <c r="G802" s="35" t="str">
        <f aca="false">IF(A802="","",DATE(YEAR(A802),MONTH(A802),1))</f>
        <v/>
      </c>
    </row>
    <row r="803" customFormat="false" ht="15" hidden="false" customHeight="false" outlineLevel="0" collapsed="false">
      <c r="A803" s="33"/>
      <c r="B803" s="27"/>
      <c r="C803" s="27"/>
      <c r="D803" s="34"/>
      <c r="E803" s="27"/>
      <c r="F803" s="28" t="str">
        <f aca="false">IF(C803="","",IFERROR(INDEX(Settings!$C$8:$C$19,MATCH(C803,Settings!$B$8:$B$19,0)),"?"))</f>
        <v/>
      </c>
      <c r="G803" s="35" t="str">
        <f aca="false">IF(A803="","",DATE(YEAR(A803),MONTH(A803),1))</f>
        <v/>
      </c>
    </row>
    <row r="804" customFormat="false" ht="15" hidden="false" customHeight="false" outlineLevel="0" collapsed="false">
      <c r="A804" s="33"/>
      <c r="B804" s="27"/>
      <c r="C804" s="27"/>
      <c r="D804" s="34"/>
      <c r="E804" s="27"/>
      <c r="F804" s="28" t="str">
        <f aca="false">IF(C804="","",IFERROR(INDEX(Settings!$C$8:$C$19,MATCH(C804,Settings!$B$8:$B$19,0)),"?"))</f>
        <v/>
      </c>
      <c r="G804" s="35" t="str">
        <f aca="false">IF(A804="","",DATE(YEAR(A804),MONTH(A804),1))</f>
        <v/>
      </c>
    </row>
    <row r="805" customFormat="false" ht="15" hidden="false" customHeight="false" outlineLevel="0" collapsed="false">
      <c r="A805" s="33"/>
      <c r="B805" s="27"/>
      <c r="C805" s="27"/>
      <c r="D805" s="34"/>
      <c r="E805" s="27"/>
      <c r="F805" s="28" t="str">
        <f aca="false">IF(C805="","",IFERROR(INDEX(Settings!$C$8:$C$19,MATCH(C805,Settings!$B$8:$B$19,0)),"?"))</f>
        <v/>
      </c>
      <c r="G805" s="35" t="str">
        <f aca="false">IF(A805="","",DATE(YEAR(A805),MONTH(A805),1))</f>
        <v/>
      </c>
    </row>
    <row r="806" customFormat="false" ht="15" hidden="false" customHeight="false" outlineLevel="0" collapsed="false">
      <c r="A806" s="33"/>
      <c r="B806" s="27"/>
      <c r="C806" s="27"/>
      <c r="D806" s="34"/>
      <c r="E806" s="27"/>
      <c r="F806" s="28" t="str">
        <f aca="false">IF(C806="","",IFERROR(INDEX(Settings!$C$8:$C$19,MATCH(C806,Settings!$B$8:$B$19,0)),"?"))</f>
        <v/>
      </c>
      <c r="G806" s="35" t="str">
        <f aca="false">IF(A806="","",DATE(YEAR(A806),MONTH(A806),1))</f>
        <v/>
      </c>
    </row>
    <row r="807" customFormat="false" ht="15" hidden="false" customHeight="false" outlineLevel="0" collapsed="false">
      <c r="A807" s="33"/>
      <c r="B807" s="27"/>
      <c r="C807" s="27"/>
      <c r="D807" s="34"/>
      <c r="E807" s="27"/>
      <c r="F807" s="28" t="str">
        <f aca="false">IF(C807="","",IFERROR(INDEX(Settings!$C$8:$C$19,MATCH(C807,Settings!$B$8:$B$19,0)),"?"))</f>
        <v/>
      </c>
      <c r="G807" s="35" t="str">
        <f aca="false">IF(A807="","",DATE(YEAR(A807),MONTH(A807),1))</f>
        <v/>
      </c>
    </row>
    <row r="808" customFormat="false" ht="15" hidden="false" customHeight="false" outlineLevel="0" collapsed="false">
      <c r="A808" s="33"/>
      <c r="B808" s="27"/>
      <c r="C808" s="27"/>
      <c r="D808" s="34"/>
      <c r="E808" s="27"/>
      <c r="F808" s="28" t="str">
        <f aca="false">IF(C808="","",IFERROR(INDEX(Settings!$C$8:$C$19,MATCH(C808,Settings!$B$8:$B$19,0)),"?"))</f>
        <v/>
      </c>
      <c r="G808" s="35" t="str">
        <f aca="false">IF(A808="","",DATE(YEAR(A808),MONTH(A808),1))</f>
        <v/>
      </c>
    </row>
    <row r="809" customFormat="false" ht="15" hidden="false" customHeight="false" outlineLevel="0" collapsed="false">
      <c r="A809" s="33"/>
      <c r="B809" s="27"/>
      <c r="C809" s="27"/>
      <c r="D809" s="34"/>
      <c r="E809" s="27"/>
      <c r="F809" s="28" t="str">
        <f aca="false">IF(C809="","",IFERROR(INDEX(Settings!$C$8:$C$19,MATCH(C809,Settings!$B$8:$B$19,0)),"?"))</f>
        <v/>
      </c>
      <c r="G809" s="35" t="str">
        <f aca="false">IF(A809="","",DATE(YEAR(A809),MONTH(A809),1))</f>
        <v/>
      </c>
    </row>
    <row r="810" customFormat="false" ht="15" hidden="false" customHeight="false" outlineLevel="0" collapsed="false">
      <c r="A810" s="33"/>
      <c r="B810" s="27"/>
      <c r="C810" s="27"/>
      <c r="D810" s="34"/>
      <c r="E810" s="27"/>
      <c r="F810" s="28" t="str">
        <f aca="false">IF(C810="","",IFERROR(INDEX(Settings!$C$8:$C$19,MATCH(C810,Settings!$B$8:$B$19,0)),"?"))</f>
        <v/>
      </c>
      <c r="G810" s="35" t="str">
        <f aca="false">IF(A810="","",DATE(YEAR(A810),MONTH(A810),1))</f>
        <v/>
      </c>
    </row>
    <row r="811" customFormat="false" ht="15" hidden="false" customHeight="false" outlineLevel="0" collapsed="false">
      <c r="A811" s="33"/>
      <c r="B811" s="27"/>
      <c r="C811" s="27"/>
      <c r="D811" s="34"/>
      <c r="E811" s="27"/>
      <c r="F811" s="28" t="str">
        <f aca="false">IF(C811="","",IFERROR(INDEX(Settings!$C$8:$C$19,MATCH(C811,Settings!$B$8:$B$19,0)),"?"))</f>
        <v/>
      </c>
      <c r="G811" s="35" t="str">
        <f aca="false">IF(A811="","",DATE(YEAR(A811),MONTH(A811),1))</f>
        <v/>
      </c>
    </row>
    <row r="812" customFormat="false" ht="15" hidden="false" customHeight="false" outlineLevel="0" collapsed="false">
      <c r="A812" s="33"/>
      <c r="B812" s="27"/>
      <c r="C812" s="27"/>
      <c r="D812" s="34"/>
      <c r="E812" s="27"/>
      <c r="F812" s="28" t="str">
        <f aca="false">IF(C812="","",IFERROR(INDEX(Settings!$C$8:$C$19,MATCH(C812,Settings!$B$8:$B$19,0)),"?"))</f>
        <v/>
      </c>
      <c r="G812" s="35" t="str">
        <f aca="false">IF(A812="","",DATE(YEAR(A812),MONTH(A812),1))</f>
        <v/>
      </c>
    </row>
    <row r="813" customFormat="false" ht="15" hidden="false" customHeight="false" outlineLevel="0" collapsed="false">
      <c r="A813" s="33"/>
      <c r="B813" s="27"/>
      <c r="C813" s="27"/>
      <c r="D813" s="34"/>
      <c r="E813" s="27"/>
      <c r="F813" s="28" t="str">
        <f aca="false">IF(C813="","",IFERROR(INDEX(Settings!$C$8:$C$19,MATCH(C813,Settings!$B$8:$B$19,0)),"?"))</f>
        <v/>
      </c>
      <c r="G813" s="35" t="str">
        <f aca="false">IF(A813="","",DATE(YEAR(A813),MONTH(A813),1))</f>
        <v/>
      </c>
    </row>
    <row r="814" customFormat="false" ht="15" hidden="false" customHeight="false" outlineLevel="0" collapsed="false">
      <c r="A814" s="33"/>
      <c r="B814" s="27"/>
      <c r="C814" s="27"/>
      <c r="D814" s="34"/>
      <c r="E814" s="27"/>
      <c r="F814" s="28" t="str">
        <f aca="false">IF(C814="","",IFERROR(INDEX(Settings!$C$8:$C$19,MATCH(C814,Settings!$B$8:$B$19,0)),"?"))</f>
        <v/>
      </c>
      <c r="G814" s="35" t="str">
        <f aca="false">IF(A814="","",DATE(YEAR(A814),MONTH(A814),1))</f>
        <v/>
      </c>
    </row>
    <row r="815" customFormat="false" ht="15" hidden="false" customHeight="false" outlineLevel="0" collapsed="false">
      <c r="A815" s="33"/>
      <c r="B815" s="27"/>
      <c r="C815" s="27"/>
      <c r="D815" s="34"/>
      <c r="E815" s="27"/>
      <c r="F815" s="28" t="str">
        <f aca="false">IF(C815="","",IFERROR(INDEX(Settings!$C$8:$C$19,MATCH(C815,Settings!$B$8:$B$19,0)),"?"))</f>
        <v/>
      </c>
      <c r="G815" s="35" t="str">
        <f aca="false">IF(A815="","",DATE(YEAR(A815),MONTH(A815),1))</f>
        <v/>
      </c>
    </row>
    <row r="816" customFormat="false" ht="15" hidden="false" customHeight="false" outlineLevel="0" collapsed="false">
      <c r="A816" s="33"/>
      <c r="B816" s="27"/>
      <c r="C816" s="27"/>
      <c r="D816" s="34"/>
      <c r="E816" s="27"/>
      <c r="F816" s="28" t="str">
        <f aca="false">IF(C816="","",IFERROR(INDEX(Settings!$C$8:$C$19,MATCH(C816,Settings!$B$8:$B$19,0)),"?"))</f>
        <v/>
      </c>
      <c r="G816" s="35" t="str">
        <f aca="false">IF(A816="","",DATE(YEAR(A816),MONTH(A816),1))</f>
        <v/>
      </c>
    </row>
    <row r="817" customFormat="false" ht="15" hidden="false" customHeight="false" outlineLevel="0" collapsed="false">
      <c r="A817" s="33"/>
      <c r="B817" s="27"/>
      <c r="C817" s="27"/>
      <c r="D817" s="34"/>
      <c r="E817" s="27"/>
      <c r="F817" s="28" t="str">
        <f aca="false">IF(C817="","",IFERROR(INDEX(Settings!$C$8:$C$19,MATCH(C817,Settings!$B$8:$B$19,0)),"?"))</f>
        <v/>
      </c>
      <c r="G817" s="35" t="str">
        <f aca="false">IF(A817="","",DATE(YEAR(A817),MONTH(A817),1))</f>
        <v/>
      </c>
    </row>
    <row r="818" customFormat="false" ht="15" hidden="false" customHeight="false" outlineLevel="0" collapsed="false">
      <c r="A818" s="33"/>
      <c r="B818" s="27"/>
      <c r="C818" s="27"/>
      <c r="D818" s="34"/>
      <c r="E818" s="27"/>
      <c r="F818" s="28" t="str">
        <f aca="false">IF(C818="","",IFERROR(INDEX(Settings!$C$8:$C$19,MATCH(C818,Settings!$B$8:$B$19,0)),"?"))</f>
        <v/>
      </c>
      <c r="G818" s="35" t="str">
        <f aca="false">IF(A818="","",DATE(YEAR(A818),MONTH(A818),1))</f>
        <v/>
      </c>
    </row>
    <row r="819" customFormat="false" ht="15" hidden="false" customHeight="false" outlineLevel="0" collapsed="false">
      <c r="A819" s="33"/>
      <c r="B819" s="27"/>
      <c r="C819" s="27"/>
      <c r="D819" s="34"/>
      <c r="E819" s="27"/>
      <c r="F819" s="28" t="str">
        <f aca="false">IF(C819="","",IFERROR(INDEX(Settings!$C$8:$C$19,MATCH(C819,Settings!$B$8:$B$19,0)),"?"))</f>
        <v/>
      </c>
      <c r="G819" s="35" t="str">
        <f aca="false">IF(A819="","",DATE(YEAR(A819),MONTH(A819),1))</f>
        <v/>
      </c>
    </row>
    <row r="820" customFormat="false" ht="15" hidden="false" customHeight="false" outlineLevel="0" collapsed="false">
      <c r="A820" s="33"/>
      <c r="B820" s="27"/>
      <c r="C820" s="27"/>
      <c r="D820" s="34"/>
      <c r="E820" s="27"/>
      <c r="F820" s="28" t="str">
        <f aca="false">IF(C820="","",IFERROR(INDEX(Settings!$C$8:$C$19,MATCH(C820,Settings!$B$8:$B$19,0)),"?"))</f>
        <v/>
      </c>
      <c r="G820" s="35" t="str">
        <f aca="false">IF(A820="","",DATE(YEAR(A820),MONTH(A820),1))</f>
        <v/>
      </c>
    </row>
    <row r="821" customFormat="false" ht="15" hidden="false" customHeight="false" outlineLevel="0" collapsed="false">
      <c r="A821" s="33"/>
      <c r="B821" s="27"/>
      <c r="C821" s="27"/>
      <c r="D821" s="34"/>
      <c r="E821" s="27"/>
      <c r="F821" s="28" t="str">
        <f aca="false">IF(C821="","",IFERROR(INDEX(Settings!$C$8:$C$19,MATCH(C821,Settings!$B$8:$B$19,0)),"?"))</f>
        <v/>
      </c>
      <c r="G821" s="35" t="str">
        <f aca="false">IF(A821="","",DATE(YEAR(A821),MONTH(A821),1))</f>
        <v/>
      </c>
    </row>
    <row r="822" customFormat="false" ht="15" hidden="false" customHeight="false" outlineLevel="0" collapsed="false">
      <c r="A822" s="33"/>
      <c r="B822" s="27"/>
      <c r="C822" s="27"/>
      <c r="D822" s="34"/>
      <c r="E822" s="27"/>
      <c r="F822" s="28" t="str">
        <f aca="false">IF(C822="","",IFERROR(INDEX(Settings!$C$8:$C$19,MATCH(C822,Settings!$B$8:$B$19,0)),"?"))</f>
        <v/>
      </c>
      <c r="G822" s="35" t="str">
        <f aca="false">IF(A822="","",DATE(YEAR(A822),MONTH(A822),1))</f>
        <v/>
      </c>
    </row>
    <row r="823" customFormat="false" ht="15" hidden="false" customHeight="false" outlineLevel="0" collapsed="false">
      <c r="A823" s="33"/>
      <c r="B823" s="27"/>
      <c r="C823" s="27"/>
      <c r="D823" s="34"/>
      <c r="E823" s="27"/>
      <c r="F823" s="28" t="str">
        <f aca="false">IF(C823="","",IFERROR(INDEX(Settings!$C$8:$C$19,MATCH(C823,Settings!$B$8:$B$19,0)),"?"))</f>
        <v/>
      </c>
      <c r="G823" s="35" t="str">
        <f aca="false">IF(A823="","",DATE(YEAR(A823),MONTH(A823),1))</f>
        <v/>
      </c>
    </row>
    <row r="824" customFormat="false" ht="15" hidden="false" customHeight="false" outlineLevel="0" collapsed="false">
      <c r="A824" s="33"/>
      <c r="B824" s="27"/>
      <c r="C824" s="27"/>
      <c r="D824" s="34"/>
      <c r="E824" s="27"/>
      <c r="F824" s="28" t="str">
        <f aca="false">IF(C824="","",IFERROR(INDEX(Settings!$C$8:$C$19,MATCH(C824,Settings!$B$8:$B$19,0)),"?"))</f>
        <v/>
      </c>
      <c r="G824" s="35" t="str">
        <f aca="false">IF(A824="","",DATE(YEAR(A824),MONTH(A824),1))</f>
        <v/>
      </c>
    </row>
    <row r="825" customFormat="false" ht="15" hidden="false" customHeight="false" outlineLevel="0" collapsed="false">
      <c r="A825" s="33"/>
      <c r="B825" s="27"/>
      <c r="C825" s="27"/>
      <c r="D825" s="34"/>
      <c r="E825" s="27"/>
      <c r="F825" s="28" t="str">
        <f aca="false">IF(C825="","",IFERROR(INDEX(Settings!$C$8:$C$19,MATCH(C825,Settings!$B$8:$B$19,0)),"?"))</f>
        <v/>
      </c>
      <c r="G825" s="35" t="str">
        <f aca="false">IF(A825="","",DATE(YEAR(A825),MONTH(A825),1))</f>
        <v/>
      </c>
    </row>
    <row r="826" customFormat="false" ht="15" hidden="false" customHeight="false" outlineLevel="0" collapsed="false">
      <c r="A826" s="33"/>
      <c r="B826" s="27"/>
      <c r="C826" s="27"/>
      <c r="D826" s="34"/>
      <c r="E826" s="27"/>
      <c r="F826" s="28" t="str">
        <f aca="false">IF(C826="","",IFERROR(INDEX(Settings!$C$8:$C$19,MATCH(C826,Settings!$B$8:$B$19,0)),"?"))</f>
        <v/>
      </c>
      <c r="G826" s="35" t="str">
        <f aca="false">IF(A826="","",DATE(YEAR(A826),MONTH(A826),1))</f>
        <v/>
      </c>
    </row>
    <row r="827" customFormat="false" ht="15" hidden="false" customHeight="false" outlineLevel="0" collapsed="false">
      <c r="A827" s="33"/>
      <c r="B827" s="27"/>
      <c r="C827" s="27"/>
      <c r="D827" s="34"/>
      <c r="E827" s="27"/>
      <c r="F827" s="28" t="str">
        <f aca="false">IF(C827="","",IFERROR(INDEX(Settings!$C$8:$C$19,MATCH(C827,Settings!$B$8:$B$19,0)),"?"))</f>
        <v/>
      </c>
      <c r="G827" s="35" t="str">
        <f aca="false">IF(A827="","",DATE(YEAR(A827),MONTH(A827),1))</f>
        <v/>
      </c>
    </row>
    <row r="828" customFormat="false" ht="15" hidden="false" customHeight="false" outlineLevel="0" collapsed="false">
      <c r="A828" s="33"/>
      <c r="B828" s="27"/>
      <c r="C828" s="27"/>
      <c r="D828" s="34"/>
      <c r="E828" s="27"/>
      <c r="F828" s="28" t="str">
        <f aca="false">IF(C828="","",IFERROR(INDEX(Settings!$C$8:$C$19,MATCH(C828,Settings!$B$8:$B$19,0)),"?"))</f>
        <v/>
      </c>
      <c r="G828" s="35" t="str">
        <f aca="false">IF(A828="","",DATE(YEAR(A828),MONTH(A828),1))</f>
        <v/>
      </c>
    </row>
    <row r="829" customFormat="false" ht="15" hidden="false" customHeight="false" outlineLevel="0" collapsed="false">
      <c r="A829" s="33"/>
      <c r="B829" s="27"/>
      <c r="C829" s="27"/>
      <c r="D829" s="34"/>
      <c r="E829" s="27"/>
      <c r="F829" s="28" t="str">
        <f aca="false">IF(C829="","",IFERROR(INDEX(Settings!$C$8:$C$19,MATCH(C829,Settings!$B$8:$B$19,0)),"?"))</f>
        <v/>
      </c>
      <c r="G829" s="35" t="str">
        <f aca="false">IF(A829="","",DATE(YEAR(A829),MONTH(A829),1))</f>
        <v/>
      </c>
    </row>
    <row r="830" customFormat="false" ht="15" hidden="false" customHeight="false" outlineLevel="0" collapsed="false">
      <c r="A830" s="33"/>
      <c r="B830" s="27"/>
      <c r="C830" s="27"/>
      <c r="D830" s="34"/>
      <c r="E830" s="27"/>
      <c r="F830" s="28" t="str">
        <f aca="false">IF(C830="","",IFERROR(INDEX(Settings!$C$8:$C$19,MATCH(C830,Settings!$B$8:$B$19,0)),"?"))</f>
        <v/>
      </c>
      <c r="G830" s="35" t="str">
        <f aca="false">IF(A830="","",DATE(YEAR(A830),MONTH(A830),1))</f>
        <v/>
      </c>
    </row>
    <row r="831" customFormat="false" ht="15" hidden="false" customHeight="false" outlineLevel="0" collapsed="false">
      <c r="A831" s="33"/>
      <c r="B831" s="27"/>
      <c r="C831" s="27"/>
      <c r="D831" s="34"/>
      <c r="E831" s="27"/>
      <c r="F831" s="28" t="str">
        <f aca="false">IF(C831="","",IFERROR(INDEX(Settings!$C$8:$C$19,MATCH(C831,Settings!$B$8:$B$19,0)),"?"))</f>
        <v/>
      </c>
      <c r="G831" s="35" t="str">
        <f aca="false">IF(A831="","",DATE(YEAR(A831),MONTH(A831),1))</f>
        <v/>
      </c>
    </row>
    <row r="832" customFormat="false" ht="15" hidden="false" customHeight="false" outlineLevel="0" collapsed="false">
      <c r="A832" s="33"/>
      <c r="B832" s="27"/>
      <c r="C832" s="27"/>
      <c r="D832" s="34"/>
      <c r="E832" s="27"/>
      <c r="F832" s="28" t="str">
        <f aca="false">IF(C832="","",IFERROR(INDEX(Settings!$C$8:$C$19,MATCH(C832,Settings!$B$8:$B$19,0)),"?"))</f>
        <v/>
      </c>
      <c r="G832" s="35" t="str">
        <f aca="false">IF(A832="","",DATE(YEAR(A832),MONTH(A832),1))</f>
        <v/>
      </c>
    </row>
    <row r="833" customFormat="false" ht="15" hidden="false" customHeight="false" outlineLevel="0" collapsed="false">
      <c r="A833" s="33"/>
      <c r="B833" s="27"/>
      <c r="C833" s="27"/>
      <c r="D833" s="34"/>
      <c r="E833" s="27"/>
      <c r="F833" s="28" t="str">
        <f aca="false">IF(C833="","",IFERROR(INDEX(Settings!$C$8:$C$19,MATCH(C833,Settings!$B$8:$B$19,0)),"?"))</f>
        <v/>
      </c>
      <c r="G833" s="35" t="str">
        <f aca="false">IF(A833="","",DATE(YEAR(A833),MONTH(A833),1))</f>
        <v/>
      </c>
    </row>
    <row r="834" customFormat="false" ht="15" hidden="false" customHeight="false" outlineLevel="0" collapsed="false">
      <c r="A834" s="33"/>
      <c r="B834" s="27"/>
      <c r="C834" s="27"/>
      <c r="D834" s="34"/>
      <c r="E834" s="27"/>
      <c r="F834" s="28" t="str">
        <f aca="false">IF(C834="","",IFERROR(INDEX(Settings!$C$8:$C$19,MATCH(C834,Settings!$B$8:$B$19,0)),"?"))</f>
        <v/>
      </c>
      <c r="G834" s="35" t="str">
        <f aca="false">IF(A834="","",DATE(YEAR(A834),MONTH(A834),1))</f>
        <v/>
      </c>
    </row>
    <row r="835" customFormat="false" ht="15" hidden="false" customHeight="false" outlineLevel="0" collapsed="false">
      <c r="A835" s="33"/>
      <c r="B835" s="27"/>
      <c r="C835" s="27"/>
      <c r="D835" s="34"/>
      <c r="E835" s="27"/>
      <c r="F835" s="28" t="str">
        <f aca="false">IF(C835="","",IFERROR(INDEX(Settings!$C$8:$C$19,MATCH(C835,Settings!$B$8:$B$19,0)),"?"))</f>
        <v/>
      </c>
      <c r="G835" s="35" t="str">
        <f aca="false">IF(A835="","",DATE(YEAR(A835),MONTH(A835),1))</f>
        <v/>
      </c>
    </row>
    <row r="836" customFormat="false" ht="15" hidden="false" customHeight="false" outlineLevel="0" collapsed="false">
      <c r="A836" s="33"/>
      <c r="B836" s="27"/>
      <c r="C836" s="27"/>
      <c r="D836" s="34"/>
      <c r="E836" s="27"/>
      <c r="F836" s="28" t="str">
        <f aca="false">IF(C836="","",IFERROR(INDEX(Settings!$C$8:$C$19,MATCH(C836,Settings!$B$8:$B$19,0)),"?"))</f>
        <v/>
      </c>
      <c r="G836" s="35" t="str">
        <f aca="false">IF(A836="","",DATE(YEAR(A836),MONTH(A836),1))</f>
        <v/>
      </c>
    </row>
    <row r="837" customFormat="false" ht="15" hidden="false" customHeight="false" outlineLevel="0" collapsed="false">
      <c r="A837" s="33"/>
      <c r="B837" s="27"/>
      <c r="C837" s="27"/>
      <c r="D837" s="34"/>
      <c r="E837" s="27"/>
      <c r="F837" s="28" t="str">
        <f aca="false">IF(C837="","",IFERROR(INDEX(Settings!$C$8:$C$19,MATCH(C837,Settings!$B$8:$B$19,0)),"?"))</f>
        <v/>
      </c>
      <c r="G837" s="35" t="str">
        <f aca="false">IF(A837="","",DATE(YEAR(A837),MONTH(A837),1))</f>
        <v/>
      </c>
    </row>
    <row r="838" customFormat="false" ht="15" hidden="false" customHeight="false" outlineLevel="0" collapsed="false">
      <c r="A838" s="33"/>
      <c r="B838" s="27"/>
      <c r="C838" s="27"/>
      <c r="D838" s="34"/>
      <c r="E838" s="27"/>
      <c r="F838" s="28" t="str">
        <f aca="false">IF(C838="","",IFERROR(INDEX(Settings!$C$8:$C$19,MATCH(C838,Settings!$B$8:$B$19,0)),"?"))</f>
        <v/>
      </c>
      <c r="G838" s="35" t="str">
        <f aca="false">IF(A838="","",DATE(YEAR(A838),MONTH(A838),1))</f>
        <v/>
      </c>
    </row>
    <row r="839" customFormat="false" ht="15" hidden="false" customHeight="false" outlineLevel="0" collapsed="false">
      <c r="A839" s="33"/>
      <c r="B839" s="27"/>
      <c r="C839" s="27"/>
      <c r="D839" s="34"/>
      <c r="E839" s="27"/>
      <c r="F839" s="28" t="str">
        <f aca="false">IF(C839="","",IFERROR(INDEX(Settings!$C$8:$C$19,MATCH(C839,Settings!$B$8:$B$19,0)),"?"))</f>
        <v/>
      </c>
      <c r="G839" s="35" t="str">
        <f aca="false">IF(A839="","",DATE(YEAR(A839),MONTH(A839),1))</f>
        <v/>
      </c>
    </row>
    <row r="840" customFormat="false" ht="15" hidden="false" customHeight="false" outlineLevel="0" collapsed="false">
      <c r="A840" s="33"/>
      <c r="B840" s="27"/>
      <c r="C840" s="27"/>
      <c r="D840" s="34"/>
      <c r="E840" s="27"/>
      <c r="F840" s="28" t="str">
        <f aca="false">IF(C840="","",IFERROR(INDEX(Settings!$C$8:$C$19,MATCH(C840,Settings!$B$8:$B$19,0)),"?"))</f>
        <v/>
      </c>
      <c r="G840" s="35" t="str">
        <f aca="false">IF(A840="","",DATE(YEAR(A840),MONTH(A840),1))</f>
        <v/>
      </c>
    </row>
    <row r="841" customFormat="false" ht="15" hidden="false" customHeight="false" outlineLevel="0" collapsed="false">
      <c r="A841" s="33"/>
      <c r="B841" s="27"/>
      <c r="C841" s="27"/>
      <c r="D841" s="34"/>
      <c r="E841" s="27"/>
      <c r="F841" s="28" t="str">
        <f aca="false">IF(C841="","",IFERROR(INDEX(Settings!$C$8:$C$19,MATCH(C841,Settings!$B$8:$B$19,0)),"?"))</f>
        <v/>
      </c>
      <c r="G841" s="35" t="str">
        <f aca="false">IF(A841="","",DATE(YEAR(A841),MONTH(A841),1))</f>
        <v/>
      </c>
    </row>
    <row r="842" customFormat="false" ht="15" hidden="false" customHeight="false" outlineLevel="0" collapsed="false">
      <c r="A842" s="33"/>
      <c r="B842" s="27"/>
      <c r="C842" s="27"/>
      <c r="D842" s="34"/>
      <c r="E842" s="27"/>
      <c r="F842" s="28" t="str">
        <f aca="false">IF(C842="","",IFERROR(INDEX(Settings!$C$8:$C$19,MATCH(C842,Settings!$B$8:$B$19,0)),"?"))</f>
        <v/>
      </c>
      <c r="G842" s="35" t="str">
        <f aca="false">IF(A842="","",DATE(YEAR(A842),MONTH(A842),1))</f>
        <v/>
      </c>
    </row>
    <row r="843" customFormat="false" ht="15" hidden="false" customHeight="false" outlineLevel="0" collapsed="false">
      <c r="A843" s="33"/>
      <c r="B843" s="27"/>
      <c r="C843" s="27"/>
      <c r="D843" s="34"/>
      <c r="E843" s="27"/>
      <c r="F843" s="28" t="str">
        <f aca="false">IF(C843="","",IFERROR(INDEX(Settings!$C$8:$C$19,MATCH(C843,Settings!$B$8:$B$19,0)),"?"))</f>
        <v/>
      </c>
      <c r="G843" s="35" t="str">
        <f aca="false">IF(A843="","",DATE(YEAR(A843),MONTH(A843),1))</f>
        <v/>
      </c>
    </row>
    <row r="844" customFormat="false" ht="15" hidden="false" customHeight="false" outlineLevel="0" collapsed="false">
      <c r="A844" s="33"/>
      <c r="B844" s="27"/>
      <c r="C844" s="27"/>
      <c r="D844" s="34"/>
      <c r="E844" s="27"/>
      <c r="F844" s="28" t="str">
        <f aca="false">IF(C844="","",IFERROR(INDEX(Settings!$C$8:$C$19,MATCH(C844,Settings!$B$8:$B$19,0)),"?"))</f>
        <v/>
      </c>
      <c r="G844" s="35" t="str">
        <f aca="false">IF(A844="","",DATE(YEAR(A844),MONTH(A844),1))</f>
        <v/>
      </c>
    </row>
    <row r="845" customFormat="false" ht="15" hidden="false" customHeight="false" outlineLevel="0" collapsed="false">
      <c r="A845" s="33"/>
      <c r="B845" s="27"/>
      <c r="C845" s="27"/>
      <c r="D845" s="34"/>
      <c r="E845" s="27"/>
      <c r="F845" s="28" t="str">
        <f aca="false">IF(C845="","",IFERROR(INDEX(Settings!$C$8:$C$19,MATCH(C845,Settings!$B$8:$B$19,0)),"?"))</f>
        <v/>
      </c>
      <c r="G845" s="35" t="str">
        <f aca="false">IF(A845="","",DATE(YEAR(A845),MONTH(A845),1))</f>
        <v/>
      </c>
    </row>
    <row r="846" customFormat="false" ht="15" hidden="false" customHeight="false" outlineLevel="0" collapsed="false">
      <c r="A846" s="33"/>
      <c r="B846" s="27"/>
      <c r="C846" s="27"/>
      <c r="D846" s="34"/>
      <c r="E846" s="27"/>
      <c r="F846" s="28" t="str">
        <f aca="false">IF(C846="","",IFERROR(INDEX(Settings!$C$8:$C$19,MATCH(C846,Settings!$B$8:$B$19,0)),"?"))</f>
        <v/>
      </c>
      <c r="G846" s="35" t="str">
        <f aca="false">IF(A846="","",DATE(YEAR(A846),MONTH(A846),1))</f>
        <v/>
      </c>
    </row>
    <row r="847" customFormat="false" ht="15" hidden="false" customHeight="false" outlineLevel="0" collapsed="false">
      <c r="A847" s="33"/>
      <c r="B847" s="27"/>
      <c r="C847" s="27"/>
      <c r="D847" s="34"/>
      <c r="E847" s="27"/>
      <c r="F847" s="28" t="str">
        <f aca="false">IF(C847="","",IFERROR(INDEX(Settings!$C$8:$C$19,MATCH(C847,Settings!$B$8:$B$19,0)),"?"))</f>
        <v/>
      </c>
      <c r="G847" s="35" t="str">
        <f aca="false">IF(A847="","",DATE(YEAR(A847),MONTH(A847),1))</f>
        <v/>
      </c>
    </row>
    <row r="848" customFormat="false" ht="15" hidden="false" customHeight="false" outlineLevel="0" collapsed="false">
      <c r="A848" s="33"/>
      <c r="B848" s="27"/>
      <c r="C848" s="27"/>
      <c r="D848" s="34"/>
      <c r="E848" s="27"/>
      <c r="F848" s="28" t="str">
        <f aca="false">IF(C848="","",IFERROR(INDEX(Settings!$C$8:$C$19,MATCH(C848,Settings!$B$8:$B$19,0)),"?"))</f>
        <v/>
      </c>
      <c r="G848" s="35" t="str">
        <f aca="false">IF(A848="","",DATE(YEAR(A848),MONTH(A848),1))</f>
        <v/>
      </c>
    </row>
    <row r="849" customFormat="false" ht="15" hidden="false" customHeight="false" outlineLevel="0" collapsed="false">
      <c r="A849" s="33"/>
      <c r="B849" s="27"/>
      <c r="C849" s="27"/>
      <c r="D849" s="34"/>
      <c r="E849" s="27"/>
      <c r="F849" s="28" t="str">
        <f aca="false">IF(C849="","",IFERROR(INDEX(Settings!$C$8:$C$19,MATCH(C849,Settings!$B$8:$B$19,0)),"?"))</f>
        <v/>
      </c>
      <c r="G849" s="35" t="str">
        <f aca="false">IF(A849="","",DATE(YEAR(A849),MONTH(A849),1))</f>
        <v/>
      </c>
    </row>
    <row r="850" customFormat="false" ht="15" hidden="false" customHeight="false" outlineLevel="0" collapsed="false">
      <c r="A850" s="33"/>
      <c r="B850" s="27"/>
      <c r="C850" s="27"/>
      <c r="D850" s="34"/>
      <c r="E850" s="27"/>
      <c r="F850" s="28" t="str">
        <f aca="false">IF(C850="","",IFERROR(INDEX(Settings!$C$8:$C$19,MATCH(C850,Settings!$B$8:$B$19,0)),"?"))</f>
        <v/>
      </c>
      <c r="G850" s="35" t="str">
        <f aca="false">IF(A850="","",DATE(YEAR(A850),MONTH(A850),1))</f>
        <v/>
      </c>
    </row>
    <row r="851" customFormat="false" ht="15" hidden="false" customHeight="false" outlineLevel="0" collapsed="false">
      <c r="A851" s="33"/>
      <c r="B851" s="27"/>
      <c r="C851" s="27"/>
      <c r="D851" s="34"/>
      <c r="E851" s="27"/>
      <c r="F851" s="28" t="str">
        <f aca="false">IF(C851="","",IFERROR(INDEX(Settings!$C$8:$C$19,MATCH(C851,Settings!$B$8:$B$19,0)),"?"))</f>
        <v/>
      </c>
      <c r="G851" s="35" t="str">
        <f aca="false">IF(A851="","",DATE(YEAR(A851),MONTH(A851),1))</f>
        <v/>
      </c>
    </row>
    <row r="852" customFormat="false" ht="15" hidden="false" customHeight="false" outlineLevel="0" collapsed="false">
      <c r="A852" s="33"/>
      <c r="B852" s="27"/>
      <c r="C852" s="27"/>
      <c r="D852" s="34"/>
      <c r="E852" s="27"/>
      <c r="F852" s="28" t="str">
        <f aca="false">IF(C852="","",IFERROR(INDEX(Settings!$C$8:$C$19,MATCH(C852,Settings!$B$8:$B$19,0)),"?"))</f>
        <v/>
      </c>
      <c r="G852" s="35" t="str">
        <f aca="false">IF(A852="","",DATE(YEAR(A852),MONTH(A852),1))</f>
        <v/>
      </c>
    </row>
    <row r="853" customFormat="false" ht="15" hidden="false" customHeight="false" outlineLevel="0" collapsed="false">
      <c r="A853" s="33"/>
      <c r="B853" s="27"/>
      <c r="C853" s="27"/>
      <c r="D853" s="34"/>
      <c r="E853" s="27"/>
      <c r="F853" s="28" t="str">
        <f aca="false">IF(C853="","",IFERROR(INDEX(Settings!$C$8:$C$19,MATCH(C853,Settings!$B$8:$B$19,0)),"?"))</f>
        <v/>
      </c>
      <c r="G853" s="35" t="str">
        <f aca="false">IF(A853="","",DATE(YEAR(A853),MONTH(A853),1))</f>
        <v/>
      </c>
    </row>
    <row r="854" customFormat="false" ht="15" hidden="false" customHeight="false" outlineLevel="0" collapsed="false">
      <c r="A854" s="33"/>
      <c r="B854" s="27"/>
      <c r="C854" s="27"/>
      <c r="D854" s="34"/>
      <c r="E854" s="27"/>
      <c r="F854" s="28" t="str">
        <f aca="false">IF(C854="","",IFERROR(INDEX(Settings!$C$8:$C$19,MATCH(C854,Settings!$B$8:$B$19,0)),"?"))</f>
        <v/>
      </c>
      <c r="G854" s="35" t="str">
        <f aca="false">IF(A854="","",DATE(YEAR(A854),MONTH(A854),1))</f>
        <v/>
      </c>
    </row>
    <row r="855" customFormat="false" ht="15" hidden="false" customHeight="false" outlineLevel="0" collapsed="false">
      <c r="A855" s="33"/>
      <c r="B855" s="27"/>
      <c r="C855" s="27"/>
      <c r="D855" s="34"/>
      <c r="E855" s="27"/>
      <c r="F855" s="28" t="str">
        <f aca="false">IF(C855="","",IFERROR(INDEX(Settings!$C$8:$C$19,MATCH(C855,Settings!$B$8:$B$19,0)),"?"))</f>
        <v/>
      </c>
      <c r="G855" s="35" t="str">
        <f aca="false">IF(A855="","",DATE(YEAR(A855),MONTH(A855),1))</f>
        <v/>
      </c>
    </row>
    <row r="856" customFormat="false" ht="15" hidden="false" customHeight="false" outlineLevel="0" collapsed="false">
      <c r="A856" s="33"/>
      <c r="B856" s="27"/>
      <c r="C856" s="27"/>
      <c r="D856" s="34"/>
      <c r="E856" s="27"/>
      <c r="F856" s="28" t="str">
        <f aca="false">IF(C856="","",IFERROR(INDEX(Settings!$C$8:$C$19,MATCH(C856,Settings!$B$8:$B$19,0)),"?"))</f>
        <v/>
      </c>
      <c r="G856" s="35" t="str">
        <f aca="false">IF(A856="","",DATE(YEAR(A856),MONTH(A856),1))</f>
        <v/>
      </c>
    </row>
    <row r="857" customFormat="false" ht="15" hidden="false" customHeight="false" outlineLevel="0" collapsed="false">
      <c r="A857" s="33"/>
      <c r="B857" s="27"/>
      <c r="C857" s="27"/>
      <c r="D857" s="34"/>
      <c r="E857" s="27"/>
      <c r="F857" s="28" t="str">
        <f aca="false">IF(C857="","",IFERROR(INDEX(Settings!$C$8:$C$19,MATCH(C857,Settings!$B$8:$B$19,0)),"?"))</f>
        <v/>
      </c>
      <c r="G857" s="35" t="str">
        <f aca="false">IF(A857="","",DATE(YEAR(A857),MONTH(A857),1))</f>
        <v/>
      </c>
    </row>
    <row r="858" customFormat="false" ht="15" hidden="false" customHeight="false" outlineLevel="0" collapsed="false">
      <c r="A858" s="33"/>
      <c r="B858" s="27"/>
      <c r="C858" s="27"/>
      <c r="D858" s="34"/>
      <c r="E858" s="27"/>
      <c r="F858" s="28" t="str">
        <f aca="false">IF(C858="","",IFERROR(INDEX(Settings!$C$8:$C$19,MATCH(C858,Settings!$B$8:$B$19,0)),"?"))</f>
        <v/>
      </c>
      <c r="G858" s="35" t="str">
        <f aca="false">IF(A858="","",DATE(YEAR(A858),MONTH(A858),1))</f>
        <v/>
      </c>
    </row>
    <row r="859" customFormat="false" ht="15" hidden="false" customHeight="false" outlineLevel="0" collapsed="false">
      <c r="A859" s="33"/>
      <c r="B859" s="27"/>
      <c r="C859" s="27"/>
      <c r="D859" s="34"/>
      <c r="E859" s="27"/>
      <c r="F859" s="28" t="str">
        <f aca="false">IF(C859="","",IFERROR(INDEX(Settings!$C$8:$C$19,MATCH(C859,Settings!$B$8:$B$19,0)),"?"))</f>
        <v/>
      </c>
      <c r="G859" s="35" t="str">
        <f aca="false">IF(A859="","",DATE(YEAR(A859),MONTH(A859),1))</f>
        <v/>
      </c>
    </row>
    <row r="860" customFormat="false" ht="15" hidden="false" customHeight="false" outlineLevel="0" collapsed="false">
      <c r="A860" s="33"/>
      <c r="B860" s="27"/>
      <c r="C860" s="27"/>
      <c r="D860" s="34"/>
      <c r="E860" s="27"/>
      <c r="F860" s="28" t="str">
        <f aca="false">IF(C860="","",IFERROR(INDEX(Settings!$C$8:$C$19,MATCH(C860,Settings!$B$8:$B$19,0)),"?"))</f>
        <v/>
      </c>
      <c r="G860" s="35" t="str">
        <f aca="false">IF(A860="","",DATE(YEAR(A860),MONTH(A860),1))</f>
        <v/>
      </c>
    </row>
    <row r="861" customFormat="false" ht="15" hidden="false" customHeight="false" outlineLevel="0" collapsed="false">
      <c r="A861" s="33"/>
      <c r="B861" s="27"/>
      <c r="C861" s="27"/>
      <c r="D861" s="34"/>
      <c r="E861" s="27"/>
      <c r="F861" s="28" t="str">
        <f aca="false">IF(C861="","",IFERROR(INDEX(Settings!$C$8:$C$19,MATCH(C861,Settings!$B$8:$B$19,0)),"?"))</f>
        <v/>
      </c>
      <c r="G861" s="35" t="str">
        <f aca="false">IF(A861="","",DATE(YEAR(A861),MONTH(A861),1))</f>
        <v/>
      </c>
    </row>
    <row r="862" customFormat="false" ht="15" hidden="false" customHeight="false" outlineLevel="0" collapsed="false">
      <c r="A862" s="33"/>
      <c r="B862" s="27"/>
      <c r="C862" s="27"/>
      <c r="D862" s="34"/>
      <c r="E862" s="27"/>
      <c r="F862" s="28" t="str">
        <f aca="false">IF(C862="","",IFERROR(INDEX(Settings!$C$8:$C$19,MATCH(C862,Settings!$B$8:$B$19,0)),"?"))</f>
        <v/>
      </c>
      <c r="G862" s="35" t="str">
        <f aca="false">IF(A862="","",DATE(YEAR(A862),MONTH(A862),1))</f>
        <v/>
      </c>
    </row>
    <row r="863" customFormat="false" ht="15" hidden="false" customHeight="false" outlineLevel="0" collapsed="false">
      <c r="A863" s="33"/>
      <c r="B863" s="27"/>
      <c r="C863" s="27"/>
      <c r="D863" s="34"/>
      <c r="E863" s="27"/>
      <c r="F863" s="28" t="str">
        <f aca="false">IF(C863="","",IFERROR(INDEX(Settings!$C$8:$C$19,MATCH(C863,Settings!$B$8:$B$19,0)),"?"))</f>
        <v/>
      </c>
      <c r="G863" s="35" t="str">
        <f aca="false">IF(A863="","",DATE(YEAR(A863),MONTH(A863),1))</f>
        <v/>
      </c>
    </row>
    <row r="864" customFormat="false" ht="15" hidden="false" customHeight="false" outlineLevel="0" collapsed="false">
      <c r="A864" s="33"/>
      <c r="B864" s="27"/>
      <c r="C864" s="27"/>
      <c r="D864" s="34"/>
      <c r="E864" s="27"/>
      <c r="F864" s="28" t="str">
        <f aca="false">IF(C864="","",IFERROR(INDEX(Settings!$C$8:$C$19,MATCH(C864,Settings!$B$8:$B$19,0)),"?"))</f>
        <v/>
      </c>
      <c r="G864" s="35" t="str">
        <f aca="false">IF(A864="","",DATE(YEAR(A864),MONTH(A864),1))</f>
        <v/>
      </c>
    </row>
    <row r="865" customFormat="false" ht="15" hidden="false" customHeight="false" outlineLevel="0" collapsed="false">
      <c r="A865" s="33"/>
      <c r="B865" s="27"/>
      <c r="C865" s="27"/>
      <c r="D865" s="34"/>
      <c r="E865" s="27"/>
      <c r="F865" s="28" t="str">
        <f aca="false">IF(C865="","",IFERROR(INDEX(Settings!$C$8:$C$19,MATCH(C865,Settings!$B$8:$B$19,0)),"?"))</f>
        <v/>
      </c>
      <c r="G865" s="35" t="str">
        <f aca="false">IF(A865="","",DATE(YEAR(A865),MONTH(A865),1))</f>
        <v/>
      </c>
    </row>
    <row r="866" customFormat="false" ht="15" hidden="false" customHeight="false" outlineLevel="0" collapsed="false">
      <c r="A866" s="33"/>
      <c r="B866" s="27"/>
      <c r="C866" s="27"/>
      <c r="D866" s="34"/>
      <c r="E866" s="27"/>
      <c r="F866" s="28" t="str">
        <f aca="false">IF(C866="","",IFERROR(INDEX(Settings!$C$8:$C$19,MATCH(C866,Settings!$B$8:$B$19,0)),"?"))</f>
        <v/>
      </c>
      <c r="G866" s="35" t="str">
        <f aca="false">IF(A866="","",DATE(YEAR(A866),MONTH(A866),1))</f>
        <v/>
      </c>
    </row>
    <row r="867" customFormat="false" ht="15" hidden="false" customHeight="false" outlineLevel="0" collapsed="false">
      <c r="A867" s="33"/>
      <c r="B867" s="27"/>
      <c r="C867" s="27"/>
      <c r="D867" s="34"/>
      <c r="E867" s="27"/>
      <c r="F867" s="28" t="str">
        <f aca="false">IF(C867="","",IFERROR(INDEX(Settings!$C$8:$C$19,MATCH(C867,Settings!$B$8:$B$19,0)),"?"))</f>
        <v/>
      </c>
      <c r="G867" s="35" t="str">
        <f aca="false">IF(A867="","",DATE(YEAR(A867),MONTH(A867),1))</f>
        <v/>
      </c>
    </row>
    <row r="868" customFormat="false" ht="15" hidden="false" customHeight="false" outlineLevel="0" collapsed="false">
      <c r="A868" s="33"/>
      <c r="B868" s="27"/>
      <c r="C868" s="27"/>
      <c r="D868" s="34"/>
      <c r="E868" s="27"/>
      <c r="F868" s="28" t="str">
        <f aca="false">IF(C868="","",IFERROR(INDEX(Settings!$C$8:$C$19,MATCH(C868,Settings!$B$8:$B$19,0)),"?"))</f>
        <v/>
      </c>
      <c r="G868" s="35" t="str">
        <f aca="false">IF(A868="","",DATE(YEAR(A868),MONTH(A868),1))</f>
        <v/>
      </c>
    </row>
    <row r="869" customFormat="false" ht="15" hidden="false" customHeight="false" outlineLevel="0" collapsed="false">
      <c r="A869" s="33"/>
      <c r="B869" s="27"/>
      <c r="C869" s="27"/>
      <c r="D869" s="34"/>
      <c r="E869" s="27"/>
      <c r="F869" s="28" t="str">
        <f aca="false">IF(C869="","",IFERROR(INDEX(Settings!$C$8:$C$19,MATCH(C869,Settings!$B$8:$B$19,0)),"?"))</f>
        <v/>
      </c>
      <c r="G869" s="35" t="str">
        <f aca="false">IF(A869="","",DATE(YEAR(A869),MONTH(A869),1))</f>
        <v/>
      </c>
    </row>
    <row r="870" customFormat="false" ht="15" hidden="false" customHeight="false" outlineLevel="0" collapsed="false">
      <c r="A870" s="33"/>
      <c r="B870" s="27"/>
      <c r="C870" s="27"/>
      <c r="D870" s="34"/>
      <c r="E870" s="27"/>
      <c r="F870" s="28" t="str">
        <f aca="false">IF(C870="","",IFERROR(INDEX(Settings!$C$8:$C$19,MATCH(C870,Settings!$B$8:$B$19,0)),"?"))</f>
        <v/>
      </c>
      <c r="G870" s="35" t="str">
        <f aca="false">IF(A870="","",DATE(YEAR(A870),MONTH(A870),1))</f>
        <v/>
      </c>
    </row>
    <row r="871" customFormat="false" ht="15" hidden="false" customHeight="false" outlineLevel="0" collapsed="false">
      <c r="A871" s="33"/>
      <c r="B871" s="27"/>
      <c r="C871" s="27"/>
      <c r="D871" s="34"/>
      <c r="E871" s="27"/>
      <c r="F871" s="28" t="str">
        <f aca="false">IF(C871="","",IFERROR(INDEX(Settings!$C$8:$C$19,MATCH(C871,Settings!$B$8:$B$19,0)),"?"))</f>
        <v/>
      </c>
      <c r="G871" s="35" t="str">
        <f aca="false">IF(A871="","",DATE(YEAR(A871),MONTH(A871),1))</f>
        <v/>
      </c>
    </row>
    <row r="872" customFormat="false" ht="15" hidden="false" customHeight="false" outlineLevel="0" collapsed="false">
      <c r="A872" s="33"/>
      <c r="B872" s="27"/>
      <c r="C872" s="27"/>
      <c r="D872" s="34"/>
      <c r="E872" s="27"/>
      <c r="F872" s="28" t="str">
        <f aca="false">IF(C872="","",IFERROR(INDEX(Settings!$C$8:$C$19,MATCH(C872,Settings!$B$8:$B$19,0)),"?"))</f>
        <v/>
      </c>
      <c r="G872" s="35" t="str">
        <f aca="false">IF(A872="","",DATE(YEAR(A872),MONTH(A872),1))</f>
        <v/>
      </c>
    </row>
    <row r="873" customFormat="false" ht="15" hidden="false" customHeight="false" outlineLevel="0" collapsed="false">
      <c r="A873" s="33"/>
      <c r="B873" s="27"/>
      <c r="C873" s="27"/>
      <c r="D873" s="34"/>
      <c r="E873" s="27"/>
      <c r="F873" s="28" t="str">
        <f aca="false">IF(C873="","",IFERROR(INDEX(Settings!$C$8:$C$19,MATCH(C873,Settings!$B$8:$B$19,0)),"?"))</f>
        <v/>
      </c>
      <c r="G873" s="35" t="str">
        <f aca="false">IF(A873="","",DATE(YEAR(A873),MONTH(A873),1))</f>
        <v/>
      </c>
    </row>
    <row r="874" customFormat="false" ht="15" hidden="false" customHeight="false" outlineLevel="0" collapsed="false">
      <c r="A874" s="33"/>
      <c r="B874" s="27"/>
      <c r="C874" s="27"/>
      <c r="D874" s="34"/>
      <c r="E874" s="27"/>
      <c r="F874" s="28" t="str">
        <f aca="false">IF(C874="","",IFERROR(INDEX(Settings!$C$8:$C$19,MATCH(C874,Settings!$B$8:$B$19,0)),"?"))</f>
        <v/>
      </c>
      <c r="G874" s="35" t="str">
        <f aca="false">IF(A874="","",DATE(YEAR(A874),MONTH(A874),1))</f>
        <v/>
      </c>
    </row>
    <row r="875" customFormat="false" ht="15" hidden="false" customHeight="false" outlineLevel="0" collapsed="false">
      <c r="A875" s="33"/>
      <c r="B875" s="27"/>
      <c r="C875" s="27"/>
      <c r="D875" s="34"/>
      <c r="E875" s="27"/>
      <c r="F875" s="28" t="str">
        <f aca="false">IF(C875="","",IFERROR(INDEX(Settings!$C$8:$C$19,MATCH(C875,Settings!$B$8:$B$19,0)),"?"))</f>
        <v/>
      </c>
      <c r="G875" s="35" t="str">
        <f aca="false">IF(A875="","",DATE(YEAR(A875),MONTH(A875),1))</f>
        <v/>
      </c>
    </row>
    <row r="876" customFormat="false" ht="15" hidden="false" customHeight="false" outlineLevel="0" collapsed="false">
      <c r="A876" s="33"/>
      <c r="B876" s="27"/>
      <c r="C876" s="27"/>
      <c r="D876" s="34"/>
      <c r="E876" s="27"/>
      <c r="F876" s="28" t="str">
        <f aca="false">IF(C876="","",IFERROR(INDEX(Settings!$C$8:$C$19,MATCH(C876,Settings!$B$8:$B$19,0)),"?"))</f>
        <v/>
      </c>
      <c r="G876" s="35" t="str">
        <f aca="false">IF(A876="","",DATE(YEAR(A876),MONTH(A876),1))</f>
        <v/>
      </c>
    </row>
    <row r="877" customFormat="false" ht="15" hidden="false" customHeight="false" outlineLevel="0" collapsed="false">
      <c r="A877" s="33"/>
      <c r="B877" s="27"/>
      <c r="C877" s="27"/>
      <c r="D877" s="34"/>
      <c r="E877" s="27"/>
      <c r="F877" s="28" t="str">
        <f aca="false">IF(C877="","",IFERROR(INDEX(Settings!$C$8:$C$19,MATCH(C877,Settings!$B$8:$B$19,0)),"?"))</f>
        <v/>
      </c>
      <c r="G877" s="35" t="str">
        <f aca="false">IF(A877="","",DATE(YEAR(A877),MONTH(A877),1))</f>
        <v/>
      </c>
    </row>
    <row r="878" customFormat="false" ht="15" hidden="false" customHeight="false" outlineLevel="0" collapsed="false">
      <c r="A878" s="33"/>
      <c r="B878" s="27"/>
      <c r="C878" s="27"/>
      <c r="D878" s="34"/>
      <c r="E878" s="27"/>
      <c r="F878" s="28" t="str">
        <f aca="false">IF(C878="","",IFERROR(INDEX(Settings!$C$8:$C$19,MATCH(C878,Settings!$B$8:$B$19,0)),"?"))</f>
        <v/>
      </c>
      <c r="G878" s="35" t="str">
        <f aca="false">IF(A878="","",DATE(YEAR(A878),MONTH(A878),1))</f>
        <v/>
      </c>
    </row>
    <row r="879" customFormat="false" ht="15" hidden="false" customHeight="false" outlineLevel="0" collapsed="false">
      <c r="A879" s="33"/>
      <c r="B879" s="27"/>
      <c r="C879" s="27"/>
      <c r="D879" s="34"/>
      <c r="E879" s="27"/>
      <c r="F879" s="28" t="str">
        <f aca="false">IF(C879="","",IFERROR(INDEX(Settings!$C$8:$C$19,MATCH(C879,Settings!$B$8:$B$19,0)),"?"))</f>
        <v/>
      </c>
      <c r="G879" s="35" t="str">
        <f aca="false">IF(A879="","",DATE(YEAR(A879),MONTH(A879),1))</f>
        <v/>
      </c>
    </row>
    <row r="880" customFormat="false" ht="15" hidden="false" customHeight="false" outlineLevel="0" collapsed="false">
      <c r="A880" s="33"/>
      <c r="B880" s="27"/>
      <c r="C880" s="27"/>
      <c r="D880" s="34"/>
      <c r="E880" s="27"/>
      <c r="F880" s="28" t="str">
        <f aca="false">IF(C880="","",IFERROR(INDEX(Settings!$C$8:$C$19,MATCH(C880,Settings!$B$8:$B$19,0)),"?"))</f>
        <v/>
      </c>
      <c r="G880" s="35" t="str">
        <f aca="false">IF(A880="","",DATE(YEAR(A880),MONTH(A880),1))</f>
        <v/>
      </c>
    </row>
    <row r="881" customFormat="false" ht="15" hidden="false" customHeight="false" outlineLevel="0" collapsed="false">
      <c r="A881" s="33"/>
      <c r="B881" s="27"/>
      <c r="C881" s="27"/>
      <c r="D881" s="34"/>
      <c r="E881" s="27"/>
      <c r="F881" s="28" t="str">
        <f aca="false">IF(C881="","",IFERROR(INDEX(Settings!$C$8:$C$19,MATCH(C881,Settings!$B$8:$B$19,0)),"?"))</f>
        <v/>
      </c>
      <c r="G881" s="35" t="str">
        <f aca="false">IF(A881="","",DATE(YEAR(A881),MONTH(A881),1))</f>
        <v/>
      </c>
    </row>
    <row r="882" customFormat="false" ht="15" hidden="false" customHeight="false" outlineLevel="0" collapsed="false">
      <c r="A882" s="33"/>
      <c r="B882" s="27"/>
      <c r="C882" s="27"/>
      <c r="D882" s="34"/>
      <c r="E882" s="27"/>
      <c r="F882" s="28" t="str">
        <f aca="false">IF(C882="","",IFERROR(INDEX(Settings!$C$8:$C$19,MATCH(C882,Settings!$B$8:$B$19,0)),"?"))</f>
        <v/>
      </c>
      <c r="G882" s="35" t="str">
        <f aca="false">IF(A882="","",DATE(YEAR(A882),MONTH(A882),1))</f>
        <v/>
      </c>
    </row>
    <row r="883" customFormat="false" ht="15" hidden="false" customHeight="false" outlineLevel="0" collapsed="false">
      <c r="A883" s="33"/>
      <c r="B883" s="27"/>
      <c r="C883" s="27"/>
      <c r="D883" s="34"/>
      <c r="E883" s="27"/>
      <c r="F883" s="28" t="str">
        <f aca="false">IF(C883="","",IFERROR(INDEX(Settings!$C$8:$C$19,MATCH(C883,Settings!$B$8:$B$19,0)),"?"))</f>
        <v/>
      </c>
      <c r="G883" s="35" t="str">
        <f aca="false">IF(A883="","",DATE(YEAR(A883),MONTH(A883),1))</f>
        <v/>
      </c>
    </row>
    <row r="884" customFormat="false" ht="15" hidden="false" customHeight="false" outlineLevel="0" collapsed="false">
      <c r="A884" s="33"/>
      <c r="B884" s="27"/>
      <c r="C884" s="27"/>
      <c r="D884" s="34"/>
      <c r="E884" s="27"/>
      <c r="F884" s="28" t="str">
        <f aca="false">IF(C884="","",IFERROR(INDEX(Settings!$C$8:$C$19,MATCH(C884,Settings!$B$8:$B$19,0)),"?"))</f>
        <v/>
      </c>
      <c r="G884" s="35" t="str">
        <f aca="false">IF(A884="","",DATE(YEAR(A884),MONTH(A884),1))</f>
        <v/>
      </c>
    </row>
    <row r="885" customFormat="false" ht="15" hidden="false" customHeight="false" outlineLevel="0" collapsed="false">
      <c r="A885" s="33"/>
      <c r="B885" s="27"/>
      <c r="C885" s="27"/>
      <c r="D885" s="34"/>
      <c r="E885" s="27"/>
      <c r="F885" s="28" t="str">
        <f aca="false">IF(C885="","",IFERROR(INDEX(Settings!$C$8:$C$19,MATCH(C885,Settings!$B$8:$B$19,0)),"?"))</f>
        <v/>
      </c>
      <c r="G885" s="35" t="str">
        <f aca="false">IF(A885="","",DATE(YEAR(A885),MONTH(A885),1))</f>
        <v/>
      </c>
    </row>
    <row r="886" customFormat="false" ht="15" hidden="false" customHeight="false" outlineLevel="0" collapsed="false">
      <c r="A886" s="33"/>
      <c r="B886" s="27"/>
      <c r="C886" s="27"/>
      <c r="D886" s="34"/>
      <c r="E886" s="27"/>
      <c r="F886" s="28" t="str">
        <f aca="false">IF(C886="","",IFERROR(INDEX(Settings!$C$8:$C$19,MATCH(C886,Settings!$B$8:$B$19,0)),"?"))</f>
        <v/>
      </c>
      <c r="G886" s="35" t="str">
        <f aca="false">IF(A886="","",DATE(YEAR(A886),MONTH(A886),1))</f>
        <v/>
      </c>
    </row>
    <row r="887" customFormat="false" ht="15" hidden="false" customHeight="false" outlineLevel="0" collapsed="false">
      <c r="A887" s="33"/>
      <c r="B887" s="27"/>
      <c r="C887" s="27"/>
      <c r="D887" s="34"/>
      <c r="E887" s="27"/>
      <c r="F887" s="28" t="str">
        <f aca="false">IF(C887="","",IFERROR(INDEX(Settings!$C$8:$C$19,MATCH(C887,Settings!$B$8:$B$19,0)),"?"))</f>
        <v/>
      </c>
      <c r="G887" s="35" t="str">
        <f aca="false">IF(A887="","",DATE(YEAR(A887),MONTH(A887),1))</f>
        <v/>
      </c>
    </row>
    <row r="888" customFormat="false" ht="15" hidden="false" customHeight="false" outlineLevel="0" collapsed="false">
      <c r="A888" s="33"/>
      <c r="B888" s="27"/>
      <c r="C888" s="27"/>
      <c r="D888" s="34"/>
      <c r="E888" s="27"/>
      <c r="F888" s="28" t="str">
        <f aca="false">IF(C888="","",IFERROR(INDEX(Settings!$C$8:$C$19,MATCH(C888,Settings!$B$8:$B$19,0)),"?"))</f>
        <v/>
      </c>
      <c r="G888" s="35" t="str">
        <f aca="false">IF(A888="","",DATE(YEAR(A888),MONTH(A888),1))</f>
        <v/>
      </c>
    </row>
    <row r="889" customFormat="false" ht="15" hidden="false" customHeight="false" outlineLevel="0" collapsed="false">
      <c r="A889" s="33"/>
      <c r="B889" s="27"/>
      <c r="C889" s="27"/>
      <c r="D889" s="34"/>
      <c r="E889" s="27"/>
      <c r="F889" s="28" t="str">
        <f aca="false">IF(C889="","",IFERROR(INDEX(Settings!$C$8:$C$19,MATCH(C889,Settings!$B$8:$B$19,0)),"?"))</f>
        <v/>
      </c>
      <c r="G889" s="35" t="str">
        <f aca="false">IF(A889="","",DATE(YEAR(A889),MONTH(A889),1))</f>
        <v/>
      </c>
    </row>
    <row r="890" customFormat="false" ht="15" hidden="false" customHeight="false" outlineLevel="0" collapsed="false">
      <c r="A890" s="33"/>
      <c r="B890" s="27"/>
      <c r="C890" s="27"/>
      <c r="D890" s="34"/>
      <c r="E890" s="27"/>
      <c r="F890" s="28" t="str">
        <f aca="false">IF(C890="","",IFERROR(INDEX(Settings!$C$8:$C$19,MATCH(C890,Settings!$B$8:$B$19,0)),"?"))</f>
        <v/>
      </c>
      <c r="G890" s="35" t="str">
        <f aca="false">IF(A890="","",DATE(YEAR(A890),MONTH(A890),1))</f>
        <v/>
      </c>
    </row>
    <row r="891" customFormat="false" ht="15" hidden="false" customHeight="false" outlineLevel="0" collapsed="false">
      <c r="A891" s="33"/>
      <c r="B891" s="27"/>
      <c r="C891" s="27"/>
      <c r="D891" s="34"/>
      <c r="E891" s="27"/>
      <c r="F891" s="28" t="str">
        <f aca="false">IF(C891="","",IFERROR(INDEX(Settings!$C$8:$C$19,MATCH(C891,Settings!$B$8:$B$19,0)),"?"))</f>
        <v/>
      </c>
      <c r="G891" s="35" t="str">
        <f aca="false">IF(A891="","",DATE(YEAR(A891),MONTH(A891),1))</f>
        <v/>
      </c>
    </row>
    <row r="892" customFormat="false" ht="15" hidden="false" customHeight="false" outlineLevel="0" collapsed="false">
      <c r="A892" s="33"/>
      <c r="B892" s="27"/>
      <c r="C892" s="27"/>
      <c r="D892" s="34"/>
      <c r="E892" s="27"/>
      <c r="F892" s="28" t="str">
        <f aca="false">IF(C892="","",IFERROR(INDEX(Settings!$C$8:$C$19,MATCH(C892,Settings!$B$8:$B$19,0)),"?"))</f>
        <v/>
      </c>
      <c r="G892" s="35" t="str">
        <f aca="false">IF(A892="","",DATE(YEAR(A892),MONTH(A892),1))</f>
        <v/>
      </c>
    </row>
    <row r="893" customFormat="false" ht="15" hidden="false" customHeight="false" outlineLevel="0" collapsed="false">
      <c r="A893" s="33"/>
      <c r="B893" s="27"/>
      <c r="C893" s="27"/>
      <c r="D893" s="34"/>
      <c r="E893" s="27"/>
      <c r="F893" s="28" t="str">
        <f aca="false">IF(C893="","",IFERROR(INDEX(Settings!$C$8:$C$19,MATCH(C893,Settings!$B$8:$B$19,0)),"?"))</f>
        <v/>
      </c>
      <c r="G893" s="35" t="str">
        <f aca="false">IF(A893="","",DATE(YEAR(A893),MONTH(A893),1))</f>
        <v/>
      </c>
    </row>
    <row r="894" customFormat="false" ht="15" hidden="false" customHeight="false" outlineLevel="0" collapsed="false">
      <c r="A894" s="33"/>
      <c r="B894" s="27"/>
      <c r="C894" s="27"/>
      <c r="D894" s="34"/>
      <c r="E894" s="27"/>
      <c r="F894" s="28" t="str">
        <f aca="false">IF(C894="","",IFERROR(INDEX(Settings!$C$8:$C$19,MATCH(C894,Settings!$B$8:$B$19,0)),"?"))</f>
        <v/>
      </c>
      <c r="G894" s="35" t="str">
        <f aca="false">IF(A894="","",DATE(YEAR(A894),MONTH(A894),1))</f>
        <v/>
      </c>
    </row>
    <row r="895" customFormat="false" ht="15" hidden="false" customHeight="false" outlineLevel="0" collapsed="false">
      <c r="A895" s="33"/>
      <c r="B895" s="27"/>
      <c r="C895" s="27"/>
      <c r="D895" s="34"/>
      <c r="E895" s="27"/>
      <c r="F895" s="28" t="str">
        <f aca="false">IF(C895="","",IFERROR(INDEX(Settings!$C$8:$C$19,MATCH(C895,Settings!$B$8:$B$19,0)),"?"))</f>
        <v/>
      </c>
      <c r="G895" s="35" t="str">
        <f aca="false">IF(A895="","",DATE(YEAR(A895),MONTH(A895),1))</f>
        <v/>
      </c>
    </row>
    <row r="896" customFormat="false" ht="15" hidden="false" customHeight="false" outlineLevel="0" collapsed="false">
      <c r="A896" s="33"/>
      <c r="B896" s="27"/>
      <c r="C896" s="27"/>
      <c r="D896" s="34"/>
      <c r="E896" s="27"/>
      <c r="F896" s="28" t="str">
        <f aca="false">IF(C896="","",IFERROR(INDEX(Settings!$C$8:$C$19,MATCH(C896,Settings!$B$8:$B$19,0)),"?"))</f>
        <v/>
      </c>
      <c r="G896" s="35" t="str">
        <f aca="false">IF(A896="","",DATE(YEAR(A896),MONTH(A896),1))</f>
        <v/>
      </c>
    </row>
    <row r="897" customFormat="false" ht="15" hidden="false" customHeight="false" outlineLevel="0" collapsed="false">
      <c r="A897" s="33"/>
      <c r="B897" s="27"/>
      <c r="C897" s="27"/>
      <c r="D897" s="34"/>
      <c r="E897" s="27"/>
      <c r="F897" s="28" t="str">
        <f aca="false">IF(C897="","",IFERROR(INDEX(Settings!$C$8:$C$19,MATCH(C897,Settings!$B$8:$B$19,0)),"?"))</f>
        <v/>
      </c>
      <c r="G897" s="35" t="str">
        <f aca="false">IF(A897="","",DATE(YEAR(A897),MONTH(A897),1))</f>
        <v/>
      </c>
    </row>
    <row r="898" customFormat="false" ht="15" hidden="false" customHeight="false" outlineLevel="0" collapsed="false">
      <c r="A898" s="33"/>
      <c r="B898" s="27"/>
      <c r="C898" s="27"/>
      <c r="D898" s="34"/>
      <c r="E898" s="27"/>
      <c r="F898" s="28" t="str">
        <f aca="false">IF(C898="","",IFERROR(INDEX(Settings!$C$8:$C$19,MATCH(C898,Settings!$B$8:$B$19,0)),"?"))</f>
        <v/>
      </c>
      <c r="G898" s="35" t="str">
        <f aca="false">IF(A898="","",DATE(YEAR(A898),MONTH(A898),1))</f>
        <v/>
      </c>
    </row>
    <row r="899" customFormat="false" ht="15" hidden="false" customHeight="false" outlineLevel="0" collapsed="false">
      <c r="A899" s="33"/>
      <c r="B899" s="27"/>
      <c r="C899" s="27"/>
      <c r="D899" s="34"/>
      <c r="E899" s="27"/>
      <c r="F899" s="28" t="str">
        <f aca="false">IF(C899="","",IFERROR(INDEX(Settings!$C$8:$C$19,MATCH(C899,Settings!$B$8:$B$19,0)),"?"))</f>
        <v/>
      </c>
      <c r="G899" s="35" t="str">
        <f aca="false">IF(A899="","",DATE(YEAR(A899),MONTH(A899),1))</f>
        <v/>
      </c>
    </row>
    <row r="900" customFormat="false" ht="15" hidden="false" customHeight="false" outlineLevel="0" collapsed="false">
      <c r="A900" s="33"/>
      <c r="B900" s="27"/>
      <c r="C900" s="27"/>
      <c r="D900" s="34"/>
      <c r="E900" s="27"/>
      <c r="F900" s="28" t="str">
        <f aca="false">IF(C900="","",IFERROR(INDEX(Settings!$C$8:$C$19,MATCH(C900,Settings!$B$8:$B$19,0)),"?"))</f>
        <v/>
      </c>
      <c r="G900" s="35" t="str">
        <f aca="false">IF(A900="","",DATE(YEAR(A900),MONTH(A900),1))</f>
        <v/>
      </c>
    </row>
    <row r="901" customFormat="false" ht="15" hidden="false" customHeight="false" outlineLevel="0" collapsed="false">
      <c r="A901" s="33"/>
      <c r="B901" s="27"/>
      <c r="C901" s="27"/>
      <c r="D901" s="34"/>
      <c r="E901" s="27"/>
      <c r="F901" s="28" t="str">
        <f aca="false">IF(C901="","",IFERROR(INDEX(Settings!$C$8:$C$19,MATCH(C901,Settings!$B$8:$B$19,0)),"?"))</f>
        <v/>
      </c>
      <c r="G901" s="35" t="str">
        <f aca="false">IF(A901="","",DATE(YEAR(A901),MONTH(A901),1))</f>
        <v/>
      </c>
    </row>
    <row r="902" customFormat="false" ht="15" hidden="false" customHeight="false" outlineLevel="0" collapsed="false">
      <c r="A902" s="33"/>
      <c r="B902" s="27"/>
      <c r="C902" s="27"/>
      <c r="D902" s="34"/>
      <c r="E902" s="27"/>
      <c r="F902" s="28" t="str">
        <f aca="false">IF(C902="","",IFERROR(INDEX(Settings!$C$8:$C$19,MATCH(C902,Settings!$B$8:$B$19,0)),"?"))</f>
        <v/>
      </c>
      <c r="G902" s="35" t="str">
        <f aca="false">IF(A902="","",DATE(YEAR(A902),MONTH(A902),1))</f>
        <v/>
      </c>
    </row>
    <row r="903" customFormat="false" ht="15" hidden="false" customHeight="false" outlineLevel="0" collapsed="false">
      <c r="A903" s="33"/>
      <c r="B903" s="27"/>
      <c r="C903" s="27"/>
      <c r="D903" s="34"/>
      <c r="E903" s="27"/>
      <c r="F903" s="28" t="str">
        <f aca="false">IF(C903="","",IFERROR(INDEX(Settings!$C$8:$C$19,MATCH(C903,Settings!$B$8:$B$19,0)),"?"))</f>
        <v/>
      </c>
      <c r="G903" s="35" t="str">
        <f aca="false">IF(A903="","",DATE(YEAR(A903),MONTH(A903),1))</f>
        <v/>
      </c>
    </row>
    <row r="904" customFormat="false" ht="15" hidden="false" customHeight="false" outlineLevel="0" collapsed="false">
      <c r="A904" s="33"/>
      <c r="B904" s="27"/>
      <c r="C904" s="27"/>
      <c r="D904" s="34"/>
      <c r="E904" s="27"/>
      <c r="F904" s="28" t="str">
        <f aca="false">IF(C904="","",IFERROR(INDEX(Settings!$C$8:$C$19,MATCH(C904,Settings!$B$8:$B$19,0)),"?"))</f>
        <v/>
      </c>
      <c r="G904" s="35" t="str">
        <f aca="false">IF(A904="","",DATE(YEAR(A904),MONTH(A904),1))</f>
        <v/>
      </c>
    </row>
    <row r="905" customFormat="false" ht="15" hidden="false" customHeight="false" outlineLevel="0" collapsed="false">
      <c r="A905" s="33"/>
      <c r="B905" s="27"/>
      <c r="C905" s="27"/>
      <c r="D905" s="34"/>
      <c r="E905" s="27"/>
      <c r="F905" s="28" t="str">
        <f aca="false">IF(C905="","",IFERROR(INDEX(Settings!$C$8:$C$19,MATCH(C905,Settings!$B$8:$B$19,0)),"?"))</f>
        <v/>
      </c>
      <c r="G905" s="35" t="str">
        <f aca="false">IF(A905="","",DATE(YEAR(A905),MONTH(A905),1))</f>
        <v/>
      </c>
    </row>
    <row r="906" customFormat="false" ht="15" hidden="false" customHeight="false" outlineLevel="0" collapsed="false">
      <c r="A906" s="33"/>
      <c r="B906" s="27"/>
      <c r="C906" s="27"/>
      <c r="D906" s="34"/>
      <c r="E906" s="27"/>
      <c r="F906" s="28" t="str">
        <f aca="false">IF(C906="","",IFERROR(INDEX(Settings!$C$8:$C$19,MATCH(C906,Settings!$B$8:$B$19,0)),"?"))</f>
        <v/>
      </c>
      <c r="G906" s="35" t="str">
        <f aca="false">IF(A906="","",DATE(YEAR(A906),MONTH(A906),1))</f>
        <v/>
      </c>
    </row>
    <row r="907" customFormat="false" ht="15" hidden="false" customHeight="false" outlineLevel="0" collapsed="false">
      <c r="A907" s="33"/>
      <c r="B907" s="27"/>
      <c r="C907" s="27"/>
      <c r="D907" s="34"/>
      <c r="E907" s="27"/>
      <c r="F907" s="28" t="str">
        <f aca="false">IF(C907="","",IFERROR(INDEX(Settings!$C$8:$C$19,MATCH(C907,Settings!$B$8:$B$19,0)),"?"))</f>
        <v/>
      </c>
      <c r="G907" s="35" t="str">
        <f aca="false">IF(A907="","",DATE(YEAR(A907),MONTH(A907),1))</f>
        <v/>
      </c>
    </row>
    <row r="908" customFormat="false" ht="15" hidden="false" customHeight="false" outlineLevel="0" collapsed="false">
      <c r="A908" s="33"/>
      <c r="B908" s="27"/>
      <c r="C908" s="27"/>
      <c r="D908" s="34"/>
      <c r="E908" s="27"/>
      <c r="F908" s="28" t="str">
        <f aca="false">IF(C908="","",IFERROR(INDEX(Settings!$C$8:$C$19,MATCH(C908,Settings!$B$8:$B$19,0)),"?"))</f>
        <v/>
      </c>
      <c r="G908" s="35" t="str">
        <f aca="false">IF(A908="","",DATE(YEAR(A908),MONTH(A908),1))</f>
        <v/>
      </c>
    </row>
    <row r="909" customFormat="false" ht="15" hidden="false" customHeight="false" outlineLevel="0" collapsed="false">
      <c r="A909" s="33"/>
      <c r="B909" s="27"/>
      <c r="C909" s="27"/>
      <c r="D909" s="34"/>
      <c r="E909" s="27"/>
      <c r="F909" s="28" t="str">
        <f aca="false">IF(C909="","",IFERROR(INDEX(Settings!$C$8:$C$19,MATCH(C909,Settings!$B$8:$B$19,0)),"?"))</f>
        <v/>
      </c>
      <c r="G909" s="35" t="str">
        <f aca="false">IF(A909="","",DATE(YEAR(A909),MONTH(A909),1))</f>
        <v/>
      </c>
    </row>
    <row r="910" customFormat="false" ht="15" hidden="false" customHeight="false" outlineLevel="0" collapsed="false">
      <c r="A910" s="33"/>
      <c r="B910" s="27"/>
      <c r="C910" s="27"/>
      <c r="D910" s="34"/>
      <c r="E910" s="27"/>
      <c r="F910" s="28" t="str">
        <f aca="false">IF(C910="","",IFERROR(INDEX(Settings!$C$8:$C$19,MATCH(C910,Settings!$B$8:$B$19,0)),"?"))</f>
        <v/>
      </c>
      <c r="G910" s="35" t="str">
        <f aca="false">IF(A910="","",DATE(YEAR(A910),MONTH(A910),1))</f>
        <v/>
      </c>
    </row>
    <row r="911" customFormat="false" ht="15" hidden="false" customHeight="false" outlineLevel="0" collapsed="false">
      <c r="A911" s="33"/>
      <c r="B911" s="27"/>
      <c r="C911" s="27"/>
      <c r="D911" s="34"/>
      <c r="E911" s="27"/>
      <c r="F911" s="28" t="str">
        <f aca="false">IF(C911="","",IFERROR(INDEX(Settings!$C$8:$C$19,MATCH(C911,Settings!$B$8:$B$19,0)),"?"))</f>
        <v/>
      </c>
      <c r="G911" s="35" t="str">
        <f aca="false">IF(A911="","",DATE(YEAR(A911),MONTH(A911),1))</f>
        <v/>
      </c>
    </row>
    <row r="912" customFormat="false" ht="15" hidden="false" customHeight="false" outlineLevel="0" collapsed="false">
      <c r="A912" s="33"/>
      <c r="B912" s="27"/>
      <c r="C912" s="27"/>
      <c r="D912" s="34"/>
      <c r="E912" s="27"/>
      <c r="F912" s="28" t="str">
        <f aca="false">IF(C912="","",IFERROR(INDEX(Settings!$C$8:$C$19,MATCH(C912,Settings!$B$8:$B$19,0)),"?"))</f>
        <v/>
      </c>
      <c r="G912" s="35" t="str">
        <f aca="false">IF(A912="","",DATE(YEAR(A912),MONTH(A912),1))</f>
        <v/>
      </c>
    </row>
    <row r="913" customFormat="false" ht="15" hidden="false" customHeight="false" outlineLevel="0" collapsed="false">
      <c r="A913" s="33"/>
      <c r="B913" s="27"/>
      <c r="C913" s="27"/>
      <c r="D913" s="34"/>
      <c r="E913" s="27"/>
      <c r="F913" s="28" t="str">
        <f aca="false">IF(C913="","",IFERROR(INDEX(Settings!$C$8:$C$19,MATCH(C913,Settings!$B$8:$B$19,0)),"?"))</f>
        <v/>
      </c>
      <c r="G913" s="35" t="str">
        <f aca="false">IF(A913="","",DATE(YEAR(A913),MONTH(A913),1))</f>
        <v/>
      </c>
    </row>
    <row r="914" customFormat="false" ht="15" hidden="false" customHeight="false" outlineLevel="0" collapsed="false">
      <c r="A914" s="33"/>
      <c r="B914" s="27"/>
      <c r="C914" s="27"/>
      <c r="D914" s="34"/>
      <c r="E914" s="27"/>
      <c r="F914" s="28" t="str">
        <f aca="false">IF(C914="","",IFERROR(INDEX(Settings!$C$8:$C$19,MATCH(C914,Settings!$B$8:$B$19,0)),"?"))</f>
        <v/>
      </c>
      <c r="G914" s="35" t="str">
        <f aca="false">IF(A914="","",DATE(YEAR(A914),MONTH(A914),1))</f>
        <v/>
      </c>
    </row>
    <row r="915" customFormat="false" ht="15" hidden="false" customHeight="false" outlineLevel="0" collapsed="false">
      <c r="A915" s="33"/>
      <c r="B915" s="27"/>
      <c r="C915" s="27"/>
      <c r="D915" s="34"/>
      <c r="E915" s="27"/>
      <c r="F915" s="28" t="str">
        <f aca="false">IF(C915="","",IFERROR(INDEX(Settings!$C$8:$C$19,MATCH(C915,Settings!$B$8:$B$19,0)),"?"))</f>
        <v/>
      </c>
      <c r="G915" s="35" t="str">
        <f aca="false">IF(A915="","",DATE(YEAR(A915),MONTH(A915),1))</f>
        <v/>
      </c>
    </row>
    <row r="916" customFormat="false" ht="15" hidden="false" customHeight="false" outlineLevel="0" collapsed="false">
      <c r="A916" s="33"/>
      <c r="B916" s="27"/>
      <c r="C916" s="27"/>
      <c r="D916" s="34"/>
      <c r="E916" s="27"/>
      <c r="F916" s="28" t="str">
        <f aca="false">IF(C916="","",IFERROR(INDEX(Settings!$C$8:$C$19,MATCH(C916,Settings!$B$8:$B$19,0)),"?"))</f>
        <v/>
      </c>
      <c r="G916" s="35" t="str">
        <f aca="false">IF(A916="","",DATE(YEAR(A916),MONTH(A916),1))</f>
        <v/>
      </c>
    </row>
    <row r="917" customFormat="false" ht="15" hidden="false" customHeight="false" outlineLevel="0" collapsed="false">
      <c r="A917" s="33"/>
      <c r="B917" s="27"/>
      <c r="C917" s="27"/>
      <c r="D917" s="34"/>
      <c r="E917" s="27"/>
      <c r="F917" s="28" t="str">
        <f aca="false">IF(C917="","",IFERROR(INDEX(Settings!$C$8:$C$19,MATCH(C917,Settings!$B$8:$B$19,0)),"?"))</f>
        <v/>
      </c>
      <c r="G917" s="35" t="str">
        <f aca="false">IF(A917="","",DATE(YEAR(A917),MONTH(A917),1))</f>
        <v/>
      </c>
    </row>
    <row r="918" customFormat="false" ht="15" hidden="false" customHeight="false" outlineLevel="0" collapsed="false">
      <c r="A918" s="33"/>
      <c r="B918" s="27"/>
      <c r="C918" s="27"/>
      <c r="D918" s="34"/>
      <c r="E918" s="27"/>
      <c r="F918" s="28" t="str">
        <f aca="false">IF(C918="","",IFERROR(INDEX(Settings!$C$8:$C$19,MATCH(C918,Settings!$B$8:$B$19,0)),"?"))</f>
        <v/>
      </c>
      <c r="G918" s="35" t="str">
        <f aca="false">IF(A918="","",DATE(YEAR(A918),MONTH(A918),1))</f>
        <v/>
      </c>
    </row>
    <row r="919" customFormat="false" ht="15" hidden="false" customHeight="false" outlineLevel="0" collapsed="false">
      <c r="A919" s="33"/>
      <c r="B919" s="27"/>
      <c r="C919" s="27"/>
      <c r="D919" s="34"/>
      <c r="E919" s="27"/>
      <c r="F919" s="28" t="str">
        <f aca="false">IF(C919="","",IFERROR(INDEX(Settings!$C$8:$C$19,MATCH(C919,Settings!$B$8:$B$19,0)),"?"))</f>
        <v/>
      </c>
      <c r="G919" s="35" t="str">
        <f aca="false">IF(A919="","",DATE(YEAR(A919),MONTH(A919),1))</f>
        <v/>
      </c>
    </row>
    <row r="920" customFormat="false" ht="15" hidden="false" customHeight="false" outlineLevel="0" collapsed="false">
      <c r="A920" s="33"/>
      <c r="B920" s="27"/>
      <c r="C920" s="27"/>
      <c r="D920" s="34"/>
      <c r="E920" s="27"/>
      <c r="F920" s="28" t="str">
        <f aca="false">IF(C920="","",IFERROR(INDEX(Settings!$C$8:$C$19,MATCH(C920,Settings!$B$8:$B$19,0)),"?"))</f>
        <v/>
      </c>
      <c r="G920" s="35" t="str">
        <f aca="false">IF(A920="","",DATE(YEAR(A920),MONTH(A920),1))</f>
        <v/>
      </c>
    </row>
    <row r="921" customFormat="false" ht="15" hidden="false" customHeight="false" outlineLevel="0" collapsed="false">
      <c r="A921" s="33"/>
      <c r="B921" s="27"/>
      <c r="C921" s="27"/>
      <c r="D921" s="34"/>
      <c r="E921" s="27"/>
      <c r="F921" s="28" t="str">
        <f aca="false">IF(C921="","",IFERROR(INDEX(Settings!$C$8:$C$19,MATCH(C921,Settings!$B$8:$B$19,0)),"?"))</f>
        <v/>
      </c>
      <c r="G921" s="35" t="str">
        <f aca="false">IF(A921="","",DATE(YEAR(A921),MONTH(A921),1))</f>
        <v/>
      </c>
    </row>
    <row r="922" customFormat="false" ht="15" hidden="false" customHeight="false" outlineLevel="0" collapsed="false">
      <c r="A922" s="33"/>
      <c r="B922" s="27"/>
      <c r="C922" s="27"/>
      <c r="D922" s="34"/>
      <c r="E922" s="27"/>
      <c r="F922" s="28" t="str">
        <f aca="false">IF(C922="","",IFERROR(INDEX(Settings!$C$8:$C$19,MATCH(C922,Settings!$B$8:$B$19,0)),"?"))</f>
        <v/>
      </c>
      <c r="G922" s="35" t="str">
        <f aca="false">IF(A922="","",DATE(YEAR(A922),MONTH(A922),1))</f>
        <v/>
      </c>
    </row>
    <row r="923" customFormat="false" ht="15" hidden="false" customHeight="false" outlineLevel="0" collapsed="false">
      <c r="A923" s="33"/>
      <c r="B923" s="27"/>
      <c r="C923" s="27"/>
      <c r="D923" s="34"/>
      <c r="E923" s="27"/>
      <c r="F923" s="28" t="str">
        <f aca="false">IF(C923="","",IFERROR(INDEX(Settings!$C$8:$C$19,MATCH(C923,Settings!$B$8:$B$19,0)),"?"))</f>
        <v/>
      </c>
      <c r="G923" s="35" t="str">
        <f aca="false">IF(A923="","",DATE(YEAR(A923),MONTH(A923),1))</f>
        <v/>
      </c>
    </row>
    <row r="924" customFormat="false" ht="15" hidden="false" customHeight="false" outlineLevel="0" collapsed="false">
      <c r="A924" s="33"/>
      <c r="B924" s="27"/>
      <c r="C924" s="27"/>
      <c r="D924" s="34"/>
      <c r="E924" s="27"/>
      <c r="F924" s="28" t="str">
        <f aca="false">IF(C924="","",IFERROR(INDEX(Settings!$C$8:$C$19,MATCH(C924,Settings!$B$8:$B$19,0)),"?"))</f>
        <v/>
      </c>
      <c r="G924" s="35" t="str">
        <f aca="false">IF(A924="","",DATE(YEAR(A924),MONTH(A924),1))</f>
        <v/>
      </c>
    </row>
    <row r="925" customFormat="false" ht="15" hidden="false" customHeight="false" outlineLevel="0" collapsed="false">
      <c r="A925" s="33"/>
      <c r="B925" s="27"/>
      <c r="C925" s="27"/>
      <c r="D925" s="34"/>
      <c r="E925" s="27"/>
      <c r="F925" s="28" t="str">
        <f aca="false">IF(C925="","",IFERROR(INDEX(Settings!$C$8:$C$19,MATCH(C925,Settings!$B$8:$B$19,0)),"?"))</f>
        <v/>
      </c>
      <c r="G925" s="35" t="str">
        <f aca="false">IF(A925="","",DATE(YEAR(A925),MONTH(A925),1))</f>
        <v/>
      </c>
    </row>
    <row r="926" customFormat="false" ht="15" hidden="false" customHeight="false" outlineLevel="0" collapsed="false">
      <c r="A926" s="33"/>
      <c r="B926" s="27"/>
      <c r="C926" s="27"/>
      <c r="D926" s="34"/>
      <c r="E926" s="27"/>
      <c r="F926" s="28" t="str">
        <f aca="false">IF(C926="","",IFERROR(INDEX(Settings!$C$8:$C$19,MATCH(C926,Settings!$B$8:$B$19,0)),"?"))</f>
        <v/>
      </c>
      <c r="G926" s="35" t="str">
        <f aca="false">IF(A926="","",DATE(YEAR(A926),MONTH(A926),1))</f>
        <v/>
      </c>
    </row>
    <row r="927" customFormat="false" ht="15" hidden="false" customHeight="false" outlineLevel="0" collapsed="false">
      <c r="A927" s="33"/>
      <c r="B927" s="27"/>
      <c r="C927" s="27"/>
      <c r="D927" s="34"/>
      <c r="E927" s="27"/>
      <c r="F927" s="28" t="str">
        <f aca="false">IF(C927="","",IFERROR(INDEX(Settings!$C$8:$C$19,MATCH(C927,Settings!$B$8:$B$19,0)),"?"))</f>
        <v/>
      </c>
      <c r="G927" s="35" t="str">
        <f aca="false">IF(A927="","",DATE(YEAR(A927),MONTH(A927),1))</f>
        <v/>
      </c>
    </row>
    <row r="928" customFormat="false" ht="15" hidden="false" customHeight="false" outlineLevel="0" collapsed="false">
      <c r="A928" s="33"/>
      <c r="B928" s="27"/>
      <c r="C928" s="27"/>
      <c r="D928" s="34"/>
      <c r="E928" s="27"/>
      <c r="F928" s="28" t="str">
        <f aca="false">IF(C928="","",IFERROR(INDEX(Settings!$C$8:$C$19,MATCH(C928,Settings!$B$8:$B$19,0)),"?"))</f>
        <v/>
      </c>
      <c r="G928" s="35" t="str">
        <f aca="false">IF(A928="","",DATE(YEAR(A928),MONTH(A928),1))</f>
        <v/>
      </c>
    </row>
    <row r="929" customFormat="false" ht="15" hidden="false" customHeight="false" outlineLevel="0" collapsed="false">
      <c r="A929" s="33"/>
      <c r="B929" s="27"/>
      <c r="C929" s="27"/>
      <c r="D929" s="34"/>
      <c r="E929" s="27"/>
      <c r="F929" s="28" t="str">
        <f aca="false">IF(C929="","",IFERROR(INDEX(Settings!$C$8:$C$19,MATCH(C929,Settings!$B$8:$B$19,0)),"?"))</f>
        <v/>
      </c>
      <c r="G929" s="35" t="str">
        <f aca="false">IF(A929="","",DATE(YEAR(A929),MONTH(A929),1))</f>
        <v/>
      </c>
    </row>
    <row r="930" customFormat="false" ht="15" hidden="false" customHeight="false" outlineLevel="0" collapsed="false">
      <c r="A930" s="33"/>
      <c r="B930" s="27"/>
      <c r="C930" s="27"/>
      <c r="D930" s="34"/>
      <c r="E930" s="27"/>
      <c r="F930" s="28" t="str">
        <f aca="false">IF(C930="","",IFERROR(INDEX(Settings!$C$8:$C$19,MATCH(C930,Settings!$B$8:$B$19,0)),"?"))</f>
        <v/>
      </c>
      <c r="G930" s="35" t="str">
        <f aca="false">IF(A930="","",DATE(YEAR(A930),MONTH(A930),1))</f>
        <v/>
      </c>
    </row>
    <row r="931" customFormat="false" ht="15" hidden="false" customHeight="false" outlineLevel="0" collapsed="false">
      <c r="A931" s="33"/>
      <c r="B931" s="27"/>
      <c r="C931" s="27"/>
      <c r="D931" s="34"/>
      <c r="E931" s="27"/>
      <c r="F931" s="28" t="str">
        <f aca="false">IF(C931="","",IFERROR(INDEX(Settings!$C$8:$C$19,MATCH(C931,Settings!$B$8:$B$19,0)),"?"))</f>
        <v/>
      </c>
      <c r="G931" s="35" t="str">
        <f aca="false">IF(A931="","",DATE(YEAR(A931),MONTH(A931),1))</f>
        <v/>
      </c>
    </row>
    <row r="932" customFormat="false" ht="15" hidden="false" customHeight="false" outlineLevel="0" collapsed="false">
      <c r="A932" s="33"/>
      <c r="B932" s="27"/>
      <c r="C932" s="27"/>
      <c r="D932" s="34"/>
      <c r="E932" s="27"/>
      <c r="F932" s="28" t="str">
        <f aca="false">IF(C932="","",IFERROR(INDEX(Settings!$C$8:$C$19,MATCH(C932,Settings!$B$8:$B$19,0)),"?"))</f>
        <v/>
      </c>
      <c r="G932" s="35" t="str">
        <f aca="false">IF(A932="","",DATE(YEAR(A932),MONTH(A932),1))</f>
        <v/>
      </c>
    </row>
    <row r="933" customFormat="false" ht="15" hidden="false" customHeight="false" outlineLevel="0" collapsed="false">
      <c r="A933" s="33"/>
      <c r="B933" s="27"/>
      <c r="C933" s="27"/>
      <c r="D933" s="34"/>
      <c r="E933" s="27"/>
      <c r="F933" s="28" t="str">
        <f aca="false">IF(C933="","",IFERROR(INDEX(Settings!$C$8:$C$19,MATCH(C933,Settings!$B$8:$B$19,0)),"?"))</f>
        <v/>
      </c>
      <c r="G933" s="35" t="str">
        <f aca="false">IF(A933="","",DATE(YEAR(A933),MONTH(A933),1))</f>
        <v/>
      </c>
    </row>
    <row r="934" customFormat="false" ht="15" hidden="false" customHeight="false" outlineLevel="0" collapsed="false">
      <c r="A934" s="33"/>
      <c r="B934" s="27"/>
      <c r="C934" s="27"/>
      <c r="D934" s="34"/>
      <c r="E934" s="27"/>
      <c r="F934" s="28" t="str">
        <f aca="false">IF(C934="","",IFERROR(INDEX(Settings!$C$8:$C$19,MATCH(C934,Settings!$B$8:$B$19,0)),"?"))</f>
        <v/>
      </c>
      <c r="G934" s="35" t="str">
        <f aca="false">IF(A934="","",DATE(YEAR(A934),MONTH(A934),1))</f>
        <v/>
      </c>
    </row>
    <row r="935" customFormat="false" ht="15" hidden="false" customHeight="false" outlineLevel="0" collapsed="false">
      <c r="A935" s="33"/>
      <c r="B935" s="27"/>
      <c r="C935" s="27"/>
      <c r="D935" s="34"/>
      <c r="E935" s="27"/>
      <c r="F935" s="28" t="str">
        <f aca="false">IF(C935="","",IFERROR(INDEX(Settings!$C$8:$C$19,MATCH(C935,Settings!$B$8:$B$19,0)),"?"))</f>
        <v/>
      </c>
      <c r="G935" s="35" t="str">
        <f aca="false">IF(A935="","",DATE(YEAR(A935),MONTH(A935),1))</f>
        <v/>
      </c>
    </row>
    <row r="936" customFormat="false" ht="15" hidden="false" customHeight="false" outlineLevel="0" collapsed="false">
      <c r="A936" s="33"/>
      <c r="B936" s="27"/>
      <c r="C936" s="27"/>
      <c r="D936" s="34"/>
      <c r="E936" s="27"/>
      <c r="F936" s="28" t="str">
        <f aca="false">IF(C936="","",IFERROR(INDEX(Settings!$C$8:$C$19,MATCH(C936,Settings!$B$8:$B$19,0)),"?"))</f>
        <v/>
      </c>
      <c r="G936" s="35" t="str">
        <f aca="false">IF(A936="","",DATE(YEAR(A936),MONTH(A936),1))</f>
        <v/>
      </c>
    </row>
    <row r="937" customFormat="false" ht="15" hidden="false" customHeight="false" outlineLevel="0" collapsed="false">
      <c r="A937" s="33"/>
      <c r="B937" s="27"/>
      <c r="C937" s="27"/>
      <c r="D937" s="34"/>
      <c r="E937" s="27"/>
      <c r="F937" s="28" t="str">
        <f aca="false">IF(C937="","",IFERROR(INDEX(Settings!$C$8:$C$19,MATCH(C937,Settings!$B$8:$B$19,0)),"?"))</f>
        <v/>
      </c>
      <c r="G937" s="35" t="str">
        <f aca="false">IF(A937="","",DATE(YEAR(A937),MONTH(A937),1))</f>
        <v/>
      </c>
    </row>
    <row r="938" customFormat="false" ht="15" hidden="false" customHeight="false" outlineLevel="0" collapsed="false">
      <c r="A938" s="33"/>
      <c r="B938" s="27"/>
      <c r="C938" s="27"/>
      <c r="D938" s="34"/>
      <c r="E938" s="27"/>
      <c r="F938" s="28" t="str">
        <f aca="false">IF(C938="","",IFERROR(INDEX(Settings!$C$8:$C$19,MATCH(C938,Settings!$B$8:$B$19,0)),"?"))</f>
        <v/>
      </c>
      <c r="G938" s="35" t="str">
        <f aca="false">IF(A938="","",DATE(YEAR(A938),MONTH(A938),1))</f>
        <v/>
      </c>
    </row>
    <row r="939" customFormat="false" ht="15" hidden="false" customHeight="false" outlineLevel="0" collapsed="false">
      <c r="A939" s="33"/>
      <c r="B939" s="27"/>
      <c r="C939" s="27"/>
      <c r="D939" s="34"/>
      <c r="E939" s="27"/>
      <c r="F939" s="28" t="str">
        <f aca="false">IF(C939="","",IFERROR(INDEX(Settings!$C$8:$C$19,MATCH(C939,Settings!$B$8:$B$19,0)),"?"))</f>
        <v/>
      </c>
      <c r="G939" s="35" t="str">
        <f aca="false">IF(A939="","",DATE(YEAR(A939),MONTH(A939),1))</f>
        <v/>
      </c>
    </row>
    <row r="940" customFormat="false" ht="15" hidden="false" customHeight="false" outlineLevel="0" collapsed="false">
      <c r="A940" s="33"/>
      <c r="B940" s="27"/>
      <c r="C940" s="27"/>
      <c r="D940" s="34"/>
      <c r="E940" s="27"/>
      <c r="F940" s="28" t="str">
        <f aca="false">IF(C940="","",IFERROR(INDEX(Settings!$C$8:$C$19,MATCH(C940,Settings!$B$8:$B$19,0)),"?"))</f>
        <v/>
      </c>
      <c r="G940" s="35" t="str">
        <f aca="false">IF(A940="","",DATE(YEAR(A940),MONTH(A940),1))</f>
        <v/>
      </c>
    </row>
    <row r="941" customFormat="false" ht="15" hidden="false" customHeight="false" outlineLevel="0" collapsed="false">
      <c r="A941" s="33"/>
      <c r="B941" s="27"/>
      <c r="C941" s="27"/>
      <c r="D941" s="34"/>
      <c r="E941" s="27"/>
      <c r="F941" s="28" t="str">
        <f aca="false">IF(C941="","",IFERROR(INDEX(Settings!$C$8:$C$19,MATCH(C941,Settings!$B$8:$B$19,0)),"?"))</f>
        <v/>
      </c>
      <c r="G941" s="35" t="str">
        <f aca="false">IF(A941="","",DATE(YEAR(A941),MONTH(A941),1))</f>
        <v/>
      </c>
    </row>
    <row r="942" customFormat="false" ht="15" hidden="false" customHeight="false" outlineLevel="0" collapsed="false">
      <c r="A942" s="33"/>
      <c r="B942" s="27"/>
      <c r="C942" s="27"/>
      <c r="D942" s="34"/>
      <c r="E942" s="27"/>
      <c r="F942" s="28" t="str">
        <f aca="false">IF(C942="","",IFERROR(INDEX(Settings!$C$8:$C$19,MATCH(C942,Settings!$B$8:$B$19,0)),"?"))</f>
        <v/>
      </c>
      <c r="G942" s="35" t="str">
        <f aca="false">IF(A942="","",DATE(YEAR(A942),MONTH(A942),1))</f>
        <v/>
      </c>
    </row>
    <row r="943" customFormat="false" ht="15" hidden="false" customHeight="false" outlineLevel="0" collapsed="false">
      <c r="A943" s="33"/>
      <c r="B943" s="27"/>
      <c r="C943" s="27"/>
      <c r="D943" s="34"/>
      <c r="E943" s="27"/>
      <c r="F943" s="28" t="str">
        <f aca="false">IF(C943="","",IFERROR(INDEX(Settings!$C$8:$C$19,MATCH(C943,Settings!$B$8:$B$19,0)),"?"))</f>
        <v/>
      </c>
      <c r="G943" s="35" t="str">
        <f aca="false">IF(A943="","",DATE(YEAR(A943),MONTH(A943),1))</f>
        <v/>
      </c>
    </row>
    <row r="944" customFormat="false" ht="15" hidden="false" customHeight="false" outlineLevel="0" collapsed="false">
      <c r="A944" s="33"/>
      <c r="B944" s="27"/>
      <c r="C944" s="27"/>
      <c r="D944" s="34"/>
      <c r="E944" s="27"/>
      <c r="F944" s="28" t="str">
        <f aca="false">IF(C944="","",IFERROR(INDEX(Settings!$C$8:$C$19,MATCH(C944,Settings!$B$8:$B$19,0)),"?"))</f>
        <v/>
      </c>
      <c r="G944" s="35" t="str">
        <f aca="false">IF(A944="","",DATE(YEAR(A944),MONTH(A944),1))</f>
        <v/>
      </c>
    </row>
    <row r="945" customFormat="false" ht="15" hidden="false" customHeight="false" outlineLevel="0" collapsed="false">
      <c r="A945" s="33"/>
      <c r="B945" s="27"/>
      <c r="C945" s="27"/>
      <c r="D945" s="34"/>
      <c r="E945" s="27"/>
      <c r="F945" s="28" t="str">
        <f aca="false">IF(C945="","",IFERROR(INDEX(Settings!$C$8:$C$19,MATCH(C945,Settings!$B$8:$B$19,0)),"?"))</f>
        <v/>
      </c>
      <c r="G945" s="35" t="str">
        <f aca="false">IF(A945="","",DATE(YEAR(A945),MONTH(A945),1))</f>
        <v/>
      </c>
    </row>
    <row r="946" customFormat="false" ht="15" hidden="false" customHeight="false" outlineLevel="0" collapsed="false">
      <c r="A946" s="33"/>
      <c r="B946" s="27"/>
      <c r="C946" s="27"/>
      <c r="D946" s="34"/>
      <c r="E946" s="27"/>
      <c r="F946" s="28" t="str">
        <f aca="false">IF(C946="","",IFERROR(INDEX(Settings!$C$8:$C$19,MATCH(C946,Settings!$B$8:$B$19,0)),"?"))</f>
        <v/>
      </c>
      <c r="G946" s="35" t="str">
        <f aca="false">IF(A946="","",DATE(YEAR(A946),MONTH(A946),1))</f>
        <v/>
      </c>
    </row>
    <row r="947" customFormat="false" ht="15" hidden="false" customHeight="false" outlineLevel="0" collapsed="false">
      <c r="A947" s="33"/>
      <c r="B947" s="27"/>
      <c r="C947" s="27"/>
      <c r="D947" s="34"/>
      <c r="E947" s="27"/>
      <c r="F947" s="28" t="str">
        <f aca="false">IF(C947="","",IFERROR(INDEX(Settings!$C$8:$C$19,MATCH(C947,Settings!$B$8:$B$19,0)),"?"))</f>
        <v/>
      </c>
      <c r="G947" s="35" t="str">
        <f aca="false">IF(A947="","",DATE(YEAR(A947),MONTH(A947),1))</f>
        <v/>
      </c>
    </row>
    <row r="948" customFormat="false" ht="15" hidden="false" customHeight="false" outlineLevel="0" collapsed="false">
      <c r="A948" s="33"/>
      <c r="B948" s="27"/>
      <c r="C948" s="27"/>
      <c r="D948" s="34"/>
      <c r="E948" s="27"/>
      <c r="F948" s="28" t="str">
        <f aca="false">IF(C948="","",IFERROR(INDEX(Settings!$C$8:$C$19,MATCH(C948,Settings!$B$8:$B$19,0)),"?"))</f>
        <v/>
      </c>
      <c r="G948" s="35" t="str">
        <f aca="false">IF(A948="","",DATE(YEAR(A948),MONTH(A948),1))</f>
        <v/>
      </c>
    </row>
    <row r="949" customFormat="false" ht="15" hidden="false" customHeight="false" outlineLevel="0" collapsed="false">
      <c r="A949" s="33"/>
      <c r="B949" s="27"/>
      <c r="C949" s="27"/>
      <c r="D949" s="34"/>
      <c r="E949" s="27"/>
      <c r="F949" s="28" t="str">
        <f aca="false">IF(C949="","",IFERROR(INDEX(Settings!$C$8:$C$19,MATCH(C949,Settings!$B$8:$B$19,0)),"?"))</f>
        <v/>
      </c>
      <c r="G949" s="35" t="str">
        <f aca="false">IF(A949="","",DATE(YEAR(A949),MONTH(A949),1))</f>
        <v/>
      </c>
    </row>
    <row r="950" customFormat="false" ht="15" hidden="false" customHeight="false" outlineLevel="0" collapsed="false">
      <c r="A950" s="33"/>
      <c r="B950" s="27"/>
      <c r="C950" s="27"/>
      <c r="D950" s="34"/>
      <c r="E950" s="27"/>
      <c r="F950" s="28" t="str">
        <f aca="false">IF(C950="","",IFERROR(INDEX(Settings!$C$8:$C$19,MATCH(C950,Settings!$B$8:$B$19,0)),"?"))</f>
        <v/>
      </c>
      <c r="G950" s="35" t="str">
        <f aca="false">IF(A950="","",DATE(YEAR(A950),MONTH(A950),1))</f>
        <v/>
      </c>
    </row>
    <row r="951" customFormat="false" ht="15" hidden="false" customHeight="false" outlineLevel="0" collapsed="false">
      <c r="A951" s="33"/>
      <c r="B951" s="27"/>
      <c r="C951" s="27"/>
      <c r="D951" s="34"/>
      <c r="E951" s="27"/>
      <c r="F951" s="28" t="str">
        <f aca="false">IF(C951="","",IFERROR(INDEX(Settings!$C$8:$C$19,MATCH(C951,Settings!$B$8:$B$19,0)),"?"))</f>
        <v/>
      </c>
      <c r="G951" s="35" t="str">
        <f aca="false">IF(A951="","",DATE(YEAR(A951),MONTH(A951),1))</f>
        <v/>
      </c>
    </row>
    <row r="952" customFormat="false" ht="15" hidden="false" customHeight="false" outlineLevel="0" collapsed="false">
      <c r="A952" s="33"/>
      <c r="B952" s="27"/>
      <c r="C952" s="27"/>
      <c r="D952" s="34"/>
      <c r="E952" s="27"/>
      <c r="F952" s="28" t="str">
        <f aca="false">IF(C952="","",IFERROR(INDEX(Settings!$C$8:$C$19,MATCH(C952,Settings!$B$8:$B$19,0)),"?"))</f>
        <v/>
      </c>
      <c r="G952" s="35" t="str">
        <f aca="false">IF(A952="","",DATE(YEAR(A952),MONTH(A952),1))</f>
        <v/>
      </c>
    </row>
    <row r="953" customFormat="false" ht="15" hidden="false" customHeight="false" outlineLevel="0" collapsed="false">
      <c r="A953" s="33"/>
      <c r="B953" s="27"/>
      <c r="C953" s="27"/>
      <c r="D953" s="34"/>
      <c r="E953" s="27"/>
      <c r="F953" s="28" t="str">
        <f aca="false">IF(C953="","",IFERROR(INDEX(Settings!$C$8:$C$19,MATCH(C953,Settings!$B$8:$B$19,0)),"?"))</f>
        <v/>
      </c>
      <c r="G953" s="35" t="str">
        <f aca="false">IF(A953="","",DATE(YEAR(A953),MONTH(A953),1))</f>
        <v/>
      </c>
    </row>
    <row r="954" customFormat="false" ht="15" hidden="false" customHeight="false" outlineLevel="0" collapsed="false">
      <c r="A954" s="33"/>
      <c r="B954" s="27"/>
      <c r="C954" s="27"/>
      <c r="D954" s="34"/>
      <c r="E954" s="27"/>
      <c r="F954" s="28" t="str">
        <f aca="false">IF(C954="","",IFERROR(INDEX(Settings!$C$8:$C$19,MATCH(C954,Settings!$B$8:$B$19,0)),"?"))</f>
        <v/>
      </c>
      <c r="G954" s="35" t="str">
        <f aca="false">IF(A954="","",DATE(YEAR(A954),MONTH(A954),1))</f>
        <v/>
      </c>
    </row>
    <row r="955" customFormat="false" ht="15" hidden="false" customHeight="false" outlineLevel="0" collapsed="false">
      <c r="A955" s="33"/>
      <c r="B955" s="27"/>
      <c r="C955" s="27"/>
      <c r="D955" s="34"/>
      <c r="E955" s="27"/>
      <c r="F955" s="28" t="str">
        <f aca="false">IF(C955="","",IFERROR(INDEX(Settings!$C$8:$C$19,MATCH(C955,Settings!$B$8:$B$19,0)),"?"))</f>
        <v/>
      </c>
      <c r="G955" s="35" t="str">
        <f aca="false">IF(A955="","",DATE(YEAR(A955),MONTH(A955),1))</f>
        <v/>
      </c>
    </row>
    <row r="956" customFormat="false" ht="15" hidden="false" customHeight="false" outlineLevel="0" collapsed="false">
      <c r="A956" s="33"/>
      <c r="B956" s="27"/>
      <c r="C956" s="27"/>
      <c r="D956" s="34"/>
      <c r="E956" s="27"/>
      <c r="F956" s="28" t="str">
        <f aca="false">IF(C956="","",IFERROR(INDEX(Settings!$C$8:$C$19,MATCH(C956,Settings!$B$8:$B$19,0)),"?"))</f>
        <v/>
      </c>
      <c r="G956" s="35" t="str">
        <f aca="false">IF(A956="","",DATE(YEAR(A956),MONTH(A956),1))</f>
        <v/>
      </c>
    </row>
    <row r="957" customFormat="false" ht="15" hidden="false" customHeight="false" outlineLevel="0" collapsed="false">
      <c r="A957" s="33"/>
      <c r="B957" s="27"/>
      <c r="C957" s="27"/>
      <c r="D957" s="34"/>
      <c r="E957" s="27"/>
      <c r="F957" s="28" t="str">
        <f aca="false">IF(C957="","",IFERROR(INDEX(Settings!$C$8:$C$19,MATCH(C957,Settings!$B$8:$B$19,0)),"?"))</f>
        <v/>
      </c>
      <c r="G957" s="35" t="str">
        <f aca="false">IF(A957="","",DATE(YEAR(A957),MONTH(A957),1))</f>
        <v/>
      </c>
    </row>
    <row r="958" customFormat="false" ht="15" hidden="false" customHeight="false" outlineLevel="0" collapsed="false">
      <c r="A958" s="33"/>
      <c r="B958" s="27"/>
      <c r="C958" s="27"/>
      <c r="D958" s="34"/>
      <c r="E958" s="27"/>
      <c r="F958" s="28" t="str">
        <f aca="false">IF(C958="","",IFERROR(INDEX(Settings!$C$8:$C$19,MATCH(C958,Settings!$B$8:$B$19,0)),"?"))</f>
        <v/>
      </c>
      <c r="G958" s="35" t="str">
        <f aca="false">IF(A958="","",DATE(YEAR(A958),MONTH(A958),1))</f>
        <v/>
      </c>
    </row>
    <row r="959" customFormat="false" ht="15" hidden="false" customHeight="false" outlineLevel="0" collapsed="false">
      <c r="A959" s="33"/>
      <c r="B959" s="27"/>
      <c r="C959" s="27"/>
      <c r="D959" s="34"/>
      <c r="E959" s="27"/>
      <c r="F959" s="28" t="str">
        <f aca="false">IF(C959="","",IFERROR(INDEX(Settings!$C$8:$C$19,MATCH(C959,Settings!$B$8:$B$19,0)),"?"))</f>
        <v/>
      </c>
      <c r="G959" s="35" t="str">
        <f aca="false">IF(A959="","",DATE(YEAR(A959),MONTH(A959),1))</f>
        <v/>
      </c>
    </row>
    <row r="960" customFormat="false" ht="15" hidden="false" customHeight="false" outlineLevel="0" collapsed="false">
      <c r="A960" s="33"/>
      <c r="B960" s="27"/>
      <c r="C960" s="27"/>
      <c r="D960" s="34"/>
      <c r="E960" s="27"/>
      <c r="F960" s="28" t="str">
        <f aca="false">IF(C960="","",IFERROR(INDEX(Settings!$C$8:$C$19,MATCH(C960,Settings!$B$8:$B$19,0)),"?"))</f>
        <v/>
      </c>
      <c r="G960" s="35" t="str">
        <f aca="false">IF(A960="","",DATE(YEAR(A960),MONTH(A960),1))</f>
        <v/>
      </c>
    </row>
    <row r="961" customFormat="false" ht="15" hidden="false" customHeight="false" outlineLevel="0" collapsed="false">
      <c r="A961" s="33"/>
      <c r="B961" s="27"/>
      <c r="C961" s="27"/>
      <c r="D961" s="34"/>
      <c r="E961" s="27"/>
      <c r="F961" s="28" t="str">
        <f aca="false">IF(C961="","",IFERROR(INDEX(Settings!$C$8:$C$19,MATCH(C961,Settings!$B$8:$B$19,0)),"?"))</f>
        <v/>
      </c>
      <c r="G961" s="35" t="str">
        <f aca="false">IF(A961="","",DATE(YEAR(A961),MONTH(A961),1))</f>
        <v/>
      </c>
    </row>
    <row r="962" customFormat="false" ht="15" hidden="false" customHeight="false" outlineLevel="0" collapsed="false">
      <c r="A962" s="33"/>
      <c r="B962" s="27"/>
      <c r="C962" s="27"/>
      <c r="D962" s="34"/>
      <c r="E962" s="27"/>
      <c r="F962" s="28" t="str">
        <f aca="false">IF(C962="","",IFERROR(INDEX(Settings!$C$8:$C$19,MATCH(C962,Settings!$B$8:$B$19,0)),"?"))</f>
        <v/>
      </c>
      <c r="G962" s="35" t="str">
        <f aca="false">IF(A962="","",DATE(YEAR(A962),MONTH(A962),1))</f>
        <v/>
      </c>
    </row>
    <row r="963" customFormat="false" ht="15" hidden="false" customHeight="false" outlineLevel="0" collapsed="false">
      <c r="A963" s="33"/>
      <c r="B963" s="27"/>
      <c r="C963" s="27"/>
      <c r="D963" s="34"/>
      <c r="E963" s="27"/>
      <c r="F963" s="28" t="str">
        <f aca="false">IF(C963="","",IFERROR(INDEX(Settings!$C$8:$C$19,MATCH(C963,Settings!$B$8:$B$19,0)),"?"))</f>
        <v/>
      </c>
      <c r="G963" s="35" t="str">
        <f aca="false">IF(A963="","",DATE(YEAR(A963),MONTH(A963),1))</f>
        <v/>
      </c>
    </row>
    <row r="964" customFormat="false" ht="15" hidden="false" customHeight="false" outlineLevel="0" collapsed="false">
      <c r="A964" s="33"/>
      <c r="B964" s="27"/>
      <c r="C964" s="27"/>
      <c r="D964" s="34"/>
      <c r="E964" s="27"/>
      <c r="F964" s="28" t="str">
        <f aca="false">IF(C964="","",IFERROR(INDEX(Settings!$C$8:$C$19,MATCH(C964,Settings!$B$8:$B$19,0)),"?"))</f>
        <v/>
      </c>
      <c r="G964" s="35" t="str">
        <f aca="false">IF(A964="","",DATE(YEAR(A964),MONTH(A964),1))</f>
        <v/>
      </c>
    </row>
    <row r="965" customFormat="false" ht="15" hidden="false" customHeight="false" outlineLevel="0" collapsed="false">
      <c r="A965" s="33"/>
      <c r="B965" s="27"/>
      <c r="C965" s="27"/>
      <c r="D965" s="34"/>
      <c r="E965" s="27"/>
      <c r="F965" s="28" t="str">
        <f aca="false">IF(C965="","",IFERROR(INDEX(Settings!$C$8:$C$19,MATCH(C965,Settings!$B$8:$B$19,0)),"?"))</f>
        <v/>
      </c>
      <c r="G965" s="35" t="str">
        <f aca="false">IF(A965="","",DATE(YEAR(A965),MONTH(A965),1))</f>
        <v/>
      </c>
    </row>
    <row r="966" customFormat="false" ht="15" hidden="false" customHeight="false" outlineLevel="0" collapsed="false">
      <c r="A966" s="33"/>
      <c r="B966" s="27"/>
      <c r="C966" s="27"/>
      <c r="D966" s="34"/>
      <c r="E966" s="27"/>
      <c r="F966" s="28" t="str">
        <f aca="false">IF(C966="","",IFERROR(INDEX(Settings!$C$8:$C$19,MATCH(C966,Settings!$B$8:$B$19,0)),"?"))</f>
        <v/>
      </c>
      <c r="G966" s="35" t="str">
        <f aca="false">IF(A966="","",DATE(YEAR(A966),MONTH(A966),1))</f>
        <v/>
      </c>
    </row>
    <row r="967" customFormat="false" ht="15" hidden="false" customHeight="false" outlineLevel="0" collapsed="false">
      <c r="A967" s="33"/>
      <c r="B967" s="27"/>
      <c r="C967" s="27"/>
      <c r="D967" s="34"/>
      <c r="E967" s="27"/>
      <c r="F967" s="28" t="str">
        <f aca="false">IF(C967="","",IFERROR(INDEX(Settings!$C$8:$C$19,MATCH(C967,Settings!$B$8:$B$19,0)),"?"))</f>
        <v/>
      </c>
      <c r="G967" s="35" t="str">
        <f aca="false">IF(A967="","",DATE(YEAR(A967),MONTH(A967),1))</f>
        <v/>
      </c>
    </row>
    <row r="968" customFormat="false" ht="15" hidden="false" customHeight="false" outlineLevel="0" collapsed="false">
      <c r="A968" s="33"/>
      <c r="B968" s="27"/>
      <c r="C968" s="27"/>
      <c r="D968" s="34"/>
      <c r="E968" s="27"/>
      <c r="F968" s="28" t="str">
        <f aca="false">IF(C968="","",IFERROR(INDEX(Settings!$C$8:$C$19,MATCH(C968,Settings!$B$8:$B$19,0)),"?"))</f>
        <v/>
      </c>
      <c r="G968" s="35" t="str">
        <f aca="false">IF(A968="","",DATE(YEAR(A968),MONTH(A968),1))</f>
        <v/>
      </c>
    </row>
    <row r="969" customFormat="false" ht="15" hidden="false" customHeight="false" outlineLevel="0" collapsed="false">
      <c r="A969" s="33"/>
      <c r="B969" s="27"/>
      <c r="C969" s="27"/>
      <c r="D969" s="34"/>
      <c r="E969" s="27"/>
      <c r="F969" s="28" t="str">
        <f aca="false">IF(C969="","",IFERROR(INDEX(Settings!$C$8:$C$19,MATCH(C969,Settings!$B$8:$B$19,0)),"?"))</f>
        <v/>
      </c>
      <c r="G969" s="35" t="str">
        <f aca="false">IF(A969="","",DATE(YEAR(A969),MONTH(A969),1))</f>
        <v/>
      </c>
    </row>
    <row r="970" customFormat="false" ht="15" hidden="false" customHeight="false" outlineLevel="0" collapsed="false">
      <c r="A970" s="33"/>
      <c r="B970" s="27"/>
      <c r="C970" s="27"/>
      <c r="D970" s="34"/>
      <c r="E970" s="27"/>
      <c r="F970" s="28" t="str">
        <f aca="false">IF(C970="","",IFERROR(INDEX(Settings!$C$8:$C$19,MATCH(C970,Settings!$B$8:$B$19,0)),"?"))</f>
        <v/>
      </c>
      <c r="G970" s="35" t="str">
        <f aca="false">IF(A970="","",DATE(YEAR(A970),MONTH(A970),1))</f>
        <v/>
      </c>
    </row>
    <row r="971" customFormat="false" ht="15" hidden="false" customHeight="false" outlineLevel="0" collapsed="false">
      <c r="A971" s="33"/>
      <c r="B971" s="27"/>
      <c r="C971" s="27"/>
      <c r="D971" s="34"/>
      <c r="E971" s="27"/>
      <c r="F971" s="28" t="str">
        <f aca="false">IF(C971="","",IFERROR(INDEX(Settings!$C$8:$C$19,MATCH(C971,Settings!$B$8:$B$19,0)),"?"))</f>
        <v/>
      </c>
      <c r="G971" s="35" t="str">
        <f aca="false">IF(A971="","",DATE(YEAR(A971),MONTH(A971),1))</f>
        <v/>
      </c>
    </row>
    <row r="972" customFormat="false" ht="15" hidden="false" customHeight="false" outlineLevel="0" collapsed="false">
      <c r="A972" s="33"/>
      <c r="B972" s="27"/>
      <c r="C972" s="27"/>
      <c r="D972" s="34"/>
      <c r="E972" s="27"/>
      <c r="F972" s="28" t="str">
        <f aca="false">IF(C972="","",IFERROR(INDEX(Settings!$C$8:$C$19,MATCH(C972,Settings!$B$8:$B$19,0)),"?"))</f>
        <v/>
      </c>
      <c r="G972" s="35" t="str">
        <f aca="false">IF(A972="","",DATE(YEAR(A972),MONTH(A972),1))</f>
        <v/>
      </c>
    </row>
    <row r="973" customFormat="false" ht="15" hidden="false" customHeight="false" outlineLevel="0" collapsed="false">
      <c r="A973" s="33"/>
      <c r="B973" s="27"/>
      <c r="C973" s="27"/>
      <c r="D973" s="34"/>
      <c r="E973" s="27"/>
      <c r="F973" s="28" t="str">
        <f aca="false">IF(C973="","",IFERROR(INDEX(Settings!$C$8:$C$19,MATCH(C973,Settings!$B$8:$B$19,0)),"?"))</f>
        <v/>
      </c>
      <c r="G973" s="35" t="str">
        <f aca="false">IF(A973="","",DATE(YEAR(A973),MONTH(A973),1))</f>
        <v/>
      </c>
    </row>
    <row r="974" customFormat="false" ht="15" hidden="false" customHeight="false" outlineLevel="0" collapsed="false">
      <c r="A974" s="33"/>
      <c r="B974" s="27"/>
      <c r="C974" s="27"/>
      <c r="D974" s="34"/>
      <c r="E974" s="27"/>
      <c r="F974" s="28" t="str">
        <f aca="false">IF(C974="","",IFERROR(INDEX(Settings!$C$8:$C$19,MATCH(C974,Settings!$B$8:$B$19,0)),"?"))</f>
        <v/>
      </c>
      <c r="G974" s="35" t="str">
        <f aca="false">IF(A974="","",DATE(YEAR(A974),MONTH(A974),1))</f>
        <v/>
      </c>
    </row>
    <row r="975" customFormat="false" ht="15" hidden="false" customHeight="false" outlineLevel="0" collapsed="false">
      <c r="A975" s="33"/>
      <c r="B975" s="27"/>
      <c r="C975" s="27"/>
      <c r="D975" s="34"/>
      <c r="E975" s="27"/>
      <c r="F975" s="28" t="str">
        <f aca="false">IF(C975="","",IFERROR(INDEX(Settings!$C$8:$C$19,MATCH(C975,Settings!$B$8:$B$19,0)),"?"))</f>
        <v/>
      </c>
      <c r="G975" s="35" t="str">
        <f aca="false">IF(A975="","",DATE(YEAR(A975),MONTH(A975),1))</f>
        <v/>
      </c>
    </row>
    <row r="976" customFormat="false" ht="15" hidden="false" customHeight="false" outlineLevel="0" collapsed="false">
      <c r="A976" s="33"/>
      <c r="B976" s="27"/>
      <c r="C976" s="27"/>
      <c r="D976" s="34"/>
      <c r="E976" s="27"/>
      <c r="F976" s="28" t="str">
        <f aca="false">IF(C976="","",IFERROR(INDEX(Settings!$C$8:$C$19,MATCH(C976,Settings!$B$8:$B$19,0)),"?"))</f>
        <v/>
      </c>
      <c r="G976" s="35" t="str">
        <f aca="false">IF(A976="","",DATE(YEAR(A976),MONTH(A976),1))</f>
        <v/>
      </c>
    </row>
    <row r="977" customFormat="false" ht="15" hidden="false" customHeight="false" outlineLevel="0" collapsed="false">
      <c r="A977" s="33"/>
      <c r="B977" s="27"/>
      <c r="C977" s="27"/>
      <c r="D977" s="34"/>
      <c r="E977" s="27"/>
      <c r="F977" s="28" t="str">
        <f aca="false">IF(C977="","",IFERROR(INDEX(Settings!$C$8:$C$19,MATCH(C977,Settings!$B$8:$B$19,0)),"?"))</f>
        <v/>
      </c>
      <c r="G977" s="35" t="str">
        <f aca="false">IF(A977="","",DATE(YEAR(A977),MONTH(A977),1))</f>
        <v/>
      </c>
    </row>
    <row r="978" customFormat="false" ht="15" hidden="false" customHeight="false" outlineLevel="0" collapsed="false">
      <c r="A978" s="33"/>
      <c r="B978" s="27"/>
      <c r="C978" s="27"/>
      <c r="D978" s="34"/>
      <c r="E978" s="27"/>
      <c r="F978" s="28" t="str">
        <f aca="false">IF(C978="","",IFERROR(INDEX(Settings!$C$8:$C$19,MATCH(C978,Settings!$B$8:$B$19,0)),"?"))</f>
        <v/>
      </c>
      <c r="G978" s="35" t="str">
        <f aca="false">IF(A978="","",DATE(YEAR(A978),MONTH(A978),1))</f>
        <v/>
      </c>
    </row>
    <row r="979" customFormat="false" ht="15" hidden="false" customHeight="false" outlineLevel="0" collapsed="false">
      <c r="A979" s="33"/>
      <c r="B979" s="27"/>
      <c r="C979" s="27"/>
      <c r="D979" s="34"/>
      <c r="E979" s="27"/>
      <c r="F979" s="28" t="str">
        <f aca="false">IF(C979="","",IFERROR(INDEX(Settings!$C$8:$C$19,MATCH(C979,Settings!$B$8:$B$19,0)),"?"))</f>
        <v/>
      </c>
      <c r="G979" s="35" t="str">
        <f aca="false">IF(A979="","",DATE(YEAR(A979),MONTH(A979),1))</f>
        <v/>
      </c>
    </row>
    <row r="980" customFormat="false" ht="15" hidden="false" customHeight="false" outlineLevel="0" collapsed="false">
      <c r="A980" s="33"/>
      <c r="B980" s="27"/>
      <c r="C980" s="27"/>
      <c r="D980" s="34"/>
      <c r="E980" s="27"/>
      <c r="F980" s="28" t="str">
        <f aca="false">IF(C980="","",IFERROR(INDEX(Settings!$C$8:$C$19,MATCH(C980,Settings!$B$8:$B$19,0)),"?"))</f>
        <v/>
      </c>
      <c r="G980" s="35" t="str">
        <f aca="false">IF(A980="","",DATE(YEAR(A980),MONTH(A980),1))</f>
        <v/>
      </c>
    </row>
    <row r="981" customFormat="false" ht="15" hidden="false" customHeight="false" outlineLevel="0" collapsed="false">
      <c r="A981" s="33"/>
      <c r="B981" s="27"/>
      <c r="C981" s="27"/>
      <c r="D981" s="34"/>
      <c r="E981" s="27"/>
      <c r="F981" s="28" t="str">
        <f aca="false">IF(C981="","",IFERROR(INDEX(Settings!$C$8:$C$19,MATCH(C981,Settings!$B$8:$B$19,0)),"?"))</f>
        <v/>
      </c>
      <c r="G981" s="35" t="str">
        <f aca="false">IF(A981="","",DATE(YEAR(A981),MONTH(A981),1))</f>
        <v/>
      </c>
    </row>
    <row r="982" customFormat="false" ht="15" hidden="false" customHeight="false" outlineLevel="0" collapsed="false">
      <c r="A982" s="33"/>
      <c r="B982" s="27"/>
      <c r="C982" s="27"/>
      <c r="D982" s="34"/>
      <c r="E982" s="27"/>
      <c r="F982" s="28" t="str">
        <f aca="false">IF(C982="","",IFERROR(INDEX(Settings!$C$8:$C$19,MATCH(C982,Settings!$B$8:$B$19,0)),"?"))</f>
        <v/>
      </c>
      <c r="G982" s="35" t="str">
        <f aca="false">IF(A982="","",DATE(YEAR(A982),MONTH(A982),1))</f>
        <v/>
      </c>
    </row>
    <row r="983" customFormat="false" ht="15" hidden="false" customHeight="false" outlineLevel="0" collapsed="false">
      <c r="A983" s="33"/>
      <c r="B983" s="27"/>
      <c r="C983" s="27"/>
      <c r="D983" s="34"/>
      <c r="E983" s="27"/>
      <c r="F983" s="28" t="str">
        <f aca="false">IF(C983="","",IFERROR(INDEX(Settings!$C$8:$C$19,MATCH(C983,Settings!$B$8:$B$19,0)),"?"))</f>
        <v/>
      </c>
      <c r="G983" s="35" t="str">
        <f aca="false">IF(A983="","",DATE(YEAR(A983),MONTH(A983),1))</f>
        <v/>
      </c>
    </row>
    <row r="984" customFormat="false" ht="15" hidden="false" customHeight="false" outlineLevel="0" collapsed="false">
      <c r="A984" s="33"/>
      <c r="B984" s="27"/>
      <c r="C984" s="27"/>
      <c r="D984" s="34"/>
      <c r="E984" s="27"/>
      <c r="F984" s="28" t="str">
        <f aca="false">IF(C984="","",IFERROR(INDEX(Settings!$C$8:$C$19,MATCH(C984,Settings!$B$8:$B$19,0)),"?"))</f>
        <v/>
      </c>
      <c r="G984" s="35" t="str">
        <f aca="false">IF(A984="","",DATE(YEAR(A984),MONTH(A984),1))</f>
        <v/>
      </c>
    </row>
    <row r="985" customFormat="false" ht="15" hidden="false" customHeight="false" outlineLevel="0" collapsed="false">
      <c r="A985" s="33"/>
      <c r="B985" s="27"/>
      <c r="C985" s="27"/>
      <c r="D985" s="34"/>
      <c r="E985" s="27"/>
      <c r="F985" s="28" t="str">
        <f aca="false">IF(C985="","",IFERROR(INDEX(Settings!$C$8:$C$19,MATCH(C985,Settings!$B$8:$B$19,0)),"?"))</f>
        <v/>
      </c>
      <c r="G985" s="35" t="str">
        <f aca="false">IF(A985="","",DATE(YEAR(A985),MONTH(A985),1))</f>
        <v/>
      </c>
    </row>
    <row r="986" customFormat="false" ht="15" hidden="false" customHeight="false" outlineLevel="0" collapsed="false">
      <c r="A986" s="33"/>
      <c r="B986" s="27"/>
      <c r="C986" s="27"/>
      <c r="D986" s="34"/>
      <c r="E986" s="27"/>
      <c r="F986" s="28" t="str">
        <f aca="false">IF(C986="","",IFERROR(INDEX(Settings!$C$8:$C$19,MATCH(C986,Settings!$B$8:$B$19,0)),"?"))</f>
        <v/>
      </c>
      <c r="G986" s="35" t="str">
        <f aca="false">IF(A986="","",DATE(YEAR(A986),MONTH(A986),1))</f>
        <v/>
      </c>
    </row>
    <row r="987" customFormat="false" ht="15" hidden="false" customHeight="false" outlineLevel="0" collapsed="false">
      <c r="A987" s="33"/>
      <c r="B987" s="27"/>
      <c r="C987" s="27"/>
      <c r="D987" s="34"/>
      <c r="E987" s="27"/>
      <c r="F987" s="28" t="str">
        <f aca="false">IF(C987="","",IFERROR(INDEX(Settings!$C$8:$C$19,MATCH(C987,Settings!$B$8:$B$19,0)),"?"))</f>
        <v/>
      </c>
      <c r="G987" s="35" t="str">
        <f aca="false">IF(A987="","",DATE(YEAR(A987),MONTH(A987),1))</f>
        <v/>
      </c>
    </row>
    <row r="988" customFormat="false" ht="15" hidden="false" customHeight="false" outlineLevel="0" collapsed="false">
      <c r="A988" s="33"/>
      <c r="B988" s="27"/>
      <c r="C988" s="27"/>
      <c r="D988" s="34"/>
      <c r="E988" s="27"/>
      <c r="F988" s="28" t="str">
        <f aca="false">IF(C988="","",IFERROR(INDEX(Settings!$C$8:$C$19,MATCH(C988,Settings!$B$8:$B$19,0)),"?"))</f>
        <v/>
      </c>
      <c r="G988" s="35" t="str">
        <f aca="false">IF(A988="","",DATE(YEAR(A988),MONTH(A988),1))</f>
        <v/>
      </c>
    </row>
    <row r="989" customFormat="false" ht="15" hidden="false" customHeight="false" outlineLevel="0" collapsed="false">
      <c r="A989" s="33"/>
      <c r="B989" s="27"/>
      <c r="C989" s="27"/>
      <c r="D989" s="34"/>
      <c r="E989" s="27"/>
      <c r="F989" s="28" t="str">
        <f aca="false">IF(C989="","",IFERROR(INDEX(Settings!$C$8:$C$19,MATCH(C989,Settings!$B$8:$B$19,0)),"?"))</f>
        <v/>
      </c>
      <c r="G989" s="35" t="str">
        <f aca="false">IF(A989="","",DATE(YEAR(A989),MONTH(A989),1))</f>
        <v/>
      </c>
    </row>
    <row r="990" customFormat="false" ht="15" hidden="false" customHeight="false" outlineLevel="0" collapsed="false">
      <c r="A990" s="33"/>
      <c r="B990" s="27"/>
      <c r="C990" s="27"/>
      <c r="D990" s="34"/>
      <c r="E990" s="27"/>
      <c r="F990" s="28" t="str">
        <f aca="false">IF(C990="","",IFERROR(INDEX(Settings!$C$8:$C$19,MATCH(C990,Settings!$B$8:$B$19,0)),"?"))</f>
        <v/>
      </c>
      <c r="G990" s="35" t="str">
        <f aca="false">IF(A990="","",DATE(YEAR(A990),MONTH(A990),1))</f>
        <v/>
      </c>
    </row>
    <row r="991" customFormat="false" ht="15" hidden="false" customHeight="false" outlineLevel="0" collapsed="false">
      <c r="A991" s="33"/>
      <c r="B991" s="27"/>
      <c r="C991" s="27"/>
      <c r="D991" s="34"/>
      <c r="E991" s="27"/>
      <c r="F991" s="28" t="str">
        <f aca="false">IF(C991="","",IFERROR(INDEX(Settings!$C$8:$C$19,MATCH(C991,Settings!$B$8:$B$19,0)),"?"))</f>
        <v/>
      </c>
      <c r="G991" s="35" t="str">
        <f aca="false">IF(A991="","",DATE(YEAR(A991),MONTH(A991),1))</f>
        <v/>
      </c>
    </row>
    <row r="992" customFormat="false" ht="15" hidden="false" customHeight="false" outlineLevel="0" collapsed="false">
      <c r="A992" s="33"/>
      <c r="B992" s="27"/>
      <c r="C992" s="27"/>
      <c r="D992" s="34"/>
      <c r="E992" s="27"/>
      <c r="F992" s="28" t="str">
        <f aca="false">IF(C992="","",IFERROR(INDEX(Settings!$C$8:$C$19,MATCH(C992,Settings!$B$8:$B$19,0)),"?"))</f>
        <v/>
      </c>
      <c r="G992" s="35" t="str">
        <f aca="false">IF(A992="","",DATE(YEAR(A992),MONTH(A992),1))</f>
        <v/>
      </c>
    </row>
    <row r="993" customFormat="false" ht="15" hidden="false" customHeight="false" outlineLevel="0" collapsed="false">
      <c r="A993" s="33"/>
      <c r="B993" s="27"/>
      <c r="C993" s="27"/>
      <c r="D993" s="34"/>
      <c r="E993" s="27"/>
      <c r="F993" s="28" t="str">
        <f aca="false">IF(C993="","",IFERROR(INDEX(Settings!$C$8:$C$19,MATCH(C993,Settings!$B$8:$B$19,0)),"?"))</f>
        <v/>
      </c>
      <c r="G993" s="35" t="str">
        <f aca="false">IF(A993="","",DATE(YEAR(A993),MONTH(A993),1))</f>
        <v/>
      </c>
    </row>
    <row r="994" customFormat="false" ht="15" hidden="false" customHeight="false" outlineLevel="0" collapsed="false">
      <c r="A994" s="33"/>
      <c r="B994" s="27"/>
      <c r="C994" s="27"/>
      <c r="D994" s="34"/>
      <c r="E994" s="27"/>
      <c r="F994" s="28" t="str">
        <f aca="false">IF(C994="","",IFERROR(INDEX(Settings!$C$8:$C$19,MATCH(C994,Settings!$B$8:$B$19,0)),"?"))</f>
        <v/>
      </c>
      <c r="G994" s="35" t="str">
        <f aca="false">IF(A994="","",DATE(YEAR(A994),MONTH(A994),1))</f>
        <v/>
      </c>
    </row>
    <row r="995" customFormat="false" ht="15" hidden="false" customHeight="false" outlineLevel="0" collapsed="false">
      <c r="A995" s="33"/>
      <c r="B995" s="27"/>
      <c r="C995" s="27"/>
      <c r="D995" s="34"/>
      <c r="E995" s="27"/>
      <c r="F995" s="28" t="str">
        <f aca="false">IF(C995="","",IFERROR(INDEX(Settings!$C$8:$C$19,MATCH(C995,Settings!$B$8:$B$19,0)),"?"))</f>
        <v/>
      </c>
      <c r="G995" s="35" t="str">
        <f aca="false">IF(A995="","",DATE(YEAR(A995),MONTH(A995),1))</f>
        <v/>
      </c>
    </row>
    <row r="996" customFormat="false" ht="15" hidden="false" customHeight="false" outlineLevel="0" collapsed="false">
      <c r="A996" s="33"/>
      <c r="B996" s="27"/>
      <c r="C996" s="27"/>
      <c r="D996" s="34"/>
      <c r="E996" s="27"/>
      <c r="F996" s="28" t="str">
        <f aca="false">IF(C996="","",IFERROR(INDEX(Settings!$C$8:$C$19,MATCH(C996,Settings!$B$8:$B$19,0)),"?"))</f>
        <v/>
      </c>
      <c r="G996" s="35" t="str">
        <f aca="false">IF(A996="","",DATE(YEAR(A996),MONTH(A996),1))</f>
        <v/>
      </c>
    </row>
    <row r="997" customFormat="false" ht="15" hidden="false" customHeight="false" outlineLevel="0" collapsed="false">
      <c r="A997" s="33"/>
      <c r="B997" s="27"/>
      <c r="C997" s="27"/>
      <c r="D997" s="34"/>
      <c r="E997" s="27"/>
      <c r="F997" s="28" t="str">
        <f aca="false">IF(C997="","",IFERROR(INDEX(Settings!$C$8:$C$19,MATCH(C997,Settings!$B$8:$B$19,0)),"?"))</f>
        <v/>
      </c>
      <c r="G997" s="35" t="str">
        <f aca="false">IF(A997="","",DATE(YEAR(A997),MONTH(A997),1))</f>
        <v/>
      </c>
    </row>
    <row r="998" customFormat="false" ht="15" hidden="false" customHeight="false" outlineLevel="0" collapsed="false">
      <c r="A998" s="33"/>
      <c r="B998" s="27"/>
      <c r="C998" s="27"/>
      <c r="D998" s="34"/>
      <c r="E998" s="27"/>
      <c r="F998" s="28" t="str">
        <f aca="false">IF(C998="","",IFERROR(INDEX(Settings!$C$8:$C$19,MATCH(C998,Settings!$B$8:$B$19,0)),"?"))</f>
        <v/>
      </c>
      <c r="G998" s="35" t="str">
        <f aca="false">IF(A998="","",DATE(YEAR(A998),MONTH(A998),1))</f>
        <v/>
      </c>
    </row>
    <row r="999" customFormat="false" ht="15" hidden="false" customHeight="false" outlineLevel="0" collapsed="false">
      <c r="A999" s="33"/>
      <c r="B999" s="27"/>
      <c r="C999" s="27"/>
      <c r="D999" s="34"/>
      <c r="E999" s="27"/>
      <c r="F999" s="28" t="str">
        <f aca="false">IF(C999="","",IFERROR(INDEX(Settings!$C$8:$C$19,MATCH(C999,Settings!$B$8:$B$19,0)),"?"))</f>
        <v/>
      </c>
      <c r="G999" s="35" t="str">
        <f aca="false">IF(A999="","",DATE(YEAR(A999),MONTH(A999),1))</f>
        <v/>
      </c>
    </row>
    <row r="1000" customFormat="false" ht="15" hidden="false" customHeight="false" outlineLevel="0" collapsed="false">
      <c r="A1000" s="33"/>
      <c r="B1000" s="27"/>
      <c r="C1000" s="27"/>
      <c r="D1000" s="34"/>
      <c r="E1000" s="27"/>
      <c r="F1000" s="28" t="str">
        <f aca="false">IF(C1000="","",IFERROR(INDEX(Settings!$C$8:$C$19,MATCH(C1000,Settings!$B$8:$B$19,0)),"?"))</f>
        <v/>
      </c>
      <c r="G1000" s="35" t="str">
        <f aca="false">IF(A1000="","",DATE(YEAR(A1000),MONTH(A1000),1))</f>
        <v/>
      </c>
    </row>
    <row r="1001" customFormat="false" ht="15" hidden="false" customHeight="false" outlineLevel="0" collapsed="false">
      <c r="A1001" s="33"/>
      <c r="B1001" s="27"/>
      <c r="C1001" s="27"/>
      <c r="D1001" s="34"/>
      <c r="E1001" s="27"/>
      <c r="F1001" s="28" t="str">
        <f aca="false">IF(C1001="","",IFERROR(INDEX(Settings!$C$8:$C$19,MATCH(C1001,Settings!$B$8:$B$19,0)),"?"))</f>
        <v/>
      </c>
      <c r="G1001" s="35" t="str">
        <f aca="false">IF(A1001="","",DATE(YEAR(A1001),MONTH(A1001),1))</f>
        <v/>
      </c>
    </row>
    <row r="1002" customFormat="false" ht="15" hidden="false" customHeight="false" outlineLevel="0" collapsed="false">
      <c r="A1002" s="33"/>
      <c r="B1002" s="27"/>
      <c r="C1002" s="27"/>
      <c r="D1002" s="34"/>
      <c r="E1002" s="27"/>
      <c r="F1002" s="28" t="str">
        <f aca="false">IF(C1002="","",IFERROR(INDEX(Settings!$C$8:$C$19,MATCH(C1002,Settings!$B$8:$B$19,0)),"?"))</f>
        <v/>
      </c>
      <c r="G1002" s="35" t="str">
        <f aca="false">IF(A1002="","",DATE(YEAR(A1002),MONTH(A1002),1))</f>
        <v/>
      </c>
    </row>
    <row r="1003" customFormat="false" ht="15" hidden="false" customHeight="false" outlineLevel="0" collapsed="false">
      <c r="A1003" s="33"/>
      <c r="B1003" s="27"/>
      <c r="C1003" s="27"/>
      <c r="D1003" s="34"/>
      <c r="E1003" s="27"/>
      <c r="F1003" s="28" t="str">
        <f aca="false">IF(C1003="","",IFERROR(INDEX(Settings!$C$8:$C$19,MATCH(C1003,Settings!$B$8:$B$19,0)),"?"))</f>
        <v/>
      </c>
      <c r="G1003" s="35" t="str">
        <f aca="false">IF(A1003="","",DATE(YEAR(A1003),MONTH(A1003),1))</f>
        <v/>
      </c>
    </row>
    <row r="1004" customFormat="false" ht="15" hidden="false" customHeight="false" outlineLevel="0" collapsed="false">
      <c r="A1004" s="33"/>
      <c r="B1004" s="27"/>
      <c r="C1004" s="27"/>
      <c r="D1004" s="34"/>
      <c r="E1004" s="27"/>
      <c r="F1004" s="28" t="str">
        <f aca="false">IF(C1004="","",IFERROR(INDEX(Settings!$C$8:$C$19,MATCH(C1004,Settings!$B$8:$B$19,0)),"?"))</f>
        <v/>
      </c>
      <c r="G1004" s="35" t="str">
        <f aca="false">IF(A1004="","",DATE(YEAR(A1004),MONTH(A1004),1))</f>
        <v/>
      </c>
    </row>
  </sheetData>
  <dataValidations count="2">
    <dataValidation allowBlank="true" error="Pick a value from the drop-down list (edit the lists on the Settings tab)." errorStyle="warning" errorTitle="Not in list" operator="between" showDropDown="false" showErrorMessage="false" showInputMessage="false" sqref="B5:B1004" type="list">
      <formula1>Savings!$A$6:$A$17</formula1>
      <formula2>0</formula2>
    </dataValidation>
    <dataValidation allowBlank="true" error="Pick a value from the drop-down list (edit the lists on the Settings tab)." errorStyle="warning" errorTitle="Not in list" operator="between" showDropDown="false" showErrorMessage="false" showInputMessage="false" sqref="C5:C1004" type="list">
      <formula1>Settings!$B$8:$B$19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2026-10-11T11:08:34Z</dcterms:created>
  <dc:creator>openpyxl</dc:creator>
  <dc:description/>
  <dc:language>en-US</dc:language>
  <cp:lastModifiedBy/>
  <dcterms:modified xsi:type="dcterms:W3CDTF">2026-10-11T11:08:39Z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